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7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" activeTab="3" autoFilterDateGrouping="1"/>
  </bookViews>
  <sheets>
    <sheet xmlns:r="http://schemas.openxmlformats.org/officeDocument/2006/relationships" name="Subscription_Transactions" sheetId="1" state="visible" r:id="rId1"/>
    <sheet xmlns:r="http://schemas.openxmlformats.org/officeDocument/2006/relationships" name="Client_Profile" sheetId="2" state="visible" r:id="rId2"/>
    <sheet xmlns:r="http://schemas.openxmlformats.org/officeDocument/2006/relationships" name="Revenue_Engine" sheetId="3" state="visible" r:id="rId3"/>
    <sheet xmlns:r="http://schemas.openxmlformats.org/officeDocument/2006/relationships" name="Executive_Dashboard" sheetId="4" state="visible" r:id="rId4"/>
  </sheets>
  <definedNames>
    <definedName name="Slicer_Country">#N/A</definedName>
    <definedName name="Slicer_Industry">#N/A</definedName>
    <definedName name="Slicer_Start_Year">#N/A</definedName>
    <definedName name="Slicer_Subscription_Plan">#N/A</definedName>
  </definedNames>
  <calcPr calcId="191029" fullCalcOnLoad="1"/>
  <pivotCaches>
    <pivotCache xmlns:r="http://schemas.openxmlformats.org/officeDocument/2006/relationships" cacheId="10" r:id="rId5"/>
    <pivotCache xmlns:r="http://schemas.openxmlformats.org/officeDocument/2006/relationships" cacheId="0" r:id="rId6"/>
    <pivotCache xmlns:r="http://schemas.openxmlformats.org/officeDocument/2006/relationships" cacheId="1" r:id="rId7"/>
    <pivotCache xmlns:r="http://schemas.openxmlformats.org/officeDocument/2006/relationships" cacheId="3" r:id="rId8"/>
  </pivotCach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 tint="-0.0499893185216834"/>
      <sz val="1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 tint="-0.0499893185216834"/>
      <sz val="16"/>
      <scheme val="minor"/>
    </font>
  </fonts>
  <fills count="4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1" fillId="0" borderId="0"/>
    <xf numFmtId="9" fontId="1" fillId="0" borderId="0"/>
  </cellStyleXfs>
  <cellXfs count="45">
    <xf numFmtId="0" fontId="0" fillId="0" borderId="0" pivotButton="0" quotePrefix="0" xfId="0"/>
    <xf numFmtId="0" fontId="3" fillId="2" borderId="0" pivotButton="0" quotePrefix="0" xfId="0"/>
    <xf numFmtId="0" fontId="5" fillId="2" borderId="0" applyAlignment="1" pivotButton="0" quotePrefix="0" xfId="0">
      <alignment horizontal="center" vertical="center"/>
    </xf>
    <xf numFmtId="14" fontId="3" fillId="2" borderId="0" pivotButton="0" quotePrefix="0" xfId="0"/>
    <xf numFmtId="14" fontId="0" fillId="0" borderId="0" pivotButton="0" quotePrefix="0" xfId="0"/>
    <xf numFmtId="0" fontId="4" fillId="0" borderId="0" pivotButton="0" quotePrefix="0" xfId="0"/>
    <xf numFmtId="9" fontId="0" fillId="0" borderId="0" pivotButton="0" quotePrefix="0" xfId="1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9" fontId="0" fillId="0" borderId="0" applyAlignment="1" pivotButton="0" quotePrefix="0" xfId="1">
      <alignment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" pivotButton="1" quotePrefix="0" xfId="0"/>
    <xf numFmtId="0" fontId="0" fillId="0" borderId="1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0" fontId="0" fillId="0" borderId="7" pivotButton="0" quotePrefix="0" xfId="0"/>
    <xf numFmtId="0" fontId="0" fillId="0" borderId="8" applyAlignment="1" pivotButton="0" quotePrefix="0" xfId="0">
      <alignment horizontal="left"/>
    </xf>
    <xf numFmtId="0" fontId="0" fillId="0" borderId="9" pivotButton="0" quotePrefix="0" xfId="0"/>
    <xf numFmtId="0" fontId="0" fillId="0" borderId="12" pivotButton="0" quotePrefix="0" xfId="0"/>
    <xf numFmtId="10" fontId="0" fillId="0" borderId="1" pivotButton="0" quotePrefix="0" xfId="0"/>
    <xf numFmtId="10" fontId="0" fillId="0" borderId="9" pivotButton="0" quotePrefix="0" xfId="0"/>
    <xf numFmtId="10" fontId="0" fillId="0" borderId="5" pivotButton="0" quotePrefix="0" xfId="0"/>
    <xf numFmtId="10" fontId="0" fillId="0" borderId="4" pivotButton="0" quotePrefix="0" xfId="0"/>
    <xf numFmtId="10" fontId="0" fillId="0" borderId="10" pivotButton="0" quotePrefix="0" xfId="0"/>
    <xf numFmtId="10" fontId="0" fillId="0" borderId="7" pivotButton="0" quotePrefix="0" xfId="0"/>
    <xf numFmtId="10" fontId="0" fillId="0" borderId="8" pivotButton="0" quotePrefix="0" xfId="0"/>
    <xf numFmtId="10" fontId="0" fillId="0" borderId="11" pivotButton="0" quotePrefix="0" xfId="0"/>
    <xf numFmtId="10" fontId="0" fillId="0" borderId="6" pivotButton="0" quotePrefix="0" xfId="0"/>
    <xf numFmtId="0" fontId="0" fillId="3" borderId="0" pivotButton="0" quotePrefix="0" xfId="0"/>
    <xf numFmtId="10" fontId="0" fillId="0" borderId="12" pivotButton="0" quotePrefix="0" xfId="0"/>
    <xf numFmtId="10" fontId="0" fillId="0" borderId="13" pivotButton="0" quotePrefix="0" xfId="0"/>
    <xf numFmtId="1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3" pivotButton="0" quotePrefix="0" xfId="0"/>
    <xf numFmtId="9" fontId="0" fillId="0" borderId="0" pivotButton="0" quotePrefix="0" xfId="0"/>
  </cellXfs>
  <cellStyles count="2">
    <cellStyle name="Normal" xfId="0" builtinId="0"/>
    <cellStyle name="Percent" xfId="1" builtinId="5"/>
  </cellStyles>
  <dxfs count="8">
    <dxf>
      <font>
        <name val="Calibri"/>
        <family val="2"/>
        <b val="1"/>
        <strike val="0"/>
        <outline val="0"/>
        <shadow val="0"/>
        <condense val="0"/>
        <color theme="0" tint="-0.0499893185216834"/>
        <extend val="0"/>
        <sz val="16"/>
        <vertAlign val="baseline"/>
        <scheme val="minor"/>
      </font>
      <fill>
        <patternFill patternType="solid">
          <fgColor indexed="64"/>
          <bgColor theme="1" tint="0.1499984740745262"/>
        </patternFill>
      </fill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name val="Calibri"/>
        <family val="2"/>
        <strike val="0"/>
        <outline val="0"/>
        <shadow val="0"/>
        <condense val="0"/>
        <color theme="0" tint="-0.0499893185216834"/>
        <extend val="0"/>
        <sz val="18"/>
        <vertAlign val="baseline"/>
        <scheme val="minor"/>
      </font>
      <fill>
        <patternFill patternType="solid">
          <fgColor indexed="64"/>
          <bgColor theme="1" tint="0.149998474074526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pivotCacheDefinition" Target="/xl/pivotCache/pivotCacheDefinition3.xml" Id="rId7"/><Relationship Type="http://schemas.openxmlformats.org/officeDocument/2006/relationships/pivotCacheDefinition" Target="/xl/pivotCache/pivotCacheDefinition4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ayyba Sadiq" refreshedDate="46083.13618831019" createdVersion="8" refreshedVersion="8" minRefreshableVersion="3" recordCount="800" r:id="rId1">
  <cacheSource type="worksheet">
    <worksheetSource name="tbl_subscription"/>
  </cacheSource>
  <cacheFields count="13">
    <cacheField name="Customer_ID" uniqueList="1" numFmtId="0" sqlType="0" hierarchy="0" level="0" databaseField="1">
      <sharedItems count="0"/>
    </cacheField>
    <cacheField name="Subscription_Plan" uniqueList="1" numFmtId="0" sqlType="0" hierarchy="0" level="0" databaseField="1">
      <sharedItems count="3">
        <s v="Premium"/>
        <s v="Basic"/>
        <s v="Standard"/>
      </sharedItems>
    </cacheField>
    <cacheField name="Start_Date" uniqueList="1" numFmtId="14" sqlType="0" hierarchy="0" level="0" databaseField="1">
      <sharedItems count="0" containsDate="1" containsNonDate="0" containsSemiMixedTypes="0" containsString="0" minDate="2020-01-02T00:00:00" maxDate="2024-07-04T00:00:00"/>
    </cacheField>
    <cacheField name="End_Date" uniqueList="1" numFmtId="14" sqlType="0" hierarchy="0" level="0" databaseField="1">
      <sharedItems count="0" containsDate="1" containsNonDate="0" containsSemiMixedTypes="0" containsString="0" minDate="2020-05-22T00:00:00" maxDate="2025-01-01T00:00:00"/>
    </cacheField>
    <cacheField name="Monthly_Fee" uniqueList="1" numFmtId="0" sqlType="0" hierarchy="0" level="0" databaseField="1">
      <sharedItems count="0" containsInteger="1" containsNumber="1" containsSemiMixedTypes="0" containsString="0" minValue="15" maxValue="40"/>
    </cacheField>
    <cacheField name="Status" uniqueList="1" numFmtId="0" sqlType="0" hierarchy="0" level="0" databaseField="1">
      <sharedItems count="0"/>
    </cacheField>
    <cacheField name="Acquisition_Channel" uniqueList="1" numFmtId="0" sqlType="0" hierarchy="0" level="0" databaseField="1">
      <sharedItems count="0"/>
    </cacheField>
    <cacheField name="Start_Month" uniqueList="1" numFmtId="0" sqlType="0" hierarchy="0" level="0" databaseField="1">
      <sharedItems count="0"/>
    </cacheField>
    <cacheField name="End_Month" uniqueList="1" numFmtId="0" sqlType="0" hierarchy="0" level="0" databaseField="1">
      <sharedItems count="0"/>
    </cacheField>
    <cacheField name="Country" uniqueList="1" numFmtId="0" sqlType="0" hierarchy="0" level="0" databaseField="1">
      <sharedItems count="6">
        <s v="Sweden"/>
        <s v="Netherlands"/>
        <s v="Germany"/>
        <s v="Italy"/>
        <s v="France"/>
        <s v="Spain"/>
      </sharedItems>
    </cacheField>
    <cacheField name="Industry" uniqueList="1" numFmtId="0" sqlType="0" hierarchy="0" level="0" databaseField="1">
      <sharedItems count="6">
        <s v="Finance"/>
        <s v="Retail"/>
        <s v="Healthcare"/>
        <s v="Education"/>
        <s v="Tech"/>
        <s v="E-commerce"/>
      </sharedItems>
    </cacheField>
    <cacheField name="Company_Size" uniqueList="1" numFmtId="0" sqlType="0" hierarchy="0" level="0" databaseField="1">
      <sharedItems count="0"/>
    </cacheField>
    <cacheField name="Start_Year" uniqueList="1" numFmtId="0" sqlType="0" hierarchy="0" level="0" databaseField="1">
      <sharedItems count="0" containsInteger="1" containsNumber="1" containsSemiMixedTypes="0" containsString="0" minValue="2020" maxValue="2024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Tayyba Sadiq" refreshedDate="46081.08579710648" createdVersion="8" refreshedVersion="8" minRefreshableVersion="3" recordCount="800" r:id="rId1">
  <cacheSource type="worksheet">
    <worksheetSource name="tbl_subscription"/>
  </cacheSource>
  <cacheFields count="13">
    <cacheField name="Customer_ID" uniqueList="1" numFmtId="0" sqlType="0" hierarchy="0" level="0" databaseField="1">
      <sharedItems count="0"/>
    </cacheField>
    <cacheField name="Subscription_Plan" uniqueList="1" numFmtId="0" sqlType="0" hierarchy="0" level="0" databaseField="1">
      <sharedItems count="3">
        <s v="Premium"/>
        <s v="Basic"/>
        <s v="Standard"/>
      </sharedItems>
    </cacheField>
    <cacheField name="Start_Date" uniqueList="1" numFmtId="14" sqlType="0" hierarchy="0" level="0" databaseField="1">
      <sharedItems count="0" containsDate="1" containsNonDate="0" containsSemiMixedTypes="0" containsString="0" minDate="2020-01-02T00:00:00" maxDate="2024-07-04T00:00:00"/>
    </cacheField>
    <cacheField name="End_Date" uniqueList="1" numFmtId="14" sqlType="0" hierarchy="0" level="0" databaseField="1">
      <sharedItems count="0" containsDate="1" containsNonDate="0" containsSemiMixedTypes="0" containsString="0" minDate="2020-05-22T00:00:00" maxDate="2025-01-01T00:00:00"/>
    </cacheField>
    <cacheField name="Monthly_Fee" uniqueList="1" numFmtId="0" sqlType="0" hierarchy="0" level="0" databaseField="1">
      <sharedItems count="0" containsInteger="1" containsNumber="1" containsSemiMixedTypes="0" containsString="0" minValue="15" maxValue="40"/>
    </cacheField>
    <cacheField name="Status" uniqueList="1" numFmtId="0" sqlType="0" hierarchy="0" level="0" databaseField="1">
      <sharedItems count="2">
        <s v="Active"/>
        <s v="Churned"/>
      </sharedItems>
    </cacheField>
    <cacheField name="Acquisition_Channel" uniqueList="1" numFmtId="0" sqlType="0" hierarchy="0" level="0" databaseField="1">
      <sharedItems count="0"/>
    </cacheField>
    <cacheField name="Start_Month" uniqueList="1" numFmtId="0" sqlType="0" hierarchy="0" level="0" databaseField="1">
      <sharedItems count="0"/>
    </cacheField>
    <cacheField name="End_Month" uniqueList="1" numFmtId="0" sqlType="0" hierarchy="0" level="0" databaseField="1">
      <sharedItems count="0"/>
    </cacheField>
    <cacheField name="Country" uniqueList="1" numFmtId="0" sqlType="0" hierarchy="0" level="0" databaseField="1">
      <sharedItems count="6">
        <s v="Sweden"/>
        <s v="Netherlands"/>
        <s v="Germany"/>
        <s v="Italy"/>
        <s v="France"/>
        <s v="Spain"/>
      </sharedItems>
    </cacheField>
    <cacheField name="Industry" uniqueList="1" numFmtId="0" sqlType="0" hierarchy="0" level="0" databaseField="1">
      <sharedItems count="6">
        <s v="Finance"/>
        <s v="Retail"/>
        <s v="Healthcare"/>
        <s v="Education"/>
        <s v="Tech"/>
        <s v="E-commerce"/>
      </sharedItems>
    </cacheField>
    <cacheField name="Company_Size" uniqueList="1" numFmtId="0" sqlType="0" hierarchy="0" level="0" databaseField="1">
      <sharedItems count="0"/>
    </cacheField>
    <cacheField name="Start_Year" uniqueList="1" numFmtId="0" sqlType="0" hierarchy="0" level="0" databaseField="1">
      <sharedItems count="5" containsInteger="1" containsNumber="1" containsSemiMixedTypes="0" containsString="0" minValue="2020" maxValue="2024">
        <n v="2020"/>
        <n v="2021"/>
        <n v="2023"/>
        <n v="2024"/>
        <n v="2022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Tayyba Sadiq" refreshedDate="46081.09570451389" createdVersion="8" refreshedVersion="8" minRefreshableVersion="3" recordCount="800" r:id="rId1">
  <cacheSource type="worksheet">
    <worksheetSource name="tbl_subscription"/>
  </cacheSource>
  <cacheFields count="13">
    <cacheField name="Customer_ID" uniqueList="1" numFmtId="0" sqlType="0" hierarchy="0" level="0" databaseField="1">
      <sharedItems count="0"/>
    </cacheField>
    <cacheField name="Subscription_Plan" uniqueList="1" numFmtId="0" sqlType="0" hierarchy="0" level="0" databaseField="1">
      <sharedItems count="0"/>
    </cacheField>
    <cacheField name="Start_Date" uniqueList="1" numFmtId="14" sqlType="0" hierarchy="0" level="0" databaseField="1">
      <sharedItems count="0" containsDate="1" containsNonDate="0" containsSemiMixedTypes="0" containsString="0" minDate="2020-01-02T00:00:00" maxDate="2024-07-04T00:00:00"/>
    </cacheField>
    <cacheField name="End_Date" uniqueList="1" numFmtId="14" sqlType="0" hierarchy="0" level="0" databaseField="1">
      <sharedItems count="0" containsDate="1" containsNonDate="0" containsSemiMixedTypes="0" containsString="0" minDate="2020-05-22T00:00:00" maxDate="2025-01-01T00:00:00"/>
    </cacheField>
    <cacheField name="Monthly_Fee" uniqueList="1" numFmtId="0" sqlType="0" hierarchy="0" level="0" databaseField="1">
      <sharedItems count="0" containsInteger="1" containsNumber="1" containsSemiMixedTypes="0" containsString="0" minValue="15" maxValue="40"/>
    </cacheField>
    <cacheField name="Status" uniqueList="1" numFmtId="0" sqlType="0" hierarchy="0" level="0" databaseField="1">
      <sharedItems count="0"/>
    </cacheField>
    <cacheField name="Acquisition_Channel" uniqueList="1" numFmtId="0" sqlType="0" hierarchy="0" level="0" databaseField="1">
      <sharedItems count="0"/>
    </cacheField>
    <cacheField name="Start_Month" uniqueList="1" numFmtId="0" sqlType="0" hierarchy="0" level="0" databaseField="1">
      <sharedItems count="0"/>
    </cacheField>
    <cacheField name="End_Month" uniqueList="1" numFmtId="0" sqlType="0" hierarchy="0" level="0" databaseField="1">
      <sharedItems count="0"/>
    </cacheField>
    <cacheField name="Country" uniqueList="1" numFmtId="0" sqlType="0" hierarchy="0" level="0" databaseField="1">
      <sharedItems count="6">
        <s v="Sweden"/>
        <s v="Netherlands"/>
        <s v="Germany"/>
        <s v="Italy"/>
        <s v="France"/>
        <s v="Spain"/>
      </sharedItems>
    </cacheField>
    <cacheField name="Industry" uniqueList="1" numFmtId="0" sqlType="0" hierarchy="0" level="0" databaseField="1">
      <sharedItems count="0"/>
    </cacheField>
    <cacheField name="Company_Size" uniqueList="1" numFmtId="0" sqlType="0" hierarchy="0" level="0" databaseField="1">
      <sharedItems count="0"/>
    </cacheField>
    <cacheField name="Start_Year" uniqueList="1" numFmtId="0" sqlType="0" hierarchy="0" level="0" databaseField="1">
      <sharedItems count="0" containsInteger="1" containsNumber="1" containsSemiMixedTypes="0" containsString="0" minValue="2020" maxValue="2024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Tayyba Sadiq" refreshedDate="46081.09840069444" createdVersion="8" refreshedVersion="8" minRefreshableVersion="3" recordCount="800" r:id="rId1">
  <cacheSource type="worksheet">
    <worksheetSource name="tbl_subscription"/>
  </cacheSource>
  <cacheFields count="13">
    <cacheField name="Customer_ID" uniqueList="1" numFmtId="0" sqlType="0" hierarchy="0" level="0" databaseField="1">
      <sharedItems count="0"/>
    </cacheField>
    <cacheField name="Subscription_Plan" uniqueList="1" numFmtId="0" sqlType="0" hierarchy="0" level="0" databaseField="1">
      <sharedItems count="3">
        <s v="Premium"/>
        <s v="Basic"/>
        <s v="Standard"/>
      </sharedItems>
    </cacheField>
    <cacheField name="Start_Date" uniqueList="1" numFmtId="14" sqlType="0" hierarchy="0" level="0" databaseField="1">
      <sharedItems count="0" containsDate="1" containsNonDate="0" containsSemiMixedTypes="0" containsString="0" minDate="2020-01-02T00:00:00" maxDate="2024-07-04T00:00:00"/>
    </cacheField>
    <cacheField name="End_Date" uniqueList="1" numFmtId="14" sqlType="0" hierarchy="0" level="0" databaseField="1">
      <sharedItems count="0" containsDate="1" containsNonDate="0" containsSemiMixedTypes="0" containsString="0" minDate="2020-05-22T00:00:00" maxDate="2025-01-01T00:00:00"/>
    </cacheField>
    <cacheField name="Monthly_Fee" uniqueList="1" numFmtId="0" sqlType="0" hierarchy="0" level="0" databaseField="1">
      <sharedItems count="0" containsInteger="1" containsNumber="1" containsSemiMixedTypes="0" containsString="0" minValue="15" maxValue="40"/>
    </cacheField>
    <cacheField name="Status" uniqueList="1" numFmtId="0" sqlType="0" hierarchy="0" level="0" databaseField="1">
      <sharedItems count="0"/>
    </cacheField>
    <cacheField name="Acquisition_Channel" uniqueList="1" numFmtId="0" sqlType="0" hierarchy="0" level="0" databaseField="1">
      <sharedItems count="0"/>
    </cacheField>
    <cacheField name="Start_Month" uniqueList="1" numFmtId="0" sqlType="0" hierarchy="0" level="0" databaseField="1">
      <sharedItems count="0"/>
    </cacheField>
    <cacheField name="End_Month" uniqueList="1" numFmtId="0" sqlType="0" hierarchy="0" level="0" databaseField="1">
      <sharedItems count="0"/>
    </cacheField>
    <cacheField name="Country" uniqueList="1" numFmtId="0" sqlType="0" hierarchy="0" level="0" databaseField="1">
      <sharedItems count="0"/>
    </cacheField>
    <cacheField name="Industry" uniqueList="1" numFmtId="0" sqlType="0" hierarchy="0" level="0" databaseField="1">
      <sharedItems count="0"/>
    </cacheField>
    <cacheField name="Company_Size" uniqueList="1" numFmtId="0" sqlType="0" hierarchy="0" level="0" databaseField="1">
      <sharedItems count="0"/>
    </cacheField>
    <cacheField name="Start_Year" uniqueList="1" numFmtId="0" sqlType="0" hierarchy="0" level="0" databaseField="1">
      <sharedItems count="0" containsInteger="1" containsNumber="1" containsSemiMixedTypes="0" containsString="0" minValue="2020" maxValue="2024"/>
    </cacheField>
  </cacheFields>
</pivotCacheDefinition>
</file>

<file path=xl/pivotCache/pivotCacheRecords1.xml><?xml version="1.0" encoding="utf-8"?>
<pivotCacheRecords xmlns="http://schemas.openxmlformats.org/spreadsheetml/2006/main" count="800">
  <r>
    <s v="C0001"/>
    <x v="0"/>
    <d v="2020-02-23T00:00:00"/>
    <d v="2024-12-31T00:00:00"/>
    <n v="40"/>
    <s v="Active"/>
    <s v="LinkedIn"/>
    <s v="Feb-2020"/>
    <s v="Dec-2024"/>
    <x v="0"/>
    <x v="0"/>
    <s v="Large"/>
    <n v="2020"/>
  </r>
  <r>
    <s v="C0002"/>
    <x v="1"/>
    <d v="2020-09-18T00:00:00"/>
    <d v="2024-12-31T00:00:00"/>
    <n v="15"/>
    <s v="Active"/>
    <s v="Instagram"/>
    <s v="Sep-2020"/>
    <s v="Dec-2024"/>
    <x v="1"/>
    <x v="0"/>
    <s v="Enterprise"/>
    <n v="2020"/>
  </r>
  <r>
    <s v="C0003"/>
    <x v="0"/>
    <d v="2021-08-13T00:00:00"/>
    <d v="2022-03-31T00:00:00"/>
    <n v="40"/>
    <s v="Churned"/>
    <s v="Facebook"/>
    <s v="Aug-2021"/>
    <s v="Mar-2022"/>
    <x v="2"/>
    <x v="1"/>
    <s v="Small"/>
    <n v="2021"/>
  </r>
  <r>
    <s v="C0004"/>
    <x v="1"/>
    <d v="2021-12-17T00:00:00"/>
    <d v="2024-12-31T00:00:00"/>
    <n v="15"/>
    <s v="Active"/>
    <s v="Instagram"/>
    <s v="Dec-2021"/>
    <s v="Dec-2024"/>
    <x v="3"/>
    <x v="2"/>
    <s v="Enterprise"/>
    <n v="2021"/>
  </r>
  <r>
    <s v="C0005"/>
    <x v="2"/>
    <d v="2023-06-14T00:00:00"/>
    <d v="2024-12-31T00:00:00"/>
    <n v="25"/>
    <s v="Active"/>
    <s v="Referral"/>
    <s v="Jun-2023"/>
    <s v="Dec-2024"/>
    <x v="4"/>
    <x v="3"/>
    <s v="Large"/>
    <n v="2023"/>
  </r>
  <r>
    <s v="C0006"/>
    <x v="1"/>
    <d v="2024-05-13T00:00:00"/>
    <d v="2024-11-19T00:00:00"/>
    <n v="15"/>
    <s v="Churned"/>
    <s v="LinkedIn"/>
    <s v="May-2024"/>
    <s v="Nov-2024"/>
    <x v="3"/>
    <x v="1"/>
    <s v="Medium"/>
    <n v="2024"/>
  </r>
  <r>
    <s v="C0007"/>
    <x v="2"/>
    <d v="2020-08-17T00:00:00"/>
    <d v="2024-12-31T00:00:00"/>
    <n v="25"/>
    <s v="Active"/>
    <s v="Facebook"/>
    <s v="Aug-2020"/>
    <s v="Dec-2024"/>
    <x v="1"/>
    <x v="4"/>
    <s v="Enterprise"/>
    <n v="2020"/>
  </r>
  <r>
    <s v="C0008"/>
    <x v="0"/>
    <d v="2024-01-06T00:00:00"/>
    <d v="2024-12-31T00:00:00"/>
    <n v="40"/>
    <s v="Active"/>
    <s v="Google"/>
    <s v="Jan-2024"/>
    <s v="Dec-2024"/>
    <x v="4"/>
    <x v="1"/>
    <s v="Large"/>
    <n v="2024"/>
  </r>
  <r>
    <s v="C0009"/>
    <x v="0"/>
    <d v="2021-07-26T00:00:00"/>
    <d v="2024-12-31T00:00:00"/>
    <n v="40"/>
    <s v="Active"/>
    <s v="Referral"/>
    <s v="Jul-2021"/>
    <s v="Dec-2024"/>
    <x v="2"/>
    <x v="5"/>
    <s v="Small"/>
    <n v="2021"/>
  </r>
  <r>
    <s v="C0010"/>
    <x v="0"/>
    <d v="2021-10-22T00:00:00"/>
    <d v="2022-02-15T00:00:00"/>
    <n v="40"/>
    <s v="Churned"/>
    <s v="Google"/>
    <s v="Oct-2021"/>
    <s v="Feb-2022"/>
    <x v="4"/>
    <x v="5"/>
    <s v="Large"/>
    <n v="2021"/>
  </r>
  <r>
    <s v="C0011"/>
    <x v="2"/>
    <d v="2021-04-03T00:00:00"/>
    <d v="2024-12-31T00:00:00"/>
    <n v="25"/>
    <s v="Active"/>
    <s v="Facebook"/>
    <s v="Apr-2021"/>
    <s v="Dec-2024"/>
    <x v="5"/>
    <x v="0"/>
    <s v="Small"/>
    <n v="2021"/>
  </r>
  <r>
    <s v="C0012"/>
    <x v="1"/>
    <d v="2024-02-19T00:00:00"/>
    <d v="2024-12-31T00:00:00"/>
    <n v="15"/>
    <s v="Active"/>
    <s v="Google"/>
    <s v="Feb-2024"/>
    <s v="Dec-2024"/>
    <x v="0"/>
    <x v="0"/>
    <s v="Enterprise"/>
    <n v="2024"/>
  </r>
  <r>
    <s v="C0013"/>
    <x v="2"/>
    <d v="2020-04-02T00:00:00"/>
    <d v="2024-12-31T00:00:00"/>
    <n v="25"/>
    <s v="Active"/>
    <s v="Referral"/>
    <s v="Apr-2020"/>
    <s v="Dec-2024"/>
    <x v="5"/>
    <x v="2"/>
    <s v="Enterprise"/>
    <n v="2020"/>
  </r>
  <r>
    <s v="C0014"/>
    <x v="0"/>
    <d v="2021-02-02T00:00:00"/>
    <d v="2024-12-31T00:00:00"/>
    <n v="40"/>
    <s v="Active"/>
    <s v="Referral"/>
    <s v="Feb-2021"/>
    <s v="Dec-2024"/>
    <x v="0"/>
    <x v="5"/>
    <s v="Small"/>
    <n v="2021"/>
  </r>
  <r>
    <s v="C0015"/>
    <x v="1"/>
    <d v="2021-02-23T00:00:00"/>
    <d v="2024-12-31T00:00:00"/>
    <n v="15"/>
    <s v="Active"/>
    <s v="Instagram"/>
    <s v="Feb-2021"/>
    <s v="Dec-2024"/>
    <x v="1"/>
    <x v="5"/>
    <s v="Large"/>
    <n v="2021"/>
  </r>
  <r>
    <s v="C0016"/>
    <x v="1"/>
    <d v="2020-08-17T00:00:00"/>
    <d v="2024-12-31T00:00:00"/>
    <n v="15"/>
    <s v="Active"/>
    <s v="LinkedIn"/>
    <s v="Aug-2020"/>
    <s v="Dec-2024"/>
    <x v="3"/>
    <x v="3"/>
    <s v="Small"/>
    <n v="2020"/>
  </r>
  <r>
    <s v="C0017"/>
    <x v="1"/>
    <d v="2022-01-14T00:00:00"/>
    <d v="2024-01-28T00:00:00"/>
    <n v="15"/>
    <s v="Churned"/>
    <s v="Facebook"/>
    <s v="Jan-2022"/>
    <s v="Jan-2024"/>
    <x v="1"/>
    <x v="4"/>
    <s v="Enterprise"/>
    <n v="2022"/>
  </r>
  <r>
    <s v="C0018"/>
    <x v="0"/>
    <d v="2024-04-09T00:00:00"/>
    <d v="2024-12-31T00:00:00"/>
    <n v="40"/>
    <s v="Active"/>
    <s v="Referral"/>
    <s v="Apr-2024"/>
    <s v="Dec-2024"/>
    <x v="4"/>
    <x v="4"/>
    <s v="Small"/>
    <n v="2024"/>
  </r>
  <r>
    <s v="C0019"/>
    <x v="1"/>
    <d v="2021-12-27T00:00:00"/>
    <d v="2024-12-31T00:00:00"/>
    <n v="15"/>
    <s v="Active"/>
    <s v="Instagram"/>
    <s v="Dec-2021"/>
    <s v="Dec-2024"/>
    <x v="3"/>
    <x v="4"/>
    <s v="Enterprise"/>
    <n v="2021"/>
  </r>
  <r>
    <s v="C0020"/>
    <x v="0"/>
    <d v="2024-02-03T00:00:00"/>
    <d v="2024-12-31T00:00:00"/>
    <n v="40"/>
    <s v="Active"/>
    <s v="Referral"/>
    <s v="Feb-2024"/>
    <s v="Dec-2024"/>
    <x v="1"/>
    <x v="1"/>
    <s v="Large"/>
    <n v="2024"/>
  </r>
  <r>
    <s v="C0021"/>
    <x v="1"/>
    <d v="2021-10-12T00:00:00"/>
    <d v="2023-09-29T00:00:00"/>
    <n v="15"/>
    <s v="Churned"/>
    <s v="Google"/>
    <s v="Oct-2021"/>
    <s v="Sep-2023"/>
    <x v="4"/>
    <x v="1"/>
    <s v="Small"/>
    <n v="2021"/>
  </r>
  <r>
    <s v="C0022"/>
    <x v="2"/>
    <d v="2022-04-09T00:00:00"/>
    <d v="2022-07-26T00:00:00"/>
    <n v="25"/>
    <s v="Churned"/>
    <s v="LinkedIn"/>
    <s v="Apr-2022"/>
    <s v="Jul-2022"/>
    <x v="2"/>
    <x v="5"/>
    <s v="Large"/>
    <n v="2022"/>
  </r>
  <r>
    <s v="C0023"/>
    <x v="2"/>
    <d v="2020-10-18T00:00:00"/>
    <d v="2024-12-31T00:00:00"/>
    <n v="25"/>
    <s v="Active"/>
    <s v="Google"/>
    <s v="Oct-2020"/>
    <s v="Dec-2024"/>
    <x v="0"/>
    <x v="1"/>
    <s v="Large"/>
    <n v="2020"/>
  </r>
  <r>
    <s v="C0024"/>
    <x v="1"/>
    <d v="2023-06-24T00:00:00"/>
    <d v="2024-12-31T00:00:00"/>
    <n v="15"/>
    <s v="Active"/>
    <s v="LinkedIn"/>
    <s v="Jun-2023"/>
    <s v="Dec-2024"/>
    <x v="3"/>
    <x v="4"/>
    <s v="Large"/>
    <n v="2023"/>
  </r>
  <r>
    <s v="C0025"/>
    <x v="0"/>
    <d v="2022-08-14T00:00:00"/>
    <d v="2024-12-31T00:00:00"/>
    <n v="40"/>
    <s v="Active"/>
    <s v="Instagram"/>
    <s v="Aug-2022"/>
    <s v="Dec-2024"/>
    <x v="1"/>
    <x v="1"/>
    <s v="Enterprise"/>
    <n v="2022"/>
  </r>
  <r>
    <s v="C0026"/>
    <x v="2"/>
    <d v="2020-02-23T00:00:00"/>
    <d v="2024-12-31T00:00:00"/>
    <n v="25"/>
    <s v="Active"/>
    <s v="Google"/>
    <s v="Feb-2020"/>
    <s v="Dec-2024"/>
    <x v="1"/>
    <x v="1"/>
    <s v="Small"/>
    <n v="2020"/>
  </r>
  <r>
    <s v="C0027"/>
    <x v="0"/>
    <d v="2022-10-14T00:00:00"/>
    <d v="2024-12-31T00:00:00"/>
    <n v="40"/>
    <s v="Active"/>
    <s v="Google"/>
    <s v="Oct-2022"/>
    <s v="Dec-2024"/>
    <x v="2"/>
    <x v="5"/>
    <s v="Medium"/>
    <n v="2022"/>
  </r>
  <r>
    <s v="C0028"/>
    <x v="1"/>
    <d v="2024-02-23T00:00:00"/>
    <d v="2024-12-31T00:00:00"/>
    <n v="15"/>
    <s v="Active"/>
    <s v="Instagram"/>
    <s v="Feb-2024"/>
    <s v="Dec-2024"/>
    <x v="0"/>
    <x v="0"/>
    <s v="Medium"/>
    <n v="2024"/>
  </r>
  <r>
    <s v="C0029"/>
    <x v="1"/>
    <d v="2023-02-10T00:00:00"/>
    <d v="2024-12-31T00:00:00"/>
    <n v="15"/>
    <s v="Active"/>
    <s v="Instagram"/>
    <s v="Feb-2023"/>
    <s v="Dec-2024"/>
    <x v="1"/>
    <x v="4"/>
    <s v="Large"/>
    <n v="2023"/>
  </r>
  <r>
    <s v="C0030"/>
    <x v="0"/>
    <d v="2023-02-01T00:00:00"/>
    <d v="2023-08-06T00:00:00"/>
    <n v="40"/>
    <s v="Churned"/>
    <s v="LinkedIn"/>
    <s v="Feb-2023"/>
    <s v="Aug-2023"/>
    <x v="4"/>
    <x v="2"/>
    <s v="Small"/>
    <n v="2023"/>
  </r>
  <r>
    <s v="C0031"/>
    <x v="2"/>
    <d v="2020-02-29T00:00:00"/>
    <d v="2024-12-31T00:00:00"/>
    <n v="25"/>
    <s v="Active"/>
    <s v="Google"/>
    <s v="Feb-2020"/>
    <s v="Dec-2024"/>
    <x v="0"/>
    <x v="4"/>
    <s v="Medium"/>
    <n v="2020"/>
  </r>
  <r>
    <s v="C0032"/>
    <x v="2"/>
    <d v="2021-01-28T00:00:00"/>
    <d v="2024-12-31T00:00:00"/>
    <n v="25"/>
    <s v="Active"/>
    <s v="LinkedIn"/>
    <s v="Jan-2021"/>
    <s v="Dec-2024"/>
    <x v="3"/>
    <x v="3"/>
    <s v="Large"/>
    <n v="2021"/>
  </r>
  <r>
    <s v="C0033"/>
    <x v="1"/>
    <d v="2021-11-14T00:00:00"/>
    <d v="2022-07-16T00:00:00"/>
    <n v="15"/>
    <s v="Churned"/>
    <s v="LinkedIn"/>
    <s v="Nov-2021"/>
    <s v="Jul-2022"/>
    <x v="0"/>
    <x v="2"/>
    <s v="Large"/>
    <n v="2021"/>
  </r>
  <r>
    <s v="C0034"/>
    <x v="1"/>
    <d v="2022-09-09T00:00:00"/>
    <d v="2024-12-31T00:00:00"/>
    <n v="15"/>
    <s v="Active"/>
    <s v="LinkedIn"/>
    <s v="Sep-2022"/>
    <s v="Dec-2024"/>
    <x v="5"/>
    <x v="0"/>
    <s v="Large"/>
    <n v="2022"/>
  </r>
  <r>
    <s v="C0035"/>
    <x v="2"/>
    <d v="2022-09-06T00:00:00"/>
    <d v="2024-12-31T00:00:00"/>
    <n v="25"/>
    <s v="Active"/>
    <s v="Referral"/>
    <s v="Sep-2022"/>
    <s v="Dec-2024"/>
    <x v="4"/>
    <x v="3"/>
    <s v="Small"/>
    <n v="2022"/>
  </r>
  <r>
    <s v="C0036"/>
    <x v="2"/>
    <d v="2020-08-28T00:00:00"/>
    <d v="2021-09-28T00:00:00"/>
    <n v="25"/>
    <s v="Churned"/>
    <s v="Referral"/>
    <s v="Aug-2020"/>
    <s v="Sep-2021"/>
    <x v="5"/>
    <x v="5"/>
    <s v="Small"/>
    <n v="2020"/>
  </r>
  <r>
    <s v="C0037"/>
    <x v="0"/>
    <d v="2021-09-20T00:00:00"/>
    <d v="2024-12-31T00:00:00"/>
    <n v="40"/>
    <s v="Active"/>
    <s v="Referral"/>
    <s v="Sep-2021"/>
    <s v="Dec-2024"/>
    <x v="4"/>
    <x v="1"/>
    <s v="Medium"/>
    <n v="2021"/>
  </r>
  <r>
    <s v="C0038"/>
    <x v="0"/>
    <d v="2023-07-29T00:00:00"/>
    <d v="2024-12-31T00:00:00"/>
    <n v="40"/>
    <s v="Churned"/>
    <s v="Instagram"/>
    <s v="Jul-2023"/>
    <s v="Dec-2024"/>
    <x v="1"/>
    <x v="2"/>
    <s v="Enterprise"/>
    <n v="2023"/>
  </r>
  <r>
    <s v="C0039"/>
    <x v="0"/>
    <d v="2020-11-22T00:00:00"/>
    <d v="2024-12-31T00:00:00"/>
    <n v="40"/>
    <s v="Active"/>
    <s v="LinkedIn"/>
    <s v="Nov-2020"/>
    <s v="Dec-2024"/>
    <x v="4"/>
    <x v="5"/>
    <s v="Large"/>
    <n v="2020"/>
  </r>
  <r>
    <s v="C0040"/>
    <x v="0"/>
    <d v="2020-06-03T00:00:00"/>
    <d v="2024-12-31T00:00:00"/>
    <n v="40"/>
    <s v="Active"/>
    <s v="Instagram"/>
    <s v="Jun-2020"/>
    <s v="Dec-2024"/>
    <x v="1"/>
    <x v="3"/>
    <s v="Medium"/>
    <n v="2020"/>
  </r>
  <r>
    <s v="C0041"/>
    <x v="1"/>
    <d v="2022-06-13T00:00:00"/>
    <d v="2024-03-19T00:00:00"/>
    <n v="15"/>
    <s v="Churned"/>
    <s v="LinkedIn"/>
    <s v="Jun-2022"/>
    <s v="Mar-2024"/>
    <x v="4"/>
    <x v="5"/>
    <s v="Small"/>
    <n v="2022"/>
  </r>
  <r>
    <s v="C0042"/>
    <x v="2"/>
    <d v="2023-08-13T00:00:00"/>
    <d v="2024-12-31T00:00:00"/>
    <n v="25"/>
    <s v="Churned"/>
    <s v="Referral"/>
    <s v="Aug-2023"/>
    <s v="Dec-2024"/>
    <x v="5"/>
    <x v="4"/>
    <s v="Medium"/>
    <n v="2023"/>
  </r>
  <r>
    <s v="C0043"/>
    <x v="0"/>
    <d v="2020-10-28T00:00:00"/>
    <d v="2022-06-09T00:00:00"/>
    <n v="40"/>
    <s v="Churned"/>
    <s v="Instagram"/>
    <s v="Oct-2020"/>
    <s v="Jun-2022"/>
    <x v="0"/>
    <x v="0"/>
    <s v="Large"/>
    <n v="2020"/>
  </r>
  <r>
    <s v="C0044"/>
    <x v="0"/>
    <d v="2020-10-18T00:00:00"/>
    <d v="2022-06-01T00:00:00"/>
    <n v="40"/>
    <s v="Churned"/>
    <s v="Google"/>
    <s v="Oct-2020"/>
    <s v="Jun-2022"/>
    <x v="4"/>
    <x v="4"/>
    <s v="Medium"/>
    <n v="2020"/>
  </r>
  <r>
    <s v="C0045"/>
    <x v="1"/>
    <d v="2022-11-12T00:00:00"/>
    <d v="2024-12-31T00:00:00"/>
    <n v="15"/>
    <s v="Active"/>
    <s v="Referral"/>
    <s v="Nov-2022"/>
    <s v="Dec-2024"/>
    <x v="0"/>
    <x v="4"/>
    <s v="Small"/>
    <n v="2022"/>
  </r>
  <r>
    <s v="C0046"/>
    <x v="2"/>
    <d v="2020-09-12T00:00:00"/>
    <d v="2021-11-01T00:00:00"/>
    <n v="25"/>
    <s v="Churned"/>
    <s v="LinkedIn"/>
    <s v="Sep-2020"/>
    <s v="Nov-2021"/>
    <x v="3"/>
    <x v="2"/>
    <s v="Large"/>
    <n v="2020"/>
  </r>
  <r>
    <s v="C0047"/>
    <x v="2"/>
    <d v="2024-02-22T00:00:00"/>
    <d v="2024-12-31T00:00:00"/>
    <n v="25"/>
    <s v="Active"/>
    <s v="LinkedIn"/>
    <s v="Feb-2024"/>
    <s v="Dec-2024"/>
    <x v="2"/>
    <x v="2"/>
    <s v="Medium"/>
    <n v="2024"/>
  </r>
  <r>
    <s v="C0048"/>
    <x v="0"/>
    <d v="2022-11-02T00:00:00"/>
    <d v="2024-12-31T00:00:00"/>
    <n v="40"/>
    <s v="Active"/>
    <s v="Facebook"/>
    <s v="Nov-2022"/>
    <s v="Dec-2024"/>
    <x v="1"/>
    <x v="0"/>
    <s v="Small"/>
    <n v="2022"/>
  </r>
  <r>
    <s v="C0049"/>
    <x v="1"/>
    <d v="2022-06-10T00:00:00"/>
    <d v="2024-12-31T00:00:00"/>
    <n v="15"/>
    <s v="Active"/>
    <s v="Instagram"/>
    <s v="Jun-2022"/>
    <s v="Dec-2024"/>
    <x v="4"/>
    <x v="4"/>
    <s v="Enterprise"/>
    <n v="2022"/>
  </r>
  <r>
    <s v="C0050"/>
    <x v="2"/>
    <d v="2021-11-07T00:00:00"/>
    <d v="2024-12-31T00:00:00"/>
    <n v="25"/>
    <s v="Active"/>
    <s v="Google"/>
    <s v="Nov-2021"/>
    <s v="Dec-2024"/>
    <x v="0"/>
    <x v="2"/>
    <s v="Small"/>
    <n v="2021"/>
  </r>
  <r>
    <s v="C0051"/>
    <x v="1"/>
    <d v="2023-11-27T00:00:00"/>
    <d v="2024-12-31T00:00:00"/>
    <n v="15"/>
    <s v="Active"/>
    <s v="Facebook"/>
    <s v="Nov-2023"/>
    <s v="Dec-2024"/>
    <x v="2"/>
    <x v="4"/>
    <s v="Small"/>
    <n v="2023"/>
  </r>
  <r>
    <s v="C0052"/>
    <x v="1"/>
    <d v="2020-09-30T00:00:00"/>
    <d v="2022-08-08T00:00:00"/>
    <n v="15"/>
    <s v="Churned"/>
    <s v="Facebook"/>
    <s v="Sep-2020"/>
    <s v="Aug-2022"/>
    <x v="0"/>
    <x v="3"/>
    <s v="Large"/>
    <n v="2020"/>
  </r>
  <r>
    <s v="C0053"/>
    <x v="0"/>
    <d v="2022-07-31T00:00:00"/>
    <d v="2023-12-30T00:00:00"/>
    <n v="40"/>
    <s v="Churned"/>
    <s v="Facebook"/>
    <s v="Jul-2022"/>
    <s v="Dec-2023"/>
    <x v="1"/>
    <x v="2"/>
    <s v="Medium"/>
    <n v="2022"/>
  </r>
  <r>
    <s v="C0054"/>
    <x v="0"/>
    <d v="2021-12-29T00:00:00"/>
    <d v="2024-12-31T00:00:00"/>
    <n v="40"/>
    <s v="Active"/>
    <s v="Facebook"/>
    <s v="Dec-2021"/>
    <s v="Dec-2024"/>
    <x v="2"/>
    <x v="5"/>
    <s v="Large"/>
    <n v="2021"/>
  </r>
  <r>
    <s v="C0055"/>
    <x v="1"/>
    <d v="2024-04-12T00:00:00"/>
    <d v="2024-12-31T00:00:00"/>
    <n v="15"/>
    <s v="Active"/>
    <s v="Referral"/>
    <s v="Apr-2024"/>
    <s v="Dec-2024"/>
    <x v="0"/>
    <x v="5"/>
    <s v="Large"/>
    <n v="2024"/>
  </r>
  <r>
    <s v="C0056"/>
    <x v="2"/>
    <d v="2022-12-17T00:00:00"/>
    <d v="2024-12-31T00:00:00"/>
    <n v="25"/>
    <s v="Active"/>
    <s v="Facebook"/>
    <s v="Dec-2022"/>
    <s v="Dec-2024"/>
    <x v="3"/>
    <x v="4"/>
    <s v="Medium"/>
    <n v="2022"/>
  </r>
  <r>
    <s v="C0057"/>
    <x v="2"/>
    <d v="2024-05-29T00:00:00"/>
    <d v="2024-12-31T00:00:00"/>
    <n v="25"/>
    <s v="Churned"/>
    <s v="Google"/>
    <s v="May-2024"/>
    <s v="Dec-2024"/>
    <x v="2"/>
    <x v="0"/>
    <s v="Medium"/>
    <n v="2024"/>
  </r>
  <r>
    <s v="C0058"/>
    <x v="1"/>
    <d v="2023-01-01T00:00:00"/>
    <d v="2024-12-31T00:00:00"/>
    <n v="15"/>
    <s v="Churned"/>
    <s v="Referral"/>
    <s v="Jan-2023"/>
    <s v="Dec-2024"/>
    <x v="5"/>
    <x v="3"/>
    <s v="Enterprise"/>
    <n v="2023"/>
  </r>
  <r>
    <s v="C0059"/>
    <x v="0"/>
    <d v="2022-06-29T00:00:00"/>
    <d v="2024-02-16T00:00:00"/>
    <n v="40"/>
    <s v="Churned"/>
    <s v="LinkedIn"/>
    <s v="Jun-2022"/>
    <s v="Feb-2024"/>
    <x v="5"/>
    <x v="5"/>
    <s v="Enterprise"/>
    <n v="2022"/>
  </r>
  <r>
    <s v="C0060"/>
    <x v="1"/>
    <d v="2022-04-24T00:00:00"/>
    <d v="2024-03-06T00:00:00"/>
    <n v="15"/>
    <s v="Churned"/>
    <s v="LinkedIn"/>
    <s v="Apr-2022"/>
    <s v="Mar-2024"/>
    <x v="5"/>
    <x v="0"/>
    <s v="Medium"/>
    <n v="2022"/>
  </r>
  <r>
    <s v="C0061"/>
    <x v="0"/>
    <d v="2024-03-26T00:00:00"/>
    <d v="2024-12-31T00:00:00"/>
    <n v="40"/>
    <s v="Active"/>
    <s v="Instagram"/>
    <s v="Mar-2024"/>
    <s v="Dec-2024"/>
    <x v="4"/>
    <x v="3"/>
    <s v="Enterprise"/>
    <n v="2024"/>
  </r>
  <r>
    <s v="C0062"/>
    <x v="2"/>
    <d v="2021-03-24T00:00:00"/>
    <d v="2024-12-31T00:00:00"/>
    <n v="25"/>
    <s v="Active"/>
    <s v="Facebook"/>
    <s v="Mar-2021"/>
    <s v="Dec-2024"/>
    <x v="3"/>
    <x v="5"/>
    <s v="Enterprise"/>
    <n v="2021"/>
  </r>
  <r>
    <s v="C0063"/>
    <x v="1"/>
    <d v="2023-12-20T00:00:00"/>
    <d v="2024-12-31T00:00:00"/>
    <n v="15"/>
    <s v="Churned"/>
    <s v="Referral"/>
    <s v="Dec-2023"/>
    <s v="Dec-2024"/>
    <x v="0"/>
    <x v="4"/>
    <s v="Medium"/>
    <n v="2023"/>
  </r>
  <r>
    <s v="C0064"/>
    <x v="2"/>
    <d v="2021-09-12T00:00:00"/>
    <d v="2024-12-31T00:00:00"/>
    <n v="25"/>
    <s v="Active"/>
    <s v="Google"/>
    <s v="Sep-2021"/>
    <s v="Dec-2024"/>
    <x v="5"/>
    <x v="4"/>
    <s v="Enterprise"/>
    <n v="2021"/>
  </r>
  <r>
    <s v="C0065"/>
    <x v="2"/>
    <d v="2024-04-01T00:00:00"/>
    <d v="2024-12-31T00:00:00"/>
    <n v="25"/>
    <s v="Active"/>
    <s v="Google"/>
    <s v="Apr-2024"/>
    <s v="Dec-2024"/>
    <x v="3"/>
    <x v="2"/>
    <s v="Medium"/>
    <n v="2024"/>
  </r>
  <r>
    <s v="C0066"/>
    <x v="0"/>
    <d v="2020-02-29T00:00:00"/>
    <d v="2024-12-31T00:00:00"/>
    <n v="40"/>
    <s v="Active"/>
    <s v="Google"/>
    <s v="Feb-2020"/>
    <s v="Dec-2024"/>
    <x v="5"/>
    <x v="2"/>
    <s v="Large"/>
    <n v="2020"/>
  </r>
  <r>
    <s v="C0067"/>
    <x v="1"/>
    <d v="2021-10-24T00:00:00"/>
    <d v="2024-12-31T00:00:00"/>
    <n v="15"/>
    <s v="Active"/>
    <s v="Referral"/>
    <s v="Oct-2021"/>
    <s v="Dec-2024"/>
    <x v="0"/>
    <x v="3"/>
    <s v="Enterprise"/>
    <n v="2021"/>
  </r>
  <r>
    <s v="C0068"/>
    <x v="1"/>
    <d v="2021-04-26T00:00:00"/>
    <d v="2024-12-31T00:00:00"/>
    <n v="15"/>
    <s v="Active"/>
    <s v="Instagram"/>
    <s v="Apr-2021"/>
    <s v="Dec-2024"/>
    <x v="1"/>
    <x v="2"/>
    <s v="Small"/>
    <n v="2021"/>
  </r>
  <r>
    <s v="C0069"/>
    <x v="2"/>
    <d v="2020-04-16T00:00:00"/>
    <d v="2024-12-31T00:00:00"/>
    <n v="25"/>
    <s v="Active"/>
    <s v="Instagram"/>
    <s v="Apr-2020"/>
    <s v="Dec-2024"/>
    <x v="1"/>
    <x v="1"/>
    <s v="Medium"/>
    <n v="2020"/>
  </r>
  <r>
    <s v="C0070"/>
    <x v="2"/>
    <d v="2021-08-09T00:00:00"/>
    <d v="2024-12-31T00:00:00"/>
    <n v="25"/>
    <s v="Active"/>
    <s v="Instagram"/>
    <s v="Aug-2021"/>
    <s v="Dec-2024"/>
    <x v="5"/>
    <x v="4"/>
    <s v="Small"/>
    <n v="2021"/>
  </r>
  <r>
    <s v="C0071"/>
    <x v="0"/>
    <d v="2023-03-16T00:00:00"/>
    <d v="2024-12-31T00:00:00"/>
    <n v="40"/>
    <s v="Active"/>
    <s v="Facebook"/>
    <s v="Mar-2023"/>
    <s v="Dec-2024"/>
    <x v="0"/>
    <x v="2"/>
    <s v="Medium"/>
    <n v="2023"/>
  </r>
  <r>
    <s v="C0072"/>
    <x v="2"/>
    <d v="2020-03-16T00:00:00"/>
    <d v="2024-12-31T00:00:00"/>
    <n v="25"/>
    <s v="Active"/>
    <s v="Google"/>
    <s v="Mar-2020"/>
    <s v="Dec-2024"/>
    <x v="0"/>
    <x v="3"/>
    <s v="Small"/>
    <n v="2020"/>
  </r>
  <r>
    <s v="C0073"/>
    <x v="2"/>
    <d v="2020-01-05T00:00:00"/>
    <d v="2024-12-31T00:00:00"/>
    <n v="25"/>
    <s v="Active"/>
    <s v="Facebook"/>
    <s v="Jan-2020"/>
    <s v="Dec-2024"/>
    <x v="2"/>
    <x v="0"/>
    <s v="Large"/>
    <n v="2020"/>
  </r>
  <r>
    <s v="C0074"/>
    <x v="0"/>
    <d v="2022-12-13T00:00:00"/>
    <d v="2024-12-31T00:00:00"/>
    <n v="40"/>
    <s v="Active"/>
    <s v="Instagram"/>
    <s v="Dec-2022"/>
    <s v="Dec-2024"/>
    <x v="1"/>
    <x v="1"/>
    <s v="Small"/>
    <n v="2022"/>
  </r>
  <r>
    <s v="C0075"/>
    <x v="0"/>
    <d v="2023-02-15T00:00:00"/>
    <d v="2024-12-31T00:00:00"/>
    <n v="40"/>
    <s v="Active"/>
    <s v="Facebook"/>
    <s v="Feb-2023"/>
    <s v="Dec-2024"/>
    <x v="0"/>
    <x v="1"/>
    <s v="Large"/>
    <n v="2023"/>
  </r>
  <r>
    <s v="C0076"/>
    <x v="2"/>
    <d v="2021-06-10T00:00:00"/>
    <d v="2024-12-31T00:00:00"/>
    <n v="25"/>
    <s v="Active"/>
    <s v="Google"/>
    <s v="Jun-2021"/>
    <s v="Dec-2024"/>
    <x v="3"/>
    <x v="3"/>
    <s v="Large"/>
    <n v="2021"/>
  </r>
  <r>
    <s v="C0077"/>
    <x v="0"/>
    <d v="2020-12-15T00:00:00"/>
    <d v="2024-12-31T00:00:00"/>
    <n v="40"/>
    <s v="Active"/>
    <s v="Referral"/>
    <s v="Dec-2020"/>
    <s v="Dec-2024"/>
    <x v="1"/>
    <x v="3"/>
    <s v="Small"/>
    <n v="2020"/>
  </r>
  <r>
    <s v="C0078"/>
    <x v="0"/>
    <d v="2021-11-22T00:00:00"/>
    <d v="2023-04-18T00:00:00"/>
    <n v="40"/>
    <s v="Churned"/>
    <s v="Facebook"/>
    <s v="Nov-2021"/>
    <s v="Apr-2023"/>
    <x v="0"/>
    <x v="5"/>
    <s v="Large"/>
    <n v="2021"/>
  </r>
  <r>
    <s v="C0079"/>
    <x v="1"/>
    <d v="2020-01-25T00:00:00"/>
    <d v="2024-12-31T00:00:00"/>
    <n v="15"/>
    <s v="Active"/>
    <s v="Instagram"/>
    <s v="Jan-2020"/>
    <s v="Dec-2024"/>
    <x v="0"/>
    <x v="2"/>
    <s v="Small"/>
    <n v="2020"/>
  </r>
  <r>
    <s v="C0080"/>
    <x v="1"/>
    <d v="2024-01-02T00:00:00"/>
    <d v="2024-12-31T00:00:00"/>
    <n v="15"/>
    <s v="Active"/>
    <s v="Google"/>
    <s v="Jan-2024"/>
    <s v="Dec-2024"/>
    <x v="5"/>
    <x v="2"/>
    <s v="Enterprise"/>
    <n v="2024"/>
  </r>
  <r>
    <s v="C0081"/>
    <x v="0"/>
    <d v="2022-04-07T00:00:00"/>
    <d v="2024-12-31T00:00:00"/>
    <n v="40"/>
    <s v="Active"/>
    <s v="Referral"/>
    <s v="Apr-2022"/>
    <s v="Dec-2024"/>
    <x v="4"/>
    <x v="1"/>
    <s v="Large"/>
    <n v="2022"/>
  </r>
  <r>
    <s v="C0082"/>
    <x v="1"/>
    <d v="2020-07-11T00:00:00"/>
    <d v="2021-03-13T00:00:00"/>
    <n v="15"/>
    <s v="Churned"/>
    <s v="LinkedIn"/>
    <s v="Jul-2020"/>
    <s v="Mar-2021"/>
    <x v="3"/>
    <x v="2"/>
    <s v="Enterprise"/>
    <n v="2020"/>
  </r>
  <r>
    <s v="C0083"/>
    <x v="1"/>
    <d v="2022-03-02T00:00:00"/>
    <d v="2024-12-31T00:00:00"/>
    <n v="15"/>
    <s v="Active"/>
    <s v="Referral"/>
    <s v="Mar-2022"/>
    <s v="Dec-2024"/>
    <x v="2"/>
    <x v="0"/>
    <s v="Medium"/>
    <n v="2022"/>
  </r>
  <r>
    <s v="C0084"/>
    <x v="1"/>
    <d v="2021-05-24T00:00:00"/>
    <d v="2021-09-09T00:00:00"/>
    <n v="15"/>
    <s v="Churned"/>
    <s v="Facebook"/>
    <s v="May-2021"/>
    <s v="Sep-2021"/>
    <x v="3"/>
    <x v="4"/>
    <s v="Medium"/>
    <n v="2021"/>
  </r>
  <r>
    <s v="C0085"/>
    <x v="0"/>
    <d v="2021-07-01T00:00:00"/>
    <d v="2024-12-31T00:00:00"/>
    <n v="40"/>
    <s v="Active"/>
    <s v="Instagram"/>
    <s v="Jul-2021"/>
    <s v="Dec-2024"/>
    <x v="3"/>
    <x v="2"/>
    <s v="Small"/>
    <n v="2021"/>
  </r>
  <r>
    <s v="C0086"/>
    <x v="2"/>
    <d v="2021-10-18T00:00:00"/>
    <d v="2022-12-04T00:00:00"/>
    <n v="25"/>
    <s v="Churned"/>
    <s v="Google"/>
    <s v="Oct-2021"/>
    <s v="Dec-2022"/>
    <x v="3"/>
    <x v="0"/>
    <s v="Medium"/>
    <n v="2021"/>
  </r>
  <r>
    <s v="C0087"/>
    <x v="0"/>
    <d v="2023-09-18T00:00:00"/>
    <d v="2024-12-31T00:00:00"/>
    <n v="40"/>
    <s v="Active"/>
    <s v="Google"/>
    <s v="Sep-2023"/>
    <s v="Dec-2024"/>
    <x v="3"/>
    <x v="1"/>
    <s v="Large"/>
    <n v="2023"/>
  </r>
  <r>
    <s v="C0088"/>
    <x v="0"/>
    <d v="2022-05-10T00:00:00"/>
    <d v="2024-06-09T00:00:00"/>
    <n v="40"/>
    <s v="Churned"/>
    <s v="Referral"/>
    <s v="May-2022"/>
    <s v="Jun-2024"/>
    <x v="1"/>
    <x v="2"/>
    <s v="Large"/>
    <n v="2022"/>
  </r>
  <r>
    <s v="C0089"/>
    <x v="2"/>
    <d v="2020-11-08T00:00:00"/>
    <d v="2024-12-31T00:00:00"/>
    <n v="25"/>
    <s v="Active"/>
    <s v="Google"/>
    <s v="Nov-2020"/>
    <s v="Dec-2024"/>
    <x v="2"/>
    <x v="1"/>
    <s v="Medium"/>
    <n v="2020"/>
  </r>
  <r>
    <s v="C0090"/>
    <x v="2"/>
    <d v="2021-02-21T00:00:00"/>
    <d v="2021-11-06T00:00:00"/>
    <n v="25"/>
    <s v="Churned"/>
    <s v="Facebook"/>
    <s v="Feb-2021"/>
    <s v="Nov-2021"/>
    <x v="3"/>
    <x v="5"/>
    <s v="Enterprise"/>
    <n v="2021"/>
  </r>
  <r>
    <s v="C0091"/>
    <x v="1"/>
    <d v="2022-03-23T00:00:00"/>
    <d v="2024-05-23T00:00:00"/>
    <n v="15"/>
    <s v="Churned"/>
    <s v="Facebook"/>
    <s v="Mar-2022"/>
    <s v="May-2024"/>
    <x v="1"/>
    <x v="1"/>
    <s v="Large"/>
    <n v="2022"/>
  </r>
  <r>
    <s v="C0092"/>
    <x v="2"/>
    <d v="2024-01-13T00:00:00"/>
    <d v="2024-12-31T00:00:00"/>
    <n v="25"/>
    <s v="Active"/>
    <s v="Facebook"/>
    <s v="Jan-2024"/>
    <s v="Dec-2024"/>
    <x v="3"/>
    <x v="1"/>
    <s v="Medium"/>
    <n v="2024"/>
  </r>
  <r>
    <s v="C0093"/>
    <x v="0"/>
    <d v="2023-09-25T00:00:00"/>
    <d v="2024-12-31T00:00:00"/>
    <n v="40"/>
    <s v="Active"/>
    <s v="Referral"/>
    <s v="Sep-2023"/>
    <s v="Dec-2024"/>
    <x v="5"/>
    <x v="2"/>
    <s v="Large"/>
    <n v="2023"/>
  </r>
  <r>
    <s v="C0094"/>
    <x v="2"/>
    <d v="2020-08-14T00:00:00"/>
    <d v="2024-12-31T00:00:00"/>
    <n v="25"/>
    <s v="Active"/>
    <s v="LinkedIn"/>
    <s v="Aug-2020"/>
    <s v="Dec-2024"/>
    <x v="5"/>
    <x v="1"/>
    <s v="Small"/>
    <n v="2020"/>
  </r>
  <r>
    <s v="C0095"/>
    <x v="2"/>
    <d v="2020-03-14T00:00:00"/>
    <d v="2024-12-31T00:00:00"/>
    <n v="25"/>
    <s v="Active"/>
    <s v="Instagram"/>
    <s v="Mar-2020"/>
    <s v="Dec-2024"/>
    <x v="5"/>
    <x v="4"/>
    <s v="Large"/>
    <n v="2020"/>
  </r>
  <r>
    <s v="C0096"/>
    <x v="1"/>
    <d v="2021-02-23T00:00:00"/>
    <d v="2024-12-31T00:00:00"/>
    <n v="15"/>
    <s v="Active"/>
    <s v="Facebook"/>
    <s v="Feb-2021"/>
    <s v="Dec-2024"/>
    <x v="1"/>
    <x v="3"/>
    <s v="Medium"/>
    <n v="2021"/>
  </r>
  <r>
    <s v="C0097"/>
    <x v="2"/>
    <d v="2020-08-25T00:00:00"/>
    <d v="2024-12-31T00:00:00"/>
    <n v="25"/>
    <s v="Active"/>
    <s v="Facebook"/>
    <s v="Aug-2020"/>
    <s v="Dec-2024"/>
    <x v="3"/>
    <x v="2"/>
    <s v="Medium"/>
    <n v="2020"/>
  </r>
  <r>
    <s v="C0098"/>
    <x v="2"/>
    <d v="2024-05-03T00:00:00"/>
    <d v="2024-12-31T00:00:00"/>
    <n v="25"/>
    <s v="Churned"/>
    <s v="Facebook"/>
    <s v="May-2024"/>
    <s v="Dec-2024"/>
    <x v="1"/>
    <x v="1"/>
    <s v="Enterprise"/>
    <n v="2024"/>
  </r>
  <r>
    <s v="C0099"/>
    <x v="1"/>
    <d v="2022-09-12T00:00:00"/>
    <d v="2024-12-31T00:00:00"/>
    <n v="15"/>
    <s v="Active"/>
    <s v="Google"/>
    <s v="Sep-2022"/>
    <s v="Dec-2024"/>
    <x v="3"/>
    <x v="2"/>
    <s v="Enterprise"/>
    <n v="2022"/>
  </r>
  <r>
    <s v="C0100"/>
    <x v="2"/>
    <d v="2020-08-14T00:00:00"/>
    <d v="2024-12-31T00:00:00"/>
    <n v="25"/>
    <s v="Active"/>
    <s v="Instagram"/>
    <s v="Aug-2020"/>
    <s v="Dec-2024"/>
    <x v="0"/>
    <x v="4"/>
    <s v="Medium"/>
    <n v="2020"/>
  </r>
  <r>
    <s v="C0101"/>
    <x v="0"/>
    <d v="2020-08-05T00:00:00"/>
    <d v="2024-12-31T00:00:00"/>
    <n v="40"/>
    <s v="Active"/>
    <s v="Facebook"/>
    <s v="Aug-2020"/>
    <s v="Dec-2024"/>
    <x v="3"/>
    <x v="1"/>
    <s v="Medium"/>
    <n v="2020"/>
  </r>
  <r>
    <s v="C0102"/>
    <x v="0"/>
    <d v="2023-12-18T00:00:00"/>
    <d v="2024-12-31T00:00:00"/>
    <n v="40"/>
    <s v="Active"/>
    <s v="Referral"/>
    <s v="Dec-2023"/>
    <s v="Dec-2024"/>
    <x v="0"/>
    <x v="2"/>
    <s v="Enterprise"/>
    <n v="2023"/>
  </r>
  <r>
    <s v="C0103"/>
    <x v="2"/>
    <d v="2021-03-10T00:00:00"/>
    <d v="2021-09-16T00:00:00"/>
    <n v="25"/>
    <s v="Churned"/>
    <s v="Google"/>
    <s v="Mar-2021"/>
    <s v="Sep-2021"/>
    <x v="4"/>
    <x v="1"/>
    <s v="Small"/>
    <n v="2021"/>
  </r>
  <r>
    <s v="C0104"/>
    <x v="0"/>
    <d v="2024-03-20T00:00:00"/>
    <d v="2024-12-31T00:00:00"/>
    <n v="40"/>
    <s v="Active"/>
    <s v="Facebook"/>
    <s v="Mar-2024"/>
    <s v="Dec-2024"/>
    <x v="3"/>
    <x v="2"/>
    <s v="Small"/>
    <n v="2024"/>
  </r>
  <r>
    <s v="C0105"/>
    <x v="2"/>
    <d v="2020-05-04T00:00:00"/>
    <d v="2024-12-31T00:00:00"/>
    <n v="25"/>
    <s v="Active"/>
    <s v="Facebook"/>
    <s v="May-2020"/>
    <s v="Dec-2024"/>
    <x v="3"/>
    <x v="4"/>
    <s v="Enterprise"/>
    <n v="2020"/>
  </r>
  <r>
    <s v="C0106"/>
    <x v="2"/>
    <d v="2024-06-17T00:00:00"/>
    <d v="2024-12-31T00:00:00"/>
    <n v="25"/>
    <s v="Churned"/>
    <s v="Instagram"/>
    <s v="Jun-2024"/>
    <s v="Dec-2024"/>
    <x v="0"/>
    <x v="4"/>
    <s v="Medium"/>
    <n v="2024"/>
  </r>
  <r>
    <s v="C0107"/>
    <x v="0"/>
    <d v="2020-11-11T00:00:00"/>
    <d v="2021-02-12T00:00:00"/>
    <n v="40"/>
    <s v="Churned"/>
    <s v="Google"/>
    <s v="Nov-2020"/>
    <s v="Feb-2021"/>
    <x v="1"/>
    <x v="5"/>
    <s v="Large"/>
    <n v="2020"/>
  </r>
  <r>
    <s v="C0108"/>
    <x v="0"/>
    <d v="2022-01-25T00:00:00"/>
    <d v="2024-12-31T00:00:00"/>
    <n v="40"/>
    <s v="Active"/>
    <s v="Referral"/>
    <s v="Jan-2022"/>
    <s v="Dec-2024"/>
    <x v="5"/>
    <x v="2"/>
    <s v="Enterprise"/>
    <n v="2022"/>
  </r>
  <r>
    <s v="C0109"/>
    <x v="1"/>
    <d v="2021-11-21T00:00:00"/>
    <d v="2024-12-31T00:00:00"/>
    <n v="15"/>
    <s v="Active"/>
    <s v="Facebook"/>
    <s v="Nov-2021"/>
    <s v="Dec-2024"/>
    <x v="0"/>
    <x v="1"/>
    <s v="Large"/>
    <n v="2021"/>
  </r>
  <r>
    <s v="C0110"/>
    <x v="0"/>
    <d v="2023-04-15T00:00:00"/>
    <d v="2024-12-31T00:00:00"/>
    <n v="40"/>
    <s v="Active"/>
    <s v="Instagram"/>
    <s v="Apr-2023"/>
    <s v="Dec-2024"/>
    <x v="5"/>
    <x v="2"/>
    <s v="Large"/>
    <n v="2023"/>
  </r>
  <r>
    <s v="C0111"/>
    <x v="2"/>
    <d v="2022-12-11T00:00:00"/>
    <d v="2023-08-31T00:00:00"/>
    <n v="25"/>
    <s v="Churned"/>
    <s v="Instagram"/>
    <s v="Dec-2022"/>
    <s v="Aug-2023"/>
    <x v="5"/>
    <x v="0"/>
    <s v="Enterprise"/>
    <n v="2022"/>
  </r>
  <r>
    <s v="C0112"/>
    <x v="1"/>
    <d v="2023-08-25T00:00:00"/>
    <d v="2024-09-18T00:00:00"/>
    <n v="15"/>
    <s v="Churned"/>
    <s v="Referral"/>
    <s v="Aug-2023"/>
    <s v="Sep-2024"/>
    <x v="2"/>
    <x v="1"/>
    <s v="Medium"/>
    <n v="2023"/>
  </r>
  <r>
    <s v="C0113"/>
    <x v="2"/>
    <d v="2024-04-08T00:00:00"/>
    <d v="2024-12-31T00:00:00"/>
    <n v="25"/>
    <s v="Churned"/>
    <s v="Google"/>
    <s v="Apr-2024"/>
    <s v="Dec-2024"/>
    <x v="4"/>
    <x v="0"/>
    <s v="Enterprise"/>
    <n v="2024"/>
  </r>
  <r>
    <s v="C0114"/>
    <x v="2"/>
    <d v="2020-04-10T00:00:00"/>
    <d v="2024-12-31T00:00:00"/>
    <n v="25"/>
    <s v="Active"/>
    <s v="Facebook"/>
    <s v="Apr-2020"/>
    <s v="Dec-2024"/>
    <x v="0"/>
    <x v="4"/>
    <s v="Small"/>
    <n v="2020"/>
  </r>
  <r>
    <s v="C0115"/>
    <x v="0"/>
    <d v="2020-11-06T00:00:00"/>
    <d v="2024-12-31T00:00:00"/>
    <n v="40"/>
    <s v="Active"/>
    <s v="Referral"/>
    <s v="Nov-2020"/>
    <s v="Dec-2024"/>
    <x v="1"/>
    <x v="4"/>
    <s v="Enterprise"/>
    <n v="2020"/>
  </r>
  <r>
    <s v="C0116"/>
    <x v="0"/>
    <d v="2021-08-05T00:00:00"/>
    <d v="2024-12-31T00:00:00"/>
    <n v="40"/>
    <s v="Active"/>
    <s v="Facebook"/>
    <s v="Aug-2021"/>
    <s v="Dec-2024"/>
    <x v="0"/>
    <x v="1"/>
    <s v="Medium"/>
    <n v="2021"/>
  </r>
  <r>
    <s v="C0117"/>
    <x v="2"/>
    <d v="2024-03-19T00:00:00"/>
    <d v="2024-12-31T00:00:00"/>
    <n v="25"/>
    <s v="Churned"/>
    <s v="Google"/>
    <s v="Mar-2024"/>
    <s v="Dec-2024"/>
    <x v="2"/>
    <x v="4"/>
    <s v="Small"/>
    <n v="2024"/>
  </r>
  <r>
    <s v="C0118"/>
    <x v="2"/>
    <d v="2024-04-13T00:00:00"/>
    <d v="2024-12-31T00:00:00"/>
    <n v="25"/>
    <s v="Churned"/>
    <s v="Instagram"/>
    <s v="Apr-2024"/>
    <s v="Dec-2024"/>
    <x v="1"/>
    <x v="3"/>
    <s v="Medium"/>
    <n v="2024"/>
  </r>
  <r>
    <s v="C0119"/>
    <x v="2"/>
    <d v="2023-12-03T00:00:00"/>
    <d v="2024-12-31T00:00:00"/>
    <n v="25"/>
    <s v="Active"/>
    <s v="Instagram"/>
    <s v="Dec-2023"/>
    <s v="Dec-2024"/>
    <x v="2"/>
    <x v="3"/>
    <s v="Large"/>
    <n v="2023"/>
  </r>
  <r>
    <s v="C0120"/>
    <x v="2"/>
    <d v="2023-02-14T00:00:00"/>
    <d v="2024-12-31T00:00:00"/>
    <n v="25"/>
    <s v="Active"/>
    <s v="Referral"/>
    <s v="Feb-2023"/>
    <s v="Dec-2024"/>
    <x v="5"/>
    <x v="5"/>
    <s v="Medium"/>
    <n v="2023"/>
  </r>
  <r>
    <s v="C0121"/>
    <x v="0"/>
    <d v="2021-06-06T00:00:00"/>
    <d v="2024-12-31T00:00:00"/>
    <n v="40"/>
    <s v="Active"/>
    <s v="Facebook"/>
    <s v="Jun-2021"/>
    <s v="Dec-2024"/>
    <x v="3"/>
    <x v="1"/>
    <s v="Enterprise"/>
    <n v="2021"/>
  </r>
  <r>
    <s v="C0122"/>
    <x v="0"/>
    <d v="2023-05-06T00:00:00"/>
    <d v="2024-12-31T00:00:00"/>
    <n v="40"/>
    <s v="Active"/>
    <s v="Google"/>
    <s v="May-2023"/>
    <s v="Dec-2024"/>
    <x v="1"/>
    <x v="1"/>
    <s v="Small"/>
    <n v="2023"/>
  </r>
  <r>
    <s v="C0123"/>
    <x v="0"/>
    <d v="2024-04-07T00:00:00"/>
    <d v="2024-12-31T00:00:00"/>
    <n v="40"/>
    <s v="Churned"/>
    <s v="Google"/>
    <s v="Apr-2024"/>
    <s v="Dec-2024"/>
    <x v="3"/>
    <x v="5"/>
    <s v="Small"/>
    <n v="2024"/>
  </r>
  <r>
    <s v="C0124"/>
    <x v="0"/>
    <d v="2024-04-13T00:00:00"/>
    <d v="2024-12-31T00:00:00"/>
    <n v="40"/>
    <s v="Active"/>
    <s v="Facebook"/>
    <s v="Apr-2024"/>
    <s v="Dec-2024"/>
    <x v="5"/>
    <x v="0"/>
    <s v="Enterprise"/>
    <n v="2024"/>
  </r>
  <r>
    <s v="C0125"/>
    <x v="0"/>
    <d v="2023-12-19T00:00:00"/>
    <d v="2024-12-31T00:00:00"/>
    <n v="40"/>
    <s v="Active"/>
    <s v="Referral"/>
    <s v="Dec-2023"/>
    <s v="Dec-2024"/>
    <x v="0"/>
    <x v="3"/>
    <s v="Small"/>
    <n v="2023"/>
  </r>
  <r>
    <s v="C0126"/>
    <x v="0"/>
    <d v="2022-03-26T00:00:00"/>
    <d v="2024-12-31T00:00:00"/>
    <n v="40"/>
    <s v="Active"/>
    <s v="Instagram"/>
    <s v="Mar-2022"/>
    <s v="Dec-2024"/>
    <x v="4"/>
    <x v="3"/>
    <s v="Small"/>
    <n v="2022"/>
  </r>
  <r>
    <s v="C0127"/>
    <x v="2"/>
    <d v="2021-03-16T00:00:00"/>
    <d v="2022-11-01T00:00:00"/>
    <n v="25"/>
    <s v="Churned"/>
    <s v="Google"/>
    <s v="Mar-2021"/>
    <s v="Nov-2022"/>
    <x v="3"/>
    <x v="5"/>
    <s v="Large"/>
    <n v="2021"/>
  </r>
  <r>
    <s v="C0128"/>
    <x v="1"/>
    <d v="2022-04-02T00:00:00"/>
    <d v="2024-12-31T00:00:00"/>
    <n v="15"/>
    <s v="Active"/>
    <s v="Facebook"/>
    <s v="Apr-2022"/>
    <s v="Dec-2024"/>
    <x v="0"/>
    <x v="3"/>
    <s v="Medium"/>
    <n v="2022"/>
  </r>
  <r>
    <s v="C0129"/>
    <x v="2"/>
    <d v="2022-11-30T00:00:00"/>
    <d v="2024-12-31T00:00:00"/>
    <n v="25"/>
    <s v="Churned"/>
    <s v="LinkedIn"/>
    <s v="Nov-2022"/>
    <s v="Dec-2024"/>
    <x v="4"/>
    <x v="1"/>
    <s v="Small"/>
    <n v="2022"/>
  </r>
  <r>
    <s v="C0130"/>
    <x v="0"/>
    <d v="2023-08-16T00:00:00"/>
    <d v="2024-12-31T00:00:00"/>
    <n v="40"/>
    <s v="Active"/>
    <s v="Instagram"/>
    <s v="Aug-2023"/>
    <s v="Dec-2024"/>
    <x v="4"/>
    <x v="3"/>
    <s v="Enterprise"/>
    <n v="2023"/>
  </r>
  <r>
    <s v="C0131"/>
    <x v="0"/>
    <d v="2023-02-04T00:00:00"/>
    <d v="2024-12-31T00:00:00"/>
    <n v="40"/>
    <s v="Active"/>
    <s v="Google"/>
    <s v="Feb-2023"/>
    <s v="Dec-2024"/>
    <x v="3"/>
    <x v="5"/>
    <s v="Medium"/>
    <n v="2023"/>
  </r>
  <r>
    <s v="C0132"/>
    <x v="0"/>
    <d v="2021-05-22T00:00:00"/>
    <d v="2024-12-31T00:00:00"/>
    <n v="40"/>
    <s v="Active"/>
    <s v="Google"/>
    <s v="May-2021"/>
    <s v="Dec-2024"/>
    <x v="1"/>
    <x v="5"/>
    <s v="Enterprise"/>
    <n v="2021"/>
  </r>
  <r>
    <s v="C0133"/>
    <x v="1"/>
    <d v="2023-03-06T00:00:00"/>
    <d v="2024-12-31T00:00:00"/>
    <n v="15"/>
    <s v="Churned"/>
    <s v="LinkedIn"/>
    <s v="Mar-2023"/>
    <s v="Dec-2024"/>
    <x v="3"/>
    <x v="0"/>
    <s v="Medium"/>
    <n v="2023"/>
  </r>
  <r>
    <s v="C0134"/>
    <x v="1"/>
    <d v="2023-07-08T00:00:00"/>
    <d v="2024-12-31T00:00:00"/>
    <n v="15"/>
    <s v="Active"/>
    <s v="Google"/>
    <s v="Jul-2023"/>
    <s v="Dec-2024"/>
    <x v="2"/>
    <x v="0"/>
    <s v="Medium"/>
    <n v="2023"/>
  </r>
  <r>
    <s v="C0135"/>
    <x v="1"/>
    <d v="2022-08-28T00:00:00"/>
    <d v="2024-12-31T00:00:00"/>
    <n v="15"/>
    <s v="Active"/>
    <s v="Instagram"/>
    <s v="Aug-2022"/>
    <s v="Dec-2024"/>
    <x v="1"/>
    <x v="3"/>
    <s v="Enterprise"/>
    <n v="2022"/>
  </r>
  <r>
    <s v="C0136"/>
    <x v="0"/>
    <d v="2024-06-10T00:00:00"/>
    <d v="2024-12-31T00:00:00"/>
    <n v="40"/>
    <s v="Active"/>
    <s v="Facebook"/>
    <s v="Jun-2024"/>
    <s v="Dec-2024"/>
    <x v="0"/>
    <x v="3"/>
    <s v="Small"/>
    <n v="2024"/>
  </r>
  <r>
    <s v="C0137"/>
    <x v="0"/>
    <d v="2022-05-11T00:00:00"/>
    <d v="2024-12-31T00:00:00"/>
    <n v="40"/>
    <s v="Active"/>
    <s v="Google"/>
    <s v="May-2022"/>
    <s v="Dec-2024"/>
    <x v="1"/>
    <x v="4"/>
    <s v="Enterprise"/>
    <n v="2022"/>
  </r>
  <r>
    <s v="C0138"/>
    <x v="0"/>
    <d v="2020-06-18T00:00:00"/>
    <d v="2021-10-11T00:00:00"/>
    <n v="40"/>
    <s v="Churned"/>
    <s v="Referral"/>
    <s v="Jun-2020"/>
    <s v="Oct-2021"/>
    <x v="0"/>
    <x v="4"/>
    <s v="Medium"/>
    <n v="2020"/>
  </r>
  <r>
    <s v="C0139"/>
    <x v="0"/>
    <d v="2020-08-26T00:00:00"/>
    <d v="2024-12-31T00:00:00"/>
    <n v="40"/>
    <s v="Active"/>
    <s v="Facebook"/>
    <s v="Aug-2020"/>
    <s v="Dec-2024"/>
    <x v="1"/>
    <x v="2"/>
    <s v="Small"/>
    <n v="2020"/>
  </r>
  <r>
    <s v="C0140"/>
    <x v="0"/>
    <d v="2021-11-01T00:00:00"/>
    <d v="2024-01-01T00:00:00"/>
    <n v="40"/>
    <s v="Churned"/>
    <s v="Referral"/>
    <s v="Nov-2021"/>
    <s v="Jan-2024"/>
    <x v="1"/>
    <x v="5"/>
    <s v="Large"/>
    <n v="2021"/>
  </r>
  <r>
    <s v="C0141"/>
    <x v="2"/>
    <d v="2023-09-10T00:00:00"/>
    <d v="2024-12-31T00:00:00"/>
    <n v="25"/>
    <s v="Active"/>
    <s v="Referral"/>
    <s v="Sep-2023"/>
    <s v="Dec-2024"/>
    <x v="3"/>
    <x v="0"/>
    <s v="Medium"/>
    <n v="2023"/>
  </r>
  <r>
    <s v="C0142"/>
    <x v="0"/>
    <d v="2022-07-19T00:00:00"/>
    <d v="2024-09-26T00:00:00"/>
    <n v="40"/>
    <s v="Churned"/>
    <s v="Google"/>
    <s v="Jul-2022"/>
    <s v="Sep-2024"/>
    <x v="4"/>
    <x v="2"/>
    <s v="Large"/>
    <n v="2022"/>
  </r>
  <r>
    <s v="C0143"/>
    <x v="2"/>
    <d v="2021-03-06T00:00:00"/>
    <d v="2024-12-31T00:00:00"/>
    <n v="25"/>
    <s v="Active"/>
    <s v="LinkedIn"/>
    <s v="Mar-2021"/>
    <s v="Dec-2024"/>
    <x v="2"/>
    <x v="1"/>
    <s v="Small"/>
    <n v="2021"/>
  </r>
  <r>
    <s v="C0144"/>
    <x v="0"/>
    <d v="2022-06-11T00:00:00"/>
    <d v="2024-05-29T00:00:00"/>
    <n v="40"/>
    <s v="Churned"/>
    <s v="Facebook"/>
    <s v="Jun-2022"/>
    <s v="May-2024"/>
    <x v="0"/>
    <x v="3"/>
    <s v="Enterprise"/>
    <n v="2022"/>
  </r>
  <r>
    <s v="C0145"/>
    <x v="2"/>
    <d v="2021-01-13T00:00:00"/>
    <d v="2022-08-06T00:00:00"/>
    <n v="25"/>
    <s v="Churned"/>
    <s v="LinkedIn"/>
    <s v="Jan-2021"/>
    <s v="Aug-2022"/>
    <x v="4"/>
    <x v="1"/>
    <s v="Medium"/>
    <n v="2021"/>
  </r>
  <r>
    <s v="C0146"/>
    <x v="2"/>
    <d v="2024-06-13T00:00:00"/>
    <d v="2024-12-31T00:00:00"/>
    <n v="25"/>
    <s v="Churned"/>
    <s v="Facebook"/>
    <s v="Jun-2024"/>
    <s v="Dec-2024"/>
    <x v="4"/>
    <x v="4"/>
    <s v="Large"/>
    <n v="2024"/>
  </r>
  <r>
    <s v="C0147"/>
    <x v="2"/>
    <d v="2024-04-02T00:00:00"/>
    <d v="2024-12-31T00:00:00"/>
    <n v="25"/>
    <s v="Active"/>
    <s v="LinkedIn"/>
    <s v="Apr-2024"/>
    <s v="Dec-2024"/>
    <x v="0"/>
    <x v="0"/>
    <s v="Medium"/>
    <n v="2024"/>
  </r>
  <r>
    <s v="C0148"/>
    <x v="1"/>
    <d v="2024-05-23T00:00:00"/>
    <d v="2024-12-31T00:00:00"/>
    <n v="15"/>
    <s v="Active"/>
    <s v="Referral"/>
    <s v="May-2024"/>
    <s v="Dec-2024"/>
    <x v="3"/>
    <x v="3"/>
    <s v="Small"/>
    <n v="2024"/>
  </r>
  <r>
    <s v="C0149"/>
    <x v="0"/>
    <d v="2021-08-24T00:00:00"/>
    <d v="2024-12-31T00:00:00"/>
    <n v="40"/>
    <s v="Active"/>
    <s v="LinkedIn"/>
    <s v="Aug-2021"/>
    <s v="Dec-2024"/>
    <x v="1"/>
    <x v="3"/>
    <s v="Enterprise"/>
    <n v="2021"/>
  </r>
  <r>
    <s v="C0150"/>
    <x v="0"/>
    <d v="2021-02-23T00:00:00"/>
    <d v="2024-12-31T00:00:00"/>
    <n v="40"/>
    <s v="Active"/>
    <s v="LinkedIn"/>
    <s v="Feb-2021"/>
    <s v="Dec-2024"/>
    <x v="2"/>
    <x v="0"/>
    <s v="Enterprise"/>
    <n v="2021"/>
  </r>
  <r>
    <s v="C0151"/>
    <x v="2"/>
    <d v="2022-11-01T00:00:00"/>
    <d v="2024-12-31T00:00:00"/>
    <n v="25"/>
    <s v="Active"/>
    <s v="Referral"/>
    <s v="Nov-2022"/>
    <s v="Dec-2024"/>
    <x v="1"/>
    <x v="0"/>
    <s v="Medium"/>
    <n v="2022"/>
  </r>
  <r>
    <s v="C0152"/>
    <x v="1"/>
    <d v="2021-11-24T00:00:00"/>
    <d v="2023-04-24T00:00:00"/>
    <n v="15"/>
    <s v="Churned"/>
    <s v="LinkedIn"/>
    <s v="Nov-2021"/>
    <s v="Apr-2023"/>
    <x v="2"/>
    <x v="2"/>
    <s v="Enterprise"/>
    <n v="2021"/>
  </r>
  <r>
    <s v="C0153"/>
    <x v="2"/>
    <d v="2023-01-29T00:00:00"/>
    <d v="2024-12-31T00:00:00"/>
    <n v="25"/>
    <s v="Active"/>
    <s v="Google"/>
    <s v="Jan-2023"/>
    <s v="Dec-2024"/>
    <x v="3"/>
    <x v="5"/>
    <s v="Enterprise"/>
    <n v="2023"/>
  </r>
  <r>
    <s v="C0154"/>
    <x v="2"/>
    <d v="2021-12-08T00:00:00"/>
    <d v="2024-12-31T00:00:00"/>
    <n v="25"/>
    <s v="Active"/>
    <s v="Referral"/>
    <s v="Dec-2021"/>
    <s v="Dec-2024"/>
    <x v="3"/>
    <x v="1"/>
    <s v="Enterprise"/>
    <n v="2021"/>
  </r>
  <r>
    <s v="C0155"/>
    <x v="0"/>
    <d v="2024-04-07T00:00:00"/>
    <d v="2024-12-31T00:00:00"/>
    <n v="40"/>
    <s v="Active"/>
    <s v="LinkedIn"/>
    <s v="Apr-2024"/>
    <s v="Dec-2024"/>
    <x v="5"/>
    <x v="5"/>
    <s v="Enterprise"/>
    <n v="2024"/>
  </r>
  <r>
    <s v="C0156"/>
    <x v="2"/>
    <d v="2021-01-23T00:00:00"/>
    <d v="2021-06-24T00:00:00"/>
    <n v="25"/>
    <s v="Churned"/>
    <s v="Google"/>
    <s v="Jan-2021"/>
    <s v="Jun-2021"/>
    <x v="4"/>
    <x v="1"/>
    <s v="Small"/>
    <n v="2021"/>
  </r>
  <r>
    <s v="C0157"/>
    <x v="1"/>
    <d v="2022-07-23T00:00:00"/>
    <d v="2024-12-31T00:00:00"/>
    <n v="15"/>
    <s v="Active"/>
    <s v="LinkedIn"/>
    <s v="Jul-2022"/>
    <s v="Dec-2024"/>
    <x v="4"/>
    <x v="2"/>
    <s v="Medium"/>
    <n v="2022"/>
  </r>
  <r>
    <s v="C0158"/>
    <x v="1"/>
    <d v="2021-07-18T00:00:00"/>
    <d v="2024-12-31T00:00:00"/>
    <n v="15"/>
    <s v="Active"/>
    <s v="Google"/>
    <s v="Jul-2021"/>
    <s v="Dec-2024"/>
    <x v="1"/>
    <x v="2"/>
    <s v="Small"/>
    <n v="2021"/>
  </r>
  <r>
    <s v="C0159"/>
    <x v="2"/>
    <d v="2023-05-30T00:00:00"/>
    <d v="2024-12-31T00:00:00"/>
    <n v="25"/>
    <s v="Churned"/>
    <s v="Google"/>
    <s v="May-2023"/>
    <s v="Dec-2024"/>
    <x v="2"/>
    <x v="4"/>
    <s v="Large"/>
    <n v="2023"/>
  </r>
  <r>
    <s v="C0160"/>
    <x v="0"/>
    <d v="2020-01-29T00:00:00"/>
    <d v="2024-12-31T00:00:00"/>
    <n v="40"/>
    <s v="Active"/>
    <s v="LinkedIn"/>
    <s v="Jan-2020"/>
    <s v="Dec-2024"/>
    <x v="2"/>
    <x v="0"/>
    <s v="Enterprise"/>
    <n v="2020"/>
  </r>
  <r>
    <s v="C0161"/>
    <x v="2"/>
    <d v="2023-04-18T00:00:00"/>
    <d v="2024-12-31T00:00:00"/>
    <n v="25"/>
    <s v="Active"/>
    <s v="Facebook"/>
    <s v="Apr-2023"/>
    <s v="Dec-2024"/>
    <x v="2"/>
    <x v="2"/>
    <s v="Small"/>
    <n v="2023"/>
  </r>
  <r>
    <s v="C0162"/>
    <x v="2"/>
    <d v="2023-11-24T00:00:00"/>
    <d v="2024-12-31T00:00:00"/>
    <n v="25"/>
    <s v="Active"/>
    <s v="Facebook"/>
    <s v="Nov-2023"/>
    <s v="Dec-2024"/>
    <x v="5"/>
    <x v="3"/>
    <s v="Medium"/>
    <n v="2023"/>
  </r>
  <r>
    <s v="C0163"/>
    <x v="0"/>
    <d v="2021-12-02T00:00:00"/>
    <d v="2024-12-31T00:00:00"/>
    <n v="40"/>
    <s v="Active"/>
    <s v="Instagram"/>
    <s v="Dec-2021"/>
    <s v="Dec-2024"/>
    <x v="2"/>
    <x v="4"/>
    <s v="Small"/>
    <n v="2021"/>
  </r>
  <r>
    <s v="C0164"/>
    <x v="2"/>
    <d v="2023-10-23T00:00:00"/>
    <d v="2024-12-31T00:00:00"/>
    <n v="25"/>
    <s v="Active"/>
    <s v="Google"/>
    <s v="Oct-2023"/>
    <s v="Dec-2024"/>
    <x v="1"/>
    <x v="4"/>
    <s v="Enterprise"/>
    <n v="2023"/>
  </r>
  <r>
    <s v="C0165"/>
    <x v="0"/>
    <d v="2024-05-08T00:00:00"/>
    <d v="2024-12-31T00:00:00"/>
    <n v="40"/>
    <s v="Active"/>
    <s v="Instagram"/>
    <s v="May-2024"/>
    <s v="Dec-2024"/>
    <x v="1"/>
    <x v="1"/>
    <s v="Small"/>
    <n v="2024"/>
  </r>
  <r>
    <s v="C0166"/>
    <x v="0"/>
    <d v="2023-04-08T00:00:00"/>
    <d v="2024-12-31T00:00:00"/>
    <n v="40"/>
    <s v="Active"/>
    <s v="Referral"/>
    <s v="Apr-2023"/>
    <s v="Dec-2024"/>
    <x v="2"/>
    <x v="5"/>
    <s v="Large"/>
    <n v="2023"/>
  </r>
  <r>
    <s v="C0167"/>
    <x v="1"/>
    <d v="2023-11-23T00:00:00"/>
    <d v="2024-12-31T00:00:00"/>
    <n v="15"/>
    <s v="Active"/>
    <s v="Facebook"/>
    <s v="Nov-2023"/>
    <s v="Dec-2024"/>
    <x v="1"/>
    <x v="5"/>
    <s v="Small"/>
    <n v="2023"/>
  </r>
  <r>
    <s v="C0168"/>
    <x v="0"/>
    <d v="2023-09-08T00:00:00"/>
    <d v="2024-12-31T00:00:00"/>
    <n v="40"/>
    <s v="Active"/>
    <s v="Google"/>
    <s v="Sep-2023"/>
    <s v="Dec-2024"/>
    <x v="5"/>
    <x v="3"/>
    <s v="Medium"/>
    <n v="2023"/>
  </r>
  <r>
    <s v="C0169"/>
    <x v="2"/>
    <d v="2021-07-08T00:00:00"/>
    <d v="2023-04-11T00:00:00"/>
    <n v="25"/>
    <s v="Churned"/>
    <s v="Facebook"/>
    <s v="Jul-2021"/>
    <s v="Apr-2023"/>
    <x v="0"/>
    <x v="1"/>
    <s v="Large"/>
    <n v="2021"/>
  </r>
  <r>
    <s v="C0170"/>
    <x v="0"/>
    <d v="2020-05-21T00:00:00"/>
    <d v="2024-12-31T00:00:00"/>
    <n v="40"/>
    <s v="Active"/>
    <s v="Facebook"/>
    <s v="May-2020"/>
    <s v="Dec-2024"/>
    <x v="2"/>
    <x v="4"/>
    <s v="Medium"/>
    <n v="2020"/>
  </r>
  <r>
    <s v="C0171"/>
    <x v="1"/>
    <d v="2023-06-05T00:00:00"/>
    <d v="2024-12-31T00:00:00"/>
    <n v="15"/>
    <s v="Churned"/>
    <s v="LinkedIn"/>
    <s v="Jun-2023"/>
    <s v="Dec-2024"/>
    <x v="3"/>
    <x v="0"/>
    <s v="Medium"/>
    <n v="2023"/>
  </r>
  <r>
    <s v="C0172"/>
    <x v="1"/>
    <d v="2022-05-18T00:00:00"/>
    <d v="2024-12-31T00:00:00"/>
    <n v="15"/>
    <s v="Active"/>
    <s v="Google"/>
    <s v="May-2022"/>
    <s v="Dec-2024"/>
    <x v="1"/>
    <x v="1"/>
    <s v="Large"/>
    <n v="2022"/>
  </r>
  <r>
    <s v="C0173"/>
    <x v="0"/>
    <d v="2020-11-10T00:00:00"/>
    <d v="2024-12-31T00:00:00"/>
    <n v="40"/>
    <s v="Active"/>
    <s v="LinkedIn"/>
    <s v="Nov-2020"/>
    <s v="Dec-2024"/>
    <x v="3"/>
    <x v="0"/>
    <s v="Medium"/>
    <n v="2020"/>
  </r>
  <r>
    <s v="C0174"/>
    <x v="2"/>
    <d v="2021-03-17T00:00:00"/>
    <d v="2021-07-10T00:00:00"/>
    <n v="25"/>
    <s v="Churned"/>
    <s v="LinkedIn"/>
    <s v="Mar-2021"/>
    <s v="Jul-2021"/>
    <x v="5"/>
    <x v="1"/>
    <s v="Enterprise"/>
    <n v="2021"/>
  </r>
  <r>
    <s v="C0175"/>
    <x v="0"/>
    <d v="2023-12-13T00:00:00"/>
    <d v="2024-12-31T00:00:00"/>
    <n v="40"/>
    <s v="Active"/>
    <s v="LinkedIn"/>
    <s v="Dec-2023"/>
    <s v="Dec-2024"/>
    <x v="5"/>
    <x v="2"/>
    <s v="Medium"/>
    <n v="2023"/>
  </r>
  <r>
    <s v="C0176"/>
    <x v="0"/>
    <d v="2021-07-14T00:00:00"/>
    <d v="2024-12-31T00:00:00"/>
    <n v="40"/>
    <s v="Active"/>
    <s v="Instagram"/>
    <s v="Jul-2021"/>
    <s v="Dec-2024"/>
    <x v="0"/>
    <x v="5"/>
    <s v="Large"/>
    <n v="2021"/>
  </r>
  <r>
    <s v="C0177"/>
    <x v="1"/>
    <d v="2020-12-03T00:00:00"/>
    <d v="2024-12-31T00:00:00"/>
    <n v="15"/>
    <s v="Active"/>
    <s v="Referral"/>
    <s v="Dec-2020"/>
    <s v="Dec-2024"/>
    <x v="5"/>
    <x v="5"/>
    <s v="Medium"/>
    <n v="2020"/>
  </r>
  <r>
    <s v="C0178"/>
    <x v="0"/>
    <d v="2023-10-04T00:00:00"/>
    <d v="2024-12-31T00:00:00"/>
    <n v="40"/>
    <s v="Active"/>
    <s v="Instagram"/>
    <s v="Oct-2023"/>
    <s v="Dec-2024"/>
    <x v="4"/>
    <x v="0"/>
    <s v="Medium"/>
    <n v="2023"/>
  </r>
  <r>
    <s v="C0179"/>
    <x v="0"/>
    <d v="2021-05-05T00:00:00"/>
    <d v="2024-12-31T00:00:00"/>
    <n v="40"/>
    <s v="Active"/>
    <s v="Referral"/>
    <s v="May-2021"/>
    <s v="Dec-2024"/>
    <x v="4"/>
    <x v="0"/>
    <s v="Enterprise"/>
    <n v="2021"/>
  </r>
  <r>
    <s v="C0180"/>
    <x v="1"/>
    <d v="2021-01-03T00:00:00"/>
    <d v="2023-01-20T00:00:00"/>
    <n v="15"/>
    <s v="Churned"/>
    <s v="Referral"/>
    <s v="Jan-2021"/>
    <s v="Jan-2023"/>
    <x v="4"/>
    <x v="0"/>
    <s v="Large"/>
    <n v="2021"/>
  </r>
  <r>
    <s v="C0181"/>
    <x v="2"/>
    <d v="2020-10-19T00:00:00"/>
    <d v="2024-12-31T00:00:00"/>
    <n v="25"/>
    <s v="Active"/>
    <s v="Instagram"/>
    <s v="Oct-2020"/>
    <s v="Dec-2024"/>
    <x v="3"/>
    <x v="1"/>
    <s v="Large"/>
    <n v="2020"/>
  </r>
  <r>
    <s v="C0182"/>
    <x v="2"/>
    <d v="2020-03-12T00:00:00"/>
    <d v="2024-12-31T00:00:00"/>
    <n v="25"/>
    <s v="Active"/>
    <s v="Facebook"/>
    <s v="Mar-2020"/>
    <s v="Dec-2024"/>
    <x v="0"/>
    <x v="1"/>
    <s v="Medium"/>
    <n v="2020"/>
  </r>
  <r>
    <s v="C0183"/>
    <x v="1"/>
    <d v="2024-03-31T00:00:00"/>
    <d v="2024-12-31T00:00:00"/>
    <n v="15"/>
    <s v="Churned"/>
    <s v="Facebook"/>
    <s v="Mar-2024"/>
    <s v="Dec-2024"/>
    <x v="3"/>
    <x v="0"/>
    <s v="Medium"/>
    <n v="2024"/>
  </r>
  <r>
    <s v="C0184"/>
    <x v="0"/>
    <d v="2021-05-25T00:00:00"/>
    <d v="2024-12-31T00:00:00"/>
    <n v="40"/>
    <s v="Active"/>
    <s v="Google"/>
    <s v="May-2021"/>
    <s v="Dec-2024"/>
    <x v="4"/>
    <x v="1"/>
    <s v="Enterprise"/>
    <n v="2021"/>
  </r>
  <r>
    <s v="C0185"/>
    <x v="2"/>
    <d v="2020-06-08T00:00:00"/>
    <d v="2024-12-31T00:00:00"/>
    <n v="25"/>
    <s v="Active"/>
    <s v="Google"/>
    <s v="Jun-2020"/>
    <s v="Dec-2024"/>
    <x v="5"/>
    <x v="5"/>
    <s v="Medium"/>
    <n v="2020"/>
  </r>
  <r>
    <s v="C0186"/>
    <x v="0"/>
    <d v="2023-01-29T00:00:00"/>
    <d v="2024-12-31T00:00:00"/>
    <n v="40"/>
    <s v="Active"/>
    <s v="LinkedIn"/>
    <s v="Jan-2023"/>
    <s v="Dec-2024"/>
    <x v="2"/>
    <x v="3"/>
    <s v="Medium"/>
    <n v="2023"/>
  </r>
  <r>
    <s v="C0187"/>
    <x v="2"/>
    <d v="2022-01-19T00:00:00"/>
    <d v="2024-12-31T00:00:00"/>
    <n v="25"/>
    <s v="Active"/>
    <s v="LinkedIn"/>
    <s v="Jan-2022"/>
    <s v="Dec-2024"/>
    <x v="5"/>
    <x v="3"/>
    <s v="Large"/>
    <n v="2022"/>
  </r>
  <r>
    <s v="C0188"/>
    <x v="2"/>
    <d v="2020-11-24T00:00:00"/>
    <d v="2022-11-02T00:00:00"/>
    <n v="25"/>
    <s v="Churned"/>
    <s v="Facebook"/>
    <s v="Nov-2020"/>
    <s v="Nov-2022"/>
    <x v="5"/>
    <x v="1"/>
    <s v="Large"/>
    <n v="2020"/>
  </r>
  <r>
    <s v="C0189"/>
    <x v="1"/>
    <d v="2023-08-24T00:00:00"/>
    <d v="2024-12-31T00:00:00"/>
    <n v="15"/>
    <s v="Churned"/>
    <s v="LinkedIn"/>
    <s v="Aug-2023"/>
    <s v="Dec-2024"/>
    <x v="3"/>
    <x v="1"/>
    <s v="Large"/>
    <n v="2023"/>
  </r>
  <r>
    <s v="C0190"/>
    <x v="1"/>
    <d v="2021-03-02T00:00:00"/>
    <d v="2024-12-31T00:00:00"/>
    <n v="15"/>
    <s v="Active"/>
    <s v="Instagram"/>
    <s v="Mar-2021"/>
    <s v="Dec-2024"/>
    <x v="1"/>
    <x v="3"/>
    <s v="Enterprise"/>
    <n v="2021"/>
  </r>
  <r>
    <s v="C0191"/>
    <x v="2"/>
    <d v="2020-01-05T00:00:00"/>
    <d v="2024-12-31T00:00:00"/>
    <n v="25"/>
    <s v="Active"/>
    <s v="Google"/>
    <s v="Jan-2020"/>
    <s v="Dec-2024"/>
    <x v="5"/>
    <x v="3"/>
    <s v="Small"/>
    <n v="2020"/>
  </r>
  <r>
    <s v="C0192"/>
    <x v="0"/>
    <d v="2021-02-22T00:00:00"/>
    <d v="2024-12-31T00:00:00"/>
    <n v="40"/>
    <s v="Active"/>
    <s v="Referral"/>
    <s v="Feb-2021"/>
    <s v="Dec-2024"/>
    <x v="3"/>
    <x v="4"/>
    <s v="Enterprise"/>
    <n v="2021"/>
  </r>
  <r>
    <s v="C0193"/>
    <x v="0"/>
    <d v="2024-03-27T00:00:00"/>
    <d v="2024-12-31T00:00:00"/>
    <n v="40"/>
    <s v="Active"/>
    <s v="Instagram"/>
    <s v="Mar-2024"/>
    <s v="Dec-2024"/>
    <x v="4"/>
    <x v="4"/>
    <s v="Small"/>
    <n v="2024"/>
  </r>
  <r>
    <s v="C0194"/>
    <x v="0"/>
    <d v="2021-07-19T00:00:00"/>
    <d v="2024-12-31T00:00:00"/>
    <n v="40"/>
    <s v="Active"/>
    <s v="Facebook"/>
    <s v="Jul-2021"/>
    <s v="Dec-2024"/>
    <x v="1"/>
    <x v="4"/>
    <s v="Enterprise"/>
    <n v="2021"/>
  </r>
  <r>
    <s v="C0195"/>
    <x v="0"/>
    <d v="2020-06-02T00:00:00"/>
    <d v="2024-12-31T00:00:00"/>
    <n v="40"/>
    <s v="Active"/>
    <s v="Google"/>
    <s v="Jun-2020"/>
    <s v="Dec-2024"/>
    <x v="2"/>
    <x v="4"/>
    <s v="Medium"/>
    <n v="2020"/>
  </r>
  <r>
    <s v="C0196"/>
    <x v="2"/>
    <d v="2024-01-13T00:00:00"/>
    <d v="2024-12-31T00:00:00"/>
    <n v="25"/>
    <s v="Active"/>
    <s v="Facebook"/>
    <s v="Jan-2024"/>
    <s v="Dec-2024"/>
    <x v="2"/>
    <x v="1"/>
    <s v="Small"/>
    <n v="2024"/>
  </r>
  <r>
    <s v="C0197"/>
    <x v="2"/>
    <d v="2022-04-27T00:00:00"/>
    <d v="2024-12-31T00:00:00"/>
    <n v="25"/>
    <s v="Active"/>
    <s v="Referral"/>
    <s v="Apr-2022"/>
    <s v="Dec-2024"/>
    <x v="4"/>
    <x v="1"/>
    <s v="Enterprise"/>
    <n v="2022"/>
  </r>
  <r>
    <s v="C0198"/>
    <x v="0"/>
    <d v="2024-05-02T00:00:00"/>
    <d v="2024-12-31T00:00:00"/>
    <n v="40"/>
    <s v="Churned"/>
    <s v="LinkedIn"/>
    <s v="May-2024"/>
    <s v="Dec-2024"/>
    <x v="1"/>
    <x v="3"/>
    <s v="Large"/>
    <n v="2024"/>
  </r>
  <r>
    <s v="C0199"/>
    <x v="1"/>
    <d v="2022-05-25T00:00:00"/>
    <d v="2024-12-31T00:00:00"/>
    <n v="15"/>
    <s v="Active"/>
    <s v="LinkedIn"/>
    <s v="May-2022"/>
    <s v="Dec-2024"/>
    <x v="1"/>
    <x v="3"/>
    <s v="Enterprise"/>
    <n v="2022"/>
  </r>
  <r>
    <s v="C0200"/>
    <x v="0"/>
    <d v="2022-01-28T00:00:00"/>
    <d v="2023-03-28T00:00:00"/>
    <n v="40"/>
    <s v="Churned"/>
    <s v="Facebook"/>
    <s v="Jan-2022"/>
    <s v="Mar-2023"/>
    <x v="3"/>
    <x v="5"/>
    <s v="Large"/>
    <n v="2022"/>
  </r>
  <r>
    <s v="C0201"/>
    <x v="0"/>
    <d v="2021-06-01T00:00:00"/>
    <d v="2024-12-31T00:00:00"/>
    <n v="40"/>
    <s v="Active"/>
    <s v="Google"/>
    <s v="Jun-2021"/>
    <s v="Dec-2024"/>
    <x v="3"/>
    <x v="5"/>
    <s v="Enterprise"/>
    <n v="2021"/>
  </r>
  <r>
    <s v="C0202"/>
    <x v="2"/>
    <d v="2020-02-16T00:00:00"/>
    <d v="2024-12-31T00:00:00"/>
    <n v="25"/>
    <s v="Active"/>
    <s v="Referral"/>
    <s v="Feb-2020"/>
    <s v="Dec-2024"/>
    <x v="3"/>
    <x v="4"/>
    <s v="Small"/>
    <n v="2020"/>
  </r>
  <r>
    <s v="C0203"/>
    <x v="0"/>
    <d v="2021-12-15T00:00:00"/>
    <d v="2024-12-31T00:00:00"/>
    <n v="40"/>
    <s v="Active"/>
    <s v="Referral"/>
    <s v="Dec-2021"/>
    <s v="Dec-2024"/>
    <x v="1"/>
    <x v="3"/>
    <s v="Medium"/>
    <n v="2021"/>
  </r>
  <r>
    <s v="C0204"/>
    <x v="1"/>
    <d v="2021-03-07T00:00:00"/>
    <d v="2022-07-30T00:00:00"/>
    <n v="15"/>
    <s v="Churned"/>
    <s v="Facebook"/>
    <s v="Mar-2021"/>
    <s v="Jul-2022"/>
    <x v="1"/>
    <x v="4"/>
    <s v="Enterprise"/>
    <n v="2021"/>
  </r>
  <r>
    <s v="C0205"/>
    <x v="2"/>
    <d v="2023-07-14T00:00:00"/>
    <d v="2024-12-31T00:00:00"/>
    <n v="25"/>
    <s v="Churned"/>
    <s v="LinkedIn"/>
    <s v="Jul-2023"/>
    <s v="Dec-2024"/>
    <x v="3"/>
    <x v="4"/>
    <s v="Medium"/>
    <n v="2023"/>
  </r>
  <r>
    <s v="C0206"/>
    <x v="2"/>
    <d v="2024-05-20T00:00:00"/>
    <d v="2024-12-31T00:00:00"/>
    <n v="25"/>
    <s v="Active"/>
    <s v="Referral"/>
    <s v="May-2024"/>
    <s v="Dec-2024"/>
    <x v="5"/>
    <x v="4"/>
    <s v="Enterprise"/>
    <n v="2024"/>
  </r>
  <r>
    <s v="C0207"/>
    <x v="0"/>
    <d v="2021-10-28T00:00:00"/>
    <d v="2022-09-25T00:00:00"/>
    <n v="40"/>
    <s v="Churned"/>
    <s v="Google"/>
    <s v="Oct-2021"/>
    <s v="Sep-2022"/>
    <x v="5"/>
    <x v="2"/>
    <s v="Large"/>
    <n v="2021"/>
  </r>
  <r>
    <s v="C0208"/>
    <x v="1"/>
    <d v="2023-02-18T00:00:00"/>
    <d v="2023-08-19T00:00:00"/>
    <n v="15"/>
    <s v="Churned"/>
    <s v="LinkedIn"/>
    <s v="Feb-2023"/>
    <s v="Aug-2023"/>
    <x v="5"/>
    <x v="0"/>
    <s v="Large"/>
    <n v="2023"/>
  </r>
  <r>
    <s v="C0209"/>
    <x v="0"/>
    <d v="2022-05-26T00:00:00"/>
    <d v="2024-12-31T00:00:00"/>
    <n v="40"/>
    <s v="Active"/>
    <s v="Instagram"/>
    <s v="May-2022"/>
    <s v="Dec-2024"/>
    <x v="4"/>
    <x v="3"/>
    <s v="Medium"/>
    <n v="2022"/>
  </r>
  <r>
    <s v="C0210"/>
    <x v="1"/>
    <d v="2023-11-16T00:00:00"/>
    <d v="2024-12-31T00:00:00"/>
    <n v="15"/>
    <s v="Active"/>
    <s v="Instagram"/>
    <s v="Nov-2023"/>
    <s v="Dec-2024"/>
    <x v="0"/>
    <x v="3"/>
    <s v="Large"/>
    <n v="2023"/>
  </r>
  <r>
    <s v="C0211"/>
    <x v="2"/>
    <d v="2022-12-21T00:00:00"/>
    <d v="2024-12-31T00:00:00"/>
    <n v="25"/>
    <s v="Active"/>
    <s v="Facebook"/>
    <s v="Dec-2022"/>
    <s v="Dec-2024"/>
    <x v="5"/>
    <x v="2"/>
    <s v="Small"/>
    <n v="2022"/>
  </r>
  <r>
    <s v="C0212"/>
    <x v="0"/>
    <d v="2020-08-24T00:00:00"/>
    <d v="2021-12-17T00:00:00"/>
    <n v="40"/>
    <s v="Churned"/>
    <s v="Instagram"/>
    <s v="Aug-2020"/>
    <s v="Dec-2021"/>
    <x v="3"/>
    <x v="0"/>
    <s v="Large"/>
    <n v="2020"/>
  </r>
  <r>
    <s v="C0213"/>
    <x v="2"/>
    <d v="2022-02-28T00:00:00"/>
    <d v="2024-12-31T00:00:00"/>
    <n v="25"/>
    <s v="Active"/>
    <s v="Google"/>
    <s v="Feb-2022"/>
    <s v="Dec-2024"/>
    <x v="4"/>
    <x v="1"/>
    <s v="Enterprise"/>
    <n v="2022"/>
  </r>
  <r>
    <s v="C0214"/>
    <x v="1"/>
    <d v="2022-05-25T00:00:00"/>
    <d v="2024-12-31T00:00:00"/>
    <n v="15"/>
    <s v="Active"/>
    <s v="Google"/>
    <s v="May-2022"/>
    <s v="Dec-2024"/>
    <x v="3"/>
    <x v="3"/>
    <s v="Large"/>
    <n v="2022"/>
  </r>
  <r>
    <s v="C0215"/>
    <x v="1"/>
    <d v="2022-07-15T00:00:00"/>
    <d v="2024-12-31T00:00:00"/>
    <n v="15"/>
    <s v="Active"/>
    <s v="Facebook"/>
    <s v="Jul-2022"/>
    <s v="Dec-2024"/>
    <x v="0"/>
    <x v="4"/>
    <s v="Large"/>
    <n v="2022"/>
  </r>
  <r>
    <s v="C0216"/>
    <x v="1"/>
    <d v="2020-11-01T00:00:00"/>
    <d v="2024-12-31T00:00:00"/>
    <n v="15"/>
    <s v="Active"/>
    <s v="LinkedIn"/>
    <s v="Nov-2020"/>
    <s v="Dec-2024"/>
    <x v="5"/>
    <x v="0"/>
    <s v="Medium"/>
    <n v="2020"/>
  </r>
  <r>
    <s v="C0217"/>
    <x v="0"/>
    <d v="2023-09-08T00:00:00"/>
    <d v="2024-04-20T00:00:00"/>
    <n v="40"/>
    <s v="Churned"/>
    <s v="LinkedIn"/>
    <s v="Sep-2023"/>
    <s v="Apr-2024"/>
    <x v="3"/>
    <x v="4"/>
    <s v="Large"/>
    <n v="2023"/>
  </r>
  <r>
    <s v="C0218"/>
    <x v="2"/>
    <d v="2023-12-11T00:00:00"/>
    <d v="2024-12-31T00:00:00"/>
    <n v="25"/>
    <s v="Active"/>
    <s v="Referral"/>
    <s v="Dec-2023"/>
    <s v="Dec-2024"/>
    <x v="1"/>
    <x v="2"/>
    <s v="Medium"/>
    <n v="2023"/>
  </r>
  <r>
    <s v="C0219"/>
    <x v="2"/>
    <d v="2022-02-20T00:00:00"/>
    <d v="2024-12-31T00:00:00"/>
    <n v="25"/>
    <s v="Active"/>
    <s v="Facebook"/>
    <s v="Feb-2022"/>
    <s v="Dec-2024"/>
    <x v="4"/>
    <x v="3"/>
    <s v="Enterprise"/>
    <n v="2022"/>
  </r>
  <r>
    <s v="C0220"/>
    <x v="1"/>
    <d v="2023-08-04T00:00:00"/>
    <d v="2024-11-08T00:00:00"/>
    <n v="15"/>
    <s v="Churned"/>
    <s v="Instagram"/>
    <s v="Aug-2023"/>
    <s v="Nov-2024"/>
    <x v="5"/>
    <x v="4"/>
    <s v="Enterprise"/>
    <n v="2023"/>
  </r>
  <r>
    <s v="C0221"/>
    <x v="2"/>
    <d v="2021-07-22T00:00:00"/>
    <d v="2024-12-31T00:00:00"/>
    <n v="25"/>
    <s v="Active"/>
    <s v="Instagram"/>
    <s v="Jul-2021"/>
    <s v="Dec-2024"/>
    <x v="4"/>
    <x v="4"/>
    <s v="Large"/>
    <n v="2021"/>
  </r>
  <r>
    <s v="C0222"/>
    <x v="0"/>
    <d v="2021-09-04T00:00:00"/>
    <d v="2023-04-03T00:00:00"/>
    <n v="40"/>
    <s v="Churned"/>
    <s v="Facebook"/>
    <s v="Sep-2021"/>
    <s v="Apr-2023"/>
    <x v="1"/>
    <x v="2"/>
    <s v="Large"/>
    <n v="2021"/>
  </r>
  <r>
    <s v="C0223"/>
    <x v="1"/>
    <d v="2024-04-05T00:00:00"/>
    <d v="2024-10-08T00:00:00"/>
    <n v="15"/>
    <s v="Churned"/>
    <s v="Facebook"/>
    <s v="Apr-2024"/>
    <s v="Oct-2024"/>
    <x v="5"/>
    <x v="5"/>
    <s v="Enterprise"/>
    <n v="2024"/>
  </r>
  <r>
    <s v="C0224"/>
    <x v="1"/>
    <d v="2022-08-07T00:00:00"/>
    <d v="2024-12-31T00:00:00"/>
    <n v="15"/>
    <s v="Active"/>
    <s v="Facebook"/>
    <s v="Aug-2022"/>
    <s v="Dec-2024"/>
    <x v="3"/>
    <x v="4"/>
    <s v="Small"/>
    <n v="2022"/>
  </r>
  <r>
    <s v="C0225"/>
    <x v="0"/>
    <d v="2020-03-21T00:00:00"/>
    <d v="2021-12-05T00:00:00"/>
    <n v="40"/>
    <s v="Churned"/>
    <s v="Facebook"/>
    <s v="Mar-2020"/>
    <s v="Dec-2021"/>
    <x v="3"/>
    <x v="0"/>
    <s v="Medium"/>
    <n v="2020"/>
  </r>
  <r>
    <s v="C0226"/>
    <x v="0"/>
    <d v="2023-12-23T00:00:00"/>
    <d v="2024-12-31T00:00:00"/>
    <n v="40"/>
    <s v="Active"/>
    <s v="LinkedIn"/>
    <s v="Dec-2023"/>
    <s v="Dec-2024"/>
    <x v="2"/>
    <x v="3"/>
    <s v="Medium"/>
    <n v="2023"/>
  </r>
  <r>
    <s v="C0227"/>
    <x v="2"/>
    <d v="2022-05-10T00:00:00"/>
    <d v="2024-12-31T00:00:00"/>
    <n v="25"/>
    <s v="Active"/>
    <s v="Instagram"/>
    <s v="May-2022"/>
    <s v="Dec-2024"/>
    <x v="5"/>
    <x v="2"/>
    <s v="Enterprise"/>
    <n v="2022"/>
  </r>
  <r>
    <s v="C0228"/>
    <x v="2"/>
    <d v="2020-02-29T00:00:00"/>
    <d v="2024-12-31T00:00:00"/>
    <n v="25"/>
    <s v="Active"/>
    <s v="Facebook"/>
    <s v="Feb-2020"/>
    <s v="Dec-2024"/>
    <x v="4"/>
    <x v="2"/>
    <s v="Small"/>
    <n v="2020"/>
  </r>
  <r>
    <s v="C0229"/>
    <x v="2"/>
    <d v="2022-11-30T00:00:00"/>
    <d v="2023-04-27T00:00:00"/>
    <n v="25"/>
    <s v="Churned"/>
    <s v="LinkedIn"/>
    <s v="Nov-2022"/>
    <s v="Apr-2023"/>
    <x v="0"/>
    <x v="5"/>
    <s v="Small"/>
    <n v="2022"/>
  </r>
  <r>
    <s v="C0230"/>
    <x v="0"/>
    <d v="2022-07-26T00:00:00"/>
    <d v="2024-12-31T00:00:00"/>
    <n v="40"/>
    <s v="Active"/>
    <s v="Facebook"/>
    <s v="Jul-2022"/>
    <s v="Dec-2024"/>
    <x v="2"/>
    <x v="4"/>
    <s v="Small"/>
    <n v="2022"/>
  </r>
  <r>
    <s v="C0231"/>
    <x v="1"/>
    <d v="2022-10-16T00:00:00"/>
    <d v="2024-12-31T00:00:00"/>
    <n v="15"/>
    <s v="Active"/>
    <s v="Google"/>
    <s v="Oct-2022"/>
    <s v="Dec-2024"/>
    <x v="5"/>
    <x v="0"/>
    <s v="Enterprise"/>
    <n v="2022"/>
  </r>
  <r>
    <s v="C0232"/>
    <x v="2"/>
    <d v="2022-05-16T00:00:00"/>
    <d v="2024-12-31T00:00:00"/>
    <n v="25"/>
    <s v="Active"/>
    <s v="Instagram"/>
    <s v="May-2022"/>
    <s v="Dec-2024"/>
    <x v="1"/>
    <x v="0"/>
    <s v="Medium"/>
    <n v="2022"/>
  </r>
  <r>
    <s v="C0233"/>
    <x v="0"/>
    <d v="2020-01-24T00:00:00"/>
    <d v="2024-12-31T00:00:00"/>
    <n v="40"/>
    <s v="Active"/>
    <s v="Referral"/>
    <s v="Jan-2020"/>
    <s v="Dec-2024"/>
    <x v="5"/>
    <x v="2"/>
    <s v="Small"/>
    <n v="2020"/>
  </r>
  <r>
    <s v="C0234"/>
    <x v="0"/>
    <d v="2023-07-06T00:00:00"/>
    <d v="2024-12-31T00:00:00"/>
    <n v="40"/>
    <s v="Active"/>
    <s v="LinkedIn"/>
    <s v="Jul-2023"/>
    <s v="Dec-2024"/>
    <x v="0"/>
    <x v="5"/>
    <s v="Small"/>
    <n v="2023"/>
  </r>
  <r>
    <s v="C0235"/>
    <x v="1"/>
    <d v="2021-10-01T00:00:00"/>
    <d v="2024-12-31T00:00:00"/>
    <n v="15"/>
    <s v="Active"/>
    <s v="Instagram"/>
    <s v="Oct-2021"/>
    <s v="Dec-2024"/>
    <x v="3"/>
    <x v="3"/>
    <s v="Small"/>
    <n v="2021"/>
  </r>
  <r>
    <s v="C0236"/>
    <x v="1"/>
    <d v="2020-08-20T00:00:00"/>
    <d v="2024-12-31T00:00:00"/>
    <n v="15"/>
    <s v="Active"/>
    <s v="Instagram"/>
    <s v="Aug-2020"/>
    <s v="Dec-2024"/>
    <x v="0"/>
    <x v="2"/>
    <s v="Medium"/>
    <n v="2020"/>
  </r>
  <r>
    <s v="C0237"/>
    <x v="2"/>
    <d v="2023-06-13T00:00:00"/>
    <d v="2024-12-31T00:00:00"/>
    <n v="25"/>
    <s v="Active"/>
    <s v="Instagram"/>
    <s v="Jun-2023"/>
    <s v="Dec-2024"/>
    <x v="2"/>
    <x v="3"/>
    <s v="Medium"/>
    <n v="2023"/>
  </r>
  <r>
    <s v="C0238"/>
    <x v="2"/>
    <d v="2022-12-31T00:00:00"/>
    <d v="2024-08-17T00:00:00"/>
    <n v="25"/>
    <s v="Churned"/>
    <s v="Google"/>
    <s v="Dec-2022"/>
    <s v="Aug-2024"/>
    <x v="4"/>
    <x v="0"/>
    <s v="Enterprise"/>
    <n v="2022"/>
  </r>
  <r>
    <s v="C0239"/>
    <x v="2"/>
    <d v="2022-05-22T00:00:00"/>
    <d v="2024-12-31T00:00:00"/>
    <n v="25"/>
    <s v="Active"/>
    <s v="LinkedIn"/>
    <s v="May-2022"/>
    <s v="Dec-2024"/>
    <x v="1"/>
    <x v="4"/>
    <s v="Small"/>
    <n v="2022"/>
  </r>
  <r>
    <s v="C0240"/>
    <x v="1"/>
    <d v="2021-05-24T00:00:00"/>
    <d v="2022-07-08T00:00:00"/>
    <n v="15"/>
    <s v="Churned"/>
    <s v="Facebook"/>
    <s v="May-2021"/>
    <s v="Jul-2022"/>
    <x v="5"/>
    <x v="3"/>
    <s v="Medium"/>
    <n v="2021"/>
  </r>
  <r>
    <s v="C0241"/>
    <x v="0"/>
    <d v="2021-03-29T00:00:00"/>
    <d v="2024-12-31T00:00:00"/>
    <n v="40"/>
    <s v="Active"/>
    <s v="LinkedIn"/>
    <s v="Mar-2021"/>
    <s v="Dec-2024"/>
    <x v="3"/>
    <x v="5"/>
    <s v="Medium"/>
    <n v="2021"/>
  </r>
  <r>
    <s v="C0242"/>
    <x v="0"/>
    <d v="2021-08-29T00:00:00"/>
    <d v="2023-04-11T00:00:00"/>
    <n v="40"/>
    <s v="Churned"/>
    <s v="Referral"/>
    <s v="Aug-2021"/>
    <s v="Apr-2023"/>
    <x v="2"/>
    <x v="3"/>
    <s v="Enterprise"/>
    <n v="2021"/>
  </r>
  <r>
    <s v="C0243"/>
    <x v="0"/>
    <d v="2020-08-03T00:00:00"/>
    <d v="2022-01-12T00:00:00"/>
    <n v="40"/>
    <s v="Churned"/>
    <s v="Google"/>
    <s v="Aug-2020"/>
    <s v="Jan-2022"/>
    <x v="5"/>
    <x v="0"/>
    <s v="Large"/>
    <n v="2020"/>
  </r>
  <r>
    <s v="C0244"/>
    <x v="0"/>
    <d v="2023-08-31T00:00:00"/>
    <d v="2024-12-31T00:00:00"/>
    <n v="40"/>
    <s v="Active"/>
    <s v="Referral"/>
    <s v="Aug-2023"/>
    <s v="Dec-2024"/>
    <x v="1"/>
    <x v="5"/>
    <s v="Medium"/>
    <n v="2023"/>
  </r>
  <r>
    <s v="C0245"/>
    <x v="2"/>
    <d v="2022-04-01T00:00:00"/>
    <d v="2024-12-31T00:00:00"/>
    <n v="25"/>
    <s v="Active"/>
    <s v="Google"/>
    <s v="Apr-2022"/>
    <s v="Dec-2024"/>
    <x v="1"/>
    <x v="2"/>
    <s v="Enterprise"/>
    <n v="2022"/>
  </r>
  <r>
    <s v="C0246"/>
    <x v="2"/>
    <d v="2024-01-22T00:00:00"/>
    <d v="2024-12-31T00:00:00"/>
    <n v="25"/>
    <s v="Active"/>
    <s v="LinkedIn"/>
    <s v="Jan-2024"/>
    <s v="Dec-2024"/>
    <x v="4"/>
    <x v="4"/>
    <s v="Large"/>
    <n v="2024"/>
  </r>
  <r>
    <s v="C0247"/>
    <x v="0"/>
    <d v="2020-02-27T00:00:00"/>
    <d v="2024-12-31T00:00:00"/>
    <n v="40"/>
    <s v="Active"/>
    <s v="LinkedIn"/>
    <s v="Feb-2020"/>
    <s v="Dec-2024"/>
    <x v="0"/>
    <x v="1"/>
    <s v="Medium"/>
    <n v="2020"/>
  </r>
  <r>
    <s v="C0248"/>
    <x v="1"/>
    <d v="2021-10-26T00:00:00"/>
    <d v="2024-12-31T00:00:00"/>
    <n v="15"/>
    <s v="Active"/>
    <s v="Instagram"/>
    <s v="Oct-2021"/>
    <s v="Dec-2024"/>
    <x v="5"/>
    <x v="3"/>
    <s v="Enterprise"/>
    <n v="2021"/>
  </r>
  <r>
    <s v="C0249"/>
    <x v="1"/>
    <d v="2020-02-04T00:00:00"/>
    <d v="2024-12-31T00:00:00"/>
    <n v="15"/>
    <s v="Active"/>
    <s v="Instagram"/>
    <s v="Feb-2020"/>
    <s v="Dec-2024"/>
    <x v="3"/>
    <x v="5"/>
    <s v="Enterprise"/>
    <n v="2020"/>
  </r>
  <r>
    <s v="C0250"/>
    <x v="2"/>
    <d v="2020-03-28T00:00:00"/>
    <d v="2024-12-31T00:00:00"/>
    <n v="25"/>
    <s v="Active"/>
    <s v="Facebook"/>
    <s v="Mar-2020"/>
    <s v="Dec-2024"/>
    <x v="4"/>
    <x v="4"/>
    <s v="Enterprise"/>
    <n v="2020"/>
  </r>
  <r>
    <s v="C0251"/>
    <x v="1"/>
    <d v="2021-09-06T00:00:00"/>
    <d v="2023-04-10T00:00:00"/>
    <n v="15"/>
    <s v="Churned"/>
    <s v="Facebook"/>
    <s v="Sep-2021"/>
    <s v="Apr-2023"/>
    <x v="2"/>
    <x v="2"/>
    <s v="Large"/>
    <n v="2021"/>
  </r>
  <r>
    <s v="C0252"/>
    <x v="0"/>
    <d v="2022-06-21T00:00:00"/>
    <d v="2023-11-23T00:00:00"/>
    <n v="40"/>
    <s v="Churned"/>
    <s v="Facebook"/>
    <s v="Jun-2022"/>
    <s v="Nov-2023"/>
    <x v="1"/>
    <x v="0"/>
    <s v="Medium"/>
    <n v="2022"/>
  </r>
  <r>
    <s v="C0253"/>
    <x v="0"/>
    <d v="2024-03-15T00:00:00"/>
    <d v="2024-12-31T00:00:00"/>
    <n v="40"/>
    <s v="Churned"/>
    <s v="Instagram"/>
    <s v="Mar-2024"/>
    <s v="Dec-2024"/>
    <x v="4"/>
    <x v="1"/>
    <s v="Small"/>
    <n v="2024"/>
  </r>
  <r>
    <s v="C0254"/>
    <x v="2"/>
    <d v="2020-10-24T00:00:00"/>
    <d v="2024-12-31T00:00:00"/>
    <n v="25"/>
    <s v="Active"/>
    <s v="Instagram"/>
    <s v="Oct-2020"/>
    <s v="Dec-2024"/>
    <x v="3"/>
    <x v="2"/>
    <s v="Medium"/>
    <n v="2020"/>
  </r>
  <r>
    <s v="C0255"/>
    <x v="2"/>
    <d v="2021-01-07T00:00:00"/>
    <d v="2024-12-31T00:00:00"/>
    <n v="25"/>
    <s v="Active"/>
    <s v="Facebook"/>
    <s v="Jan-2021"/>
    <s v="Dec-2024"/>
    <x v="1"/>
    <x v="2"/>
    <s v="Large"/>
    <n v="2021"/>
  </r>
  <r>
    <s v="C0256"/>
    <x v="0"/>
    <d v="2020-06-06T00:00:00"/>
    <d v="2021-07-11T00:00:00"/>
    <n v="40"/>
    <s v="Churned"/>
    <s v="LinkedIn"/>
    <s v="Jun-2020"/>
    <s v="Jul-2021"/>
    <x v="3"/>
    <x v="1"/>
    <s v="Large"/>
    <n v="2020"/>
  </r>
  <r>
    <s v="C0257"/>
    <x v="2"/>
    <d v="2022-09-19T00:00:00"/>
    <d v="2024-12-31T00:00:00"/>
    <n v="25"/>
    <s v="Active"/>
    <s v="Facebook"/>
    <s v="Sep-2022"/>
    <s v="Dec-2024"/>
    <x v="5"/>
    <x v="1"/>
    <s v="Enterprise"/>
    <n v="2022"/>
  </r>
  <r>
    <s v="C0258"/>
    <x v="2"/>
    <d v="2023-01-19T00:00:00"/>
    <d v="2024-12-31T00:00:00"/>
    <n v="25"/>
    <s v="Active"/>
    <s v="Referral"/>
    <s v="Jan-2023"/>
    <s v="Dec-2024"/>
    <x v="1"/>
    <x v="3"/>
    <s v="Enterprise"/>
    <n v="2023"/>
  </r>
  <r>
    <s v="C0259"/>
    <x v="2"/>
    <d v="2020-08-19T00:00:00"/>
    <d v="2022-11-04T00:00:00"/>
    <n v="25"/>
    <s v="Churned"/>
    <s v="Facebook"/>
    <s v="Aug-2020"/>
    <s v="Nov-2022"/>
    <x v="0"/>
    <x v="4"/>
    <s v="Medium"/>
    <n v="2020"/>
  </r>
  <r>
    <s v="C0260"/>
    <x v="1"/>
    <d v="2020-03-07T00:00:00"/>
    <d v="2024-12-31T00:00:00"/>
    <n v="15"/>
    <s v="Active"/>
    <s v="Instagram"/>
    <s v="Mar-2020"/>
    <s v="Dec-2024"/>
    <x v="4"/>
    <x v="0"/>
    <s v="Small"/>
    <n v="2020"/>
  </r>
  <r>
    <s v="C0261"/>
    <x v="1"/>
    <d v="2022-04-19T00:00:00"/>
    <d v="2024-12-31T00:00:00"/>
    <n v="15"/>
    <s v="Active"/>
    <s v="Referral"/>
    <s v="Apr-2022"/>
    <s v="Dec-2024"/>
    <x v="2"/>
    <x v="1"/>
    <s v="Large"/>
    <n v="2022"/>
  </r>
  <r>
    <s v="C0262"/>
    <x v="0"/>
    <d v="2021-09-03T00:00:00"/>
    <d v="2022-03-15T00:00:00"/>
    <n v="40"/>
    <s v="Churned"/>
    <s v="Google"/>
    <s v="Sep-2021"/>
    <s v="Mar-2022"/>
    <x v="1"/>
    <x v="0"/>
    <s v="Medium"/>
    <n v="2021"/>
  </r>
  <r>
    <s v="C0263"/>
    <x v="1"/>
    <d v="2022-09-15T00:00:00"/>
    <d v="2024-12-31T00:00:00"/>
    <n v="15"/>
    <s v="Active"/>
    <s v="Referral"/>
    <s v="Sep-2022"/>
    <s v="Dec-2024"/>
    <x v="1"/>
    <x v="0"/>
    <s v="Enterprise"/>
    <n v="2022"/>
  </r>
  <r>
    <s v="C0264"/>
    <x v="0"/>
    <d v="2022-10-08T00:00:00"/>
    <d v="2024-12-31T00:00:00"/>
    <n v="40"/>
    <s v="Active"/>
    <s v="LinkedIn"/>
    <s v="Oct-2022"/>
    <s v="Dec-2024"/>
    <x v="1"/>
    <x v="0"/>
    <s v="Enterprise"/>
    <n v="2022"/>
  </r>
  <r>
    <s v="C0265"/>
    <x v="0"/>
    <d v="2020-07-04T00:00:00"/>
    <d v="2022-05-05T00:00:00"/>
    <n v="40"/>
    <s v="Churned"/>
    <s v="Referral"/>
    <s v="Jul-2020"/>
    <s v="May-2022"/>
    <x v="3"/>
    <x v="1"/>
    <s v="Enterprise"/>
    <n v="2020"/>
  </r>
  <r>
    <s v="C0266"/>
    <x v="2"/>
    <d v="2021-05-07T00:00:00"/>
    <d v="2024-12-31T00:00:00"/>
    <n v="25"/>
    <s v="Active"/>
    <s v="Facebook"/>
    <s v="May-2021"/>
    <s v="Dec-2024"/>
    <x v="2"/>
    <x v="1"/>
    <s v="Small"/>
    <n v="2021"/>
  </r>
  <r>
    <s v="C0267"/>
    <x v="2"/>
    <d v="2021-10-02T00:00:00"/>
    <d v="2024-12-31T00:00:00"/>
    <n v="25"/>
    <s v="Active"/>
    <s v="Referral"/>
    <s v="Oct-2021"/>
    <s v="Dec-2024"/>
    <x v="3"/>
    <x v="5"/>
    <s v="Enterprise"/>
    <n v="2021"/>
  </r>
  <r>
    <s v="C0268"/>
    <x v="1"/>
    <d v="2022-01-04T00:00:00"/>
    <d v="2024-12-31T00:00:00"/>
    <n v="15"/>
    <s v="Active"/>
    <s v="Instagram"/>
    <s v="Jan-2022"/>
    <s v="Dec-2024"/>
    <x v="0"/>
    <x v="5"/>
    <s v="Small"/>
    <n v="2022"/>
  </r>
  <r>
    <s v="C0269"/>
    <x v="1"/>
    <d v="2022-09-17T00:00:00"/>
    <d v="2024-12-31T00:00:00"/>
    <n v="15"/>
    <s v="Active"/>
    <s v="Facebook"/>
    <s v="Sep-2022"/>
    <s v="Dec-2024"/>
    <x v="1"/>
    <x v="3"/>
    <s v="Enterprise"/>
    <n v="2022"/>
  </r>
  <r>
    <s v="C0270"/>
    <x v="2"/>
    <d v="2020-03-10T00:00:00"/>
    <d v="2024-12-31T00:00:00"/>
    <n v="25"/>
    <s v="Active"/>
    <s v="Instagram"/>
    <s v="Mar-2020"/>
    <s v="Dec-2024"/>
    <x v="1"/>
    <x v="2"/>
    <s v="Enterprise"/>
    <n v="2020"/>
  </r>
  <r>
    <s v="C0271"/>
    <x v="2"/>
    <d v="2022-10-28T00:00:00"/>
    <d v="2024-12-01T00:00:00"/>
    <n v="25"/>
    <s v="Churned"/>
    <s v="Google"/>
    <s v="Oct-2022"/>
    <s v="Dec-2024"/>
    <x v="4"/>
    <x v="4"/>
    <s v="Enterprise"/>
    <n v="2022"/>
  </r>
  <r>
    <s v="C0272"/>
    <x v="2"/>
    <d v="2024-01-20T00:00:00"/>
    <d v="2024-12-31T00:00:00"/>
    <n v="25"/>
    <s v="Active"/>
    <s v="Referral"/>
    <s v="Jan-2024"/>
    <s v="Dec-2024"/>
    <x v="1"/>
    <x v="2"/>
    <s v="Enterprise"/>
    <n v="2024"/>
  </r>
  <r>
    <s v="C0273"/>
    <x v="0"/>
    <d v="2020-10-25T00:00:00"/>
    <d v="2021-02-26T00:00:00"/>
    <n v="40"/>
    <s v="Churned"/>
    <s v="Instagram"/>
    <s v="Oct-2020"/>
    <s v="Feb-2021"/>
    <x v="4"/>
    <x v="3"/>
    <s v="Large"/>
    <n v="2020"/>
  </r>
  <r>
    <s v="C0274"/>
    <x v="0"/>
    <d v="2021-10-21T00:00:00"/>
    <d v="2024-12-31T00:00:00"/>
    <n v="40"/>
    <s v="Active"/>
    <s v="Referral"/>
    <s v="Oct-2021"/>
    <s v="Dec-2024"/>
    <x v="0"/>
    <x v="0"/>
    <s v="Enterprise"/>
    <n v="2021"/>
  </r>
  <r>
    <s v="C0275"/>
    <x v="1"/>
    <d v="2022-07-13T00:00:00"/>
    <d v="2024-12-31T00:00:00"/>
    <n v="15"/>
    <s v="Active"/>
    <s v="LinkedIn"/>
    <s v="Jul-2022"/>
    <s v="Dec-2024"/>
    <x v="4"/>
    <x v="2"/>
    <s v="Small"/>
    <n v="2022"/>
  </r>
  <r>
    <s v="C0276"/>
    <x v="2"/>
    <d v="2023-12-18T00:00:00"/>
    <d v="2024-04-28T00:00:00"/>
    <n v="25"/>
    <s v="Churned"/>
    <s v="Instagram"/>
    <s v="Dec-2023"/>
    <s v="Apr-2024"/>
    <x v="5"/>
    <x v="5"/>
    <s v="Large"/>
    <n v="2023"/>
  </r>
  <r>
    <s v="C0277"/>
    <x v="2"/>
    <d v="2022-06-04T00:00:00"/>
    <d v="2024-12-31T00:00:00"/>
    <n v="25"/>
    <s v="Active"/>
    <s v="Google"/>
    <s v="Jun-2022"/>
    <s v="Dec-2024"/>
    <x v="1"/>
    <x v="2"/>
    <s v="Enterprise"/>
    <n v="2022"/>
  </r>
  <r>
    <s v="C0278"/>
    <x v="0"/>
    <d v="2020-01-19T00:00:00"/>
    <d v="2021-04-26T00:00:00"/>
    <n v="40"/>
    <s v="Churned"/>
    <s v="Facebook"/>
    <s v="Jan-2020"/>
    <s v="Apr-2021"/>
    <x v="5"/>
    <x v="5"/>
    <s v="Large"/>
    <n v="2020"/>
  </r>
  <r>
    <s v="C0279"/>
    <x v="1"/>
    <d v="2023-04-25T00:00:00"/>
    <d v="2024-12-31T00:00:00"/>
    <n v="15"/>
    <s v="Active"/>
    <s v="Facebook"/>
    <s v="Apr-2023"/>
    <s v="Dec-2024"/>
    <x v="2"/>
    <x v="1"/>
    <s v="Medium"/>
    <n v="2023"/>
  </r>
  <r>
    <s v="C0280"/>
    <x v="1"/>
    <d v="2023-07-03T00:00:00"/>
    <d v="2024-12-31T00:00:00"/>
    <n v="15"/>
    <s v="Churned"/>
    <s v="Google"/>
    <s v="Jul-2023"/>
    <s v="Dec-2024"/>
    <x v="0"/>
    <x v="3"/>
    <s v="Small"/>
    <n v="2023"/>
  </r>
  <r>
    <s v="C0281"/>
    <x v="1"/>
    <d v="2024-02-05T00:00:00"/>
    <d v="2024-12-31T00:00:00"/>
    <n v="15"/>
    <s v="Active"/>
    <s v="Google"/>
    <s v="Feb-2024"/>
    <s v="Dec-2024"/>
    <x v="3"/>
    <x v="4"/>
    <s v="Small"/>
    <n v="2024"/>
  </r>
  <r>
    <s v="C0282"/>
    <x v="0"/>
    <d v="2020-11-28T00:00:00"/>
    <d v="2022-11-19T00:00:00"/>
    <n v="40"/>
    <s v="Churned"/>
    <s v="LinkedIn"/>
    <s v="Nov-2020"/>
    <s v="Nov-2022"/>
    <x v="5"/>
    <x v="5"/>
    <s v="Small"/>
    <n v="2020"/>
  </r>
  <r>
    <s v="C0283"/>
    <x v="2"/>
    <d v="2020-04-18T00:00:00"/>
    <d v="2022-05-20T00:00:00"/>
    <n v="25"/>
    <s v="Churned"/>
    <s v="Referral"/>
    <s v="Apr-2020"/>
    <s v="May-2022"/>
    <x v="3"/>
    <x v="3"/>
    <s v="Medium"/>
    <n v="2020"/>
  </r>
  <r>
    <s v="C0284"/>
    <x v="2"/>
    <d v="2021-10-15T00:00:00"/>
    <d v="2023-09-29T00:00:00"/>
    <n v="25"/>
    <s v="Churned"/>
    <s v="Facebook"/>
    <s v="Oct-2021"/>
    <s v="Sep-2023"/>
    <x v="3"/>
    <x v="4"/>
    <s v="Medium"/>
    <n v="2021"/>
  </r>
  <r>
    <s v="C0285"/>
    <x v="2"/>
    <d v="2023-08-08T00:00:00"/>
    <d v="2024-12-31T00:00:00"/>
    <n v="25"/>
    <s v="Active"/>
    <s v="Facebook"/>
    <s v="Aug-2023"/>
    <s v="Dec-2024"/>
    <x v="5"/>
    <x v="0"/>
    <s v="Large"/>
    <n v="2023"/>
  </r>
  <r>
    <s v="C0286"/>
    <x v="1"/>
    <d v="2024-07-02T00:00:00"/>
    <d v="2024-12-31T00:00:00"/>
    <n v="15"/>
    <s v="Active"/>
    <s v="Referral"/>
    <s v="Jul-2024"/>
    <s v="Dec-2024"/>
    <x v="3"/>
    <x v="1"/>
    <s v="Large"/>
    <n v="2024"/>
  </r>
  <r>
    <s v="C0287"/>
    <x v="1"/>
    <d v="2021-06-27T00:00:00"/>
    <d v="2023-02-20T00:00:00"/>
    <n v="15"/>
    <s v="Churned"/>
    <s v="Referral"/>
    <s v="Jun-2021"/>
    <s v="Feb-2023"/>
    <x v="5"/>
    <x v="4"/>
    <s v="Medium"/>
    <n v="2021"/>
  </r>
  <r>
    <s v="C0288"/>
    <x v="1"/>
    <d v="2021-08-14T00:00:00"/>
    <d v="2024-12-31T00:00:00"/>
    <n v="15"/>
    <s v="Active"/>
    <s v="Facebook"/>
    <s v="Aug-2021"/>
    <s v="Dec-2024"/>
    <x v="1"/>
    <x v="4"/>
    <s v="Enterprise"/>
    <n v="2021"/>
  </r>
  <r>
    <s v="C0289"/>
    <x v="2"/>
    <d v="2024-01-08T00:00:00"/>
    <d v="2024-12-31T00:00:00"/>
    <n v="25"/>
    <s v="Active"/>
    <s v="Instagram"/>
    <s v="Jan-2024"/>
    <s v="Dec-2024"/>
    <x v="2"/>
    <x v="3"/>
    <s v="Small"/>
    <n v="2024"/>
  </r>
  <r>
    <s v="C0290"/>
    <x v="1"/>
    <d v="2023-04-07T00:00:00"/>
    <d v="2024-12-31T00:00:00"/>
    <n v="15"/>
    <s v="Active"/>
    <s v="LinkedIn"/>
    <s v="Apr-2023"/>
    <s v="Dec-2024"/>
    <x v="3"/>
    <x v="3"/>
    <s v="Medium"/>
    <n v="2023"/>
  </r>
  <r>
    <s v="C0291"/>
    <x v="0"/>
    <d v="2024-02-08T00:00:00"/>
    <d v="2024-05-10T00:00:00"/>
    <n v="40"/>
    <s v="Churned"/>
    <s v="Google"/>
    <s v="Feb-2024"/>
    <s v="May-2024"/>
    <x v="0"/>
    <x v="4"/>
    <s v="Small"/>
    <n v="2024"/>
  </r>
  <r>
    <s v="C0292"/>
    <x v="2"/>
    <d v="2021-05-24T00:00:00"/>
    <d v="2024-12-31T00:00:00"/>
    <n v="25"/>
    <s v="Active"/>
    <s v="Referral"/>
    <s v="May-2021"/>
    <s v="Dec-2024"/>
    <x v="0"/>
    <x v="3"/>
    <s v="Large"/>
    <n v="2021"/>
  </r>
  <r>
    <s v="C0293"/>
    <x v="1"/>
    <d v="2023-03-21T00:00:00"/>
    <d v="2024-12-31T00:00:00"/>
    <n v="15"/>
    <s v="Active"/>
    <s v="Referral"/>
    <s v="Mar-2023"/>
    <s v="Dec-2024"/>
    <x v="3"/>
    <x v="5"/>
    <s v="Enterprise"/>
    <n v="2023"/>
  </r>
  <r>
    <s v="C0294"/>
    <x v="0"/>
    <d v="2021-12-24T00:00:00"/>
    <d v="2024-12-31T00:00:00"/>
    <n v="40"/>
    <s v="Active"/>
    <s v="Referral"/>
    <s v="Dec-2021"/>
    <s v="Dec-2024"/>
    <x v="2"/>
    <x v="2"/>
    <s v="Medium"/>
    <n v="2021"/>
  </r>
  <r>
    <s v="C0295"/>
    <x v="1"/>
    <d v="2022-09-07T00:00:00"/>
    <d v="2024-12-31T00:00:00"/>
    <n v="15"/>
    <s v="Active"/>
    <s v="Facebook"/>
    <s v="Sep-2022"/>
    <s v="Dec-2024"/>
    <x v="5"/>
    <x v="2"/>
    <s v="Small"/>
    <n v="2022"/>
  </r>
  <r>
    <s v="C0296"/>
    <x v="1"/>
    <d v="2023-07-03T00:00:00"/>
    <d v="2024-12-31T00:00:00"/>
    <n v="15"/>
    <s v="Churned"/>
    <s v="LinkedIn"/>
    <s v="Jul-2023"/>
    <s v="Dec-2024"/>
    <x v="1"/>
    <x v="2"/>
    <s v="Small"/>
    <n v="2023"/>
  </r>
  <r>
    <s v="C0297"/>
    <x v="0"/>
    <d v="2021-08-13T00:00:00"/>
    <d v="2024-12-31T00:00:00"/>
    <n v="40"/>
    <s v="Active"/>
    <s v="Instagram"/>
    <s v="Aug-2021"/>
    <s v="Dec-2024"/>
    <x v="4"/>
    <x v="5"/>
    <s v="Medium"/>
    <n v="2021"/>
  </r>
  <r>
    <s v="C0298"/>
    <x v="1"/>
    <d v="2020-05-22T00:00:00"/>
    <d v="2024-12-31T00:00:00"/>
    <n v="15"/>
    <s v="Active"/>
    <s v="Instagram"/>
    <s v="May-2020"/>
    <s v="Dec-2024"/>
    <x v="0"/>
    <x v="1"/>
    <s v="Large"/>
    <n v="2020"/>
  </r>
  <r>
    <s v="C0299"/>
    <x v="2"/>
    <d v="2020-11-26T00:00:00"/>
    <d v="2022-07-19T00:00:00"/>
    <n v="25"/>
    <s v="Churned"/>
    <s v="Google"/>
    <s v="Nov-2020"/>
    <s v="Jul-2022"/>
    <x v="3"/>
    <x v="2"/>
    <s v="Enterprise"/>
    <n v="2020"/>
  </r>
  <r>
    <s v="C0300"/>
    <x v="2"/>
    <d v="2020-06-25T00:00:00"/>
    <d v="2022-06-15T00:00:00"/>
    <n v="25"/>
    <s v="Churned"/>
    <s v="LinkedIn"/>
    <s v="Jun-2020"/>
    <s v="Jun-2022"/>
    <x v="2"/>
    <x v="5"/>
    <s v="Small"/>
    <n v="2020"/>
  </r>
  <r>
    <s v="C0301"/>
    <x v="1"/>
    <d v="2020-09-14T00:00:00"/>
    <d v="2024-12-31T00:00:00"/>
    <n v="15"/>
    <s v="Active"/>
    <s v="LinkedIn"/>
    <s v="Sep-2020"/>
    <s v="Dec-2024"/>
    <x v="2"/>
    <x v="4"/>
    <s v="Small"/>
    <n v="2020"/>
  </r>
  <r>
    <s v="C0302"/>
    <x v="1"/>
    <d v="2021-04-03T00:00:00"/>
    <d v="2024-12-31T00:00:00"/>
    <n v="15"/>
    <s v="Active"/>
    <s v="Facebook"/>
    <s v="Apr-2021"/>
    <s v="Dec-2024"/>
    <x v="0"/>
    <x v="1"/>
    <s v="Large"/>
    <n v="2021"/>
  </r>
  <r>
    <s v="C0303"/>
    <x v="0"/>
    <d v="2024-03-27T00:00:00"/>
    <d v="2024-12-31T00:00:00"/>
    <n v="40"/>
    <s v="Active"/>
    <s v="Google"/>
    <s v="Mar-2024"/>
    <s v="Dec-2024"/>
    <x v="3"/>
    <x v="2"/>
    <s v="Small"/>
    <n v="2024"/>
  </r>
  <r>
    <s v="C0304"/>
    <x v="2"/>
    <d v="2021-06-24T00:00:00"/>
    <d v="2024-12-31T00:00:00"/>
    <n v="25"/>
    <s v="Active"/>
    <s v="Facebook"/>
    <s v="Jun-2021"/>
    <s v="Dec-2024"/>
    <x v="4"/>
    <x v="5"/>
    <s v="Medium"/>
    <n v="2021"/>
  </r>
  <r>
    <s v="C0305"/>
    <x v="2"/>
    <d v="2023-03-13T00:00:00"/>
    <d v="2024-12-31T00:00:00"/>
    <n v="25"/>
    <s v="Active"/>
    <s v="LinkedIn"/>
    <s v="Mar-2023"/>
    <s v="Dec-2024"/>
    <x v="5"/>
    <x v="1"/>
    <s v="Small"/>
    <n v="2023"/>
  </r>
  <r>
    <s v="C0306"/>
    <x v="0"/>
    <d v="2020-03-20T00:00:00"/>
    <d v="2024-12-31T00:00:00"/>
    <n v="40"/>
    <s v="Active"/>
    <s v="Referral"/>
    <s v="Mar-2020"/>
    <s v="Dec-2024"/>
    <x v="0"/>
    <x v="2"/>
    <s v="Small"/>
    <n v="2020"/>
  </r>
  <r>
    <s v="C0307"/>
    <x v="0"/>
    <d v="2021-03-08T00:00:00"/>
    <d v="2022-12-08T00:00:00"/>
    <n v="40"/>
    <s v="Churned"/>
    <s v="Google"/>
    <s v="Mar-2021"/>
    <s v="Dec-2022"/>
    <x v="5"/>
    <x v="1"/>
    <s v="Large"/>
    <n v="2021"/>
  </r>
  <r>
    <s v="C0308"/>
    <x v="0"/>
    <d v="2022-11-27T00:00:00"/>
    <d v="2024-12-31T00:00:00"/>
    <n v="40"/>
    <s v="Active"/>
    <s v="Facebook"/>
    <s v="Nov-2022"/>
    <s v="Dec-2024"/>
    <x v="1"/>
    <x v="2"/>
    <s v="Enterprise"/>
    <n v="2022"/>
  </r>
  <r>
    <s v="C0309"/>
    <x v="1"/>
    <d v="2024-05-28T00:00:00"/>
    <d v="2024-12-31T00:00:00"/>
    <n v="15"/>
    <s v="Active"/>
    <s v="Referral"/>
    <s v="May-2024"/>
    <s v="Dec-2024"/>
    <x v="5"/>
    <x v="3"/>
    <s v="Medium"/>
    <n v="2024"/>
  </r>
  <r>
    <s v="C0310"/>
    <x v="1"/>
    <d v="2022-01-13T00:00:00"/>
    <d v="2024-12-31T00:00:00"/>
    <n v="15"/>
    <s v="Active"/>
    <s v="Facebook"/>
    <s v="Jan-2022"/>
    <s v="Dec-2024"/>
    <x v="2"/>
    <x v="3"/>
    <s v="Large"/>
    <n v="2022"/>
  </r>
  <r>
    <s v="C0311"/>
    <x v="2"/>
    <d v="2023-05-16T00:00:00"/>
    <d v="2024-12-31T00:00:00"/>
    <n v="25"/>
    <s v="Active"/>
    <s v="Referral"/>
    <s v="May-2023"/>
    <s v="Dec-2024"/>
    <x v="5"/>
    <x v="0"/>
    <s v="Small"/>
    <n v="2023"/>
  </r>
  <r>
    <s v="C0312"/>
    <x v="1"/>
    <d v="2021-01-16T00:00:00"/>
    <d v="2024-12-31T00:00:00"/>
    <n v="15"/>
    <s v="Active"/>
    <s v="Instagram"/>
    <s v="Jan-2021"/>
    <s v="Dec-2024"/>
    <x v="4"/>
    <x v="3"/>
    <s v="Large"/>
    <n v="2021"/>
  </r>
  <r>
    <s v="C0313"/>
    <x v="0"/>
    <d v="2021-05-31T00:00:00"/>
    <d v="2024-12-31T00:00:00"/>
    <n v="40"/>
    <s v="Active"/>
    <s v="Google"/>
    <s v="May-2021"/>
    <s v="Dec-2024"/>
    <x v="0"/>
    <x v="5"/>
    <s v="Enterprise"/>
    <n v="2021"/>
  </r>
  <r>
    <s v="C0314"/>
    <x v="1"/>
    <d v="2024-02-18T00:00:00"/>
    <d v="2024-12-31T00:00:00"/>
    <n v="15"/>
    <s v="Active"/>
    <s v="Facebook"/>
    <s v="Feb-2024"/>
    <s v="Dec-2024"/>
    <x v="3"/>
    <x v="0"/>
    <s v="Small"/>
    <n v="2024"/>
  </r>
  <r>
    <s v="C0315"/>
    <x v="1"/>
    <d v="2020-01-29T00:00:00"/>
    <d v="2024-12-31T00:00:00"/>
    <n v="15"/>
    <s v="Active"/>
    <s v="Instagram"/>
    <s v="Jan-2020"/>
    <s v="Dec-2024"/>
    <x v="5"/>
    <x v="3"/>
    <s v="Medium"/>
    <n v="2020"/>
  </r>
  <r>
    <s v="C0316"/>
    <x v="0"/>
    <d v="2021-01-27T00:00:00"/>
    <d v="2022-04-28T00:00:00"/>
    <n v="40"/>
    <s v="Churned"/>
    <s v="Google"/>
    <s v="Jan-2021"/>
    <s v="Apr-2022"/>
    <x v="5"/>
    <x v="5"/>
    <s v="Small"/>
    <n v="2021"/>
  </r>
  <r>
    <s v="C0317"/>
    <x v="2"/>
    <d v="2020-02-15T00:00:00"/>
    <d v="2024-12-31T00:00:00"/>
    <n v="25"/>
    <s v="Active"/>
    <s v="LinkedIn"/>
    <s v="Feb-2020"/>
    <s v="Dec-2024"/>
    <x v="1"/>
    <x v="5"/>
    <s v="Enterprise"/>
    <n v="2020"/>
  </r>
  <r>
    <s v="C0318"/>
    <x v="1"/>
    <d v="2024-02-19T00:00:00"/>
    <d v="2024-12-31T00:00:00"/>
    <n v="15"/>
    <s v="Active"/>
    <s v="Facebook"/>
    <s v="Feb-2024"/>
    <s v="Dec-2024"/>
    <x v="3"/>
    <x v="3"/>
    <s v="Large"/>
    <n v="2024"/>
  </r>
  <r>
    <s v="C0319"/>
    <x v="0"/>
    <d v="2020-01-16T00:00:00"/>
    <d v="2024-12-31T00:00:00"/>
    <n v="40"/>
    <s v="Active"/>
    <s v="Google"/>
    <s v="Jan-2020"/>
    <s v="Dec-2024"/>
    <x v="3"/>
    <x v="1"/>
    <s v="Small"/>
    <n v="2020"/>
  </r>
  <r>
    <s v="C0320"/>
    <x v="0"/>
    <d v="2023-03-10T00:00:00"/>
    <d v="2024-12-31T00:00:00"/>
    <n v="40"/>
    <s v="Active"/>
    <s v="LinkedIn"/>
    <s v="Mar-2023"/>
    <s v="Dec-2024"/>
    <x v="4"/>
    <x v="0"/>
    <s v="Small"/>
    <n v="2023"/>
  </r>
  <r>
    <s v="C0321"/>
    <x v="1"/>
    <d v="2024-02-17T00:00:00"/>
    <d v="2024-12-31T00:00:00"/>
    <n v="15"/>
    <s v="Active"/>
    <s v="Google"/>
    <s v="Feb-2024"/>
    <s v="Dec-2024"/>
    <x v="3"/>
    <x v="0"/>
    <s v="Small"/>
    <n v="2024"/>
  </r>
  <r>
    <s v="C0322"/>
    <x v="2"/>
    <d v="2020-11-27T00:00:00"/>
    <d v="2024-12-31T00:00:00"/>
    <n v="25"/>
    <s v="Active"/>
    <s v="Instagram"/>
    <s v="Nov-2020"/>
    <s v="Dec-2024"/>
    <x v="1"/>
    <x v="2"/>
    <s v="Medium"/>
    <n v="2020"/>
  </r>
  <r>
    <s v="C0323"/>
    <x v="1"/>
    <d v="2021-03-03T00:00:00"/>
    <d v="2021-06-16T00:00:00"/>
    <n v="15"/>
    <s v="Churned"/>
    <s v="Google"/>
    <s v="Mar-2021"/>
    <s v="Jun-2021"/>
    <x v="3"/>
    <x v="1"/>
    <s v="Small"/>
    <n v="2021"/>
  </r>
  <r>
    <s v="C0324"/>
    <x v="2"/>
    <d v="2021-05-28T00:00:00"/>
    <d v="2024-12-31T00:00:00"/>
    <n v="25"/>
    <s v="Active"/>
    <s v="LinkedIn"/>
    <s v="May-2021"/>
    <s v="Dec-2024"/>
    <x v="5"/>
    <x v="4"/>
    <s v="Small"/>
    <n v="2021"/>
  </r>
  <r>
    <s v="C0325"/>
    <x v="1"/>
    <d v="2022-01-14T00:00:00"/>
    <d v="2023-10-29T00:00:00"/>
    <n v="15"/>
    <s v="Churned"/>
    <s v="Instagram"/>
    <s v="Jan-2022"/>
    <s v="Oct-2023"/>
    <x v="0"/>
    <x v="1"/>
    <s v="Enterprise"/>
    <n v="2022"/>
  </r>
  <r>
    <s v="C0326"/>
    <x v="2"/>
    <d v="2021-06-13T00:00:00"/>
    <d v="2024-12-31T00:00:00"/>
    <n v="25"/>
    <s v="Active"/>
    <s v="Facebook"/>
    <s v="Jun-2021"/>
    <s v="Dec-2024"/>
    <x v="5"/>
    <x v="5"/>
    <s v="Medium"/>
    <n v="2021"/>
  </r>
  <r>
    <s v="C0327"/>
    <x v="1"/>
    <d v="2022-01-26T00:00:00"/>
    <d v="2024-12-31T00:00:00"/>
    <n v="15"/>
    <s v="Active"/>
    <s v="Referral"/>
    <s v="Jan-2022"/>
    <s v="Dec-2024"/>
    <x v="2"/>
    <x v="0"/>
    <s v="Enterprise"/>
    <n v="2022"/>
  </r>
  <r>
    <s v="C0328"/>
    <x v="1"/>
    <d v="2020-09-13T00:00:00"/>
    <d v="2024-12-31T00:00:00"/>
    <n v="15"/>
    <s v="Active"/>
    <s v="Google"/>
    <s v="Sep-2020"/>
    <s v="Dec-2024"/>
    <x v="3"/>
    <x v="5"/>
    <s v="Medium"/>
    <n v="2020"/>
  </r>
  <r>
    <s v="C0329"/>
    <x v="0"/>
    <d v="2024-02-16T00:00:00"/>
    <d v="2024-12-31T00:00:00"/>
    <n v="40"/>
    <s v="Churned"/>
    <s v="Referral"/>
    <s v="Feb-2024"/>
    <s v="Dec-2024"/>
    <x v="4"/>
    <x v="0"/>
    <s v="Medium"/>
    <n v="2024"/>
  </r>
  <r>
    <s v="C0330"/>
    <x v="0"/>
    <d v="2022-04-11T00:00:00"/>
    <d v="2024-12-31T00:00:00"/>
    <n v="40"/>
    <s v="Active"/>
    <s v="Instagram"/>
    <s v="Apr-2022"/>
    <s v="Dec-2024"/>
    <x v="2"/>
    <x v="2"/>
    <s v="Medium"/>
    <n v="2022"/>
  </r>
  <r>
    <s v="C0331"/>
    <x v="1"/>
    <d v="2021-03-28T00:00:00"/>
    <d v="2024-12-31T00:00:00"/>
    <n v="15"/>
    <s v="Active"/>
    <s v="Facebook"/>
    <s v="Mar-2021"/>
    <s v="Dec-2024"/>
    <x v="4"/>
    <x v="5"/>
    <s v="Medium"/>
    <n v="2021"/>
  </r>
  <r>
    <s v="C0332"/>
    <x v="0"/>
    <d v="2022-09-07T00:00:00"/>
    <d v="2024-08-25T00:00:00"/>
    <n v="40"/>
    <s v="Churned"/>
    <s v="LinkedIn"/>
    <s v="Sep-2022"/>
    <s v="Aug-2024"/>
    <x v="2"/>
    <x v="4"/>
    <s v="Medium"/>
    <n v="2022"/>
  </r>
  <r>
    <s v="C0333"/>
    <x v="2"/>
    <d v="2020-10-10T00:00:00"/>
    <d v="2024-12-31T00:00:00"/>
    <n v="25"/>
    <s v="Active"/>
    <s v="Google"/>
    <s v="Oct-2020"/>
    <s v="Dec-2024"/>
    <x v="3"/>
    <x v="2"/>
    <s v="Medium"/>
    <n v="2020"/>
  </r>
  <r>
    <s v="C0334"/>
    <x v="1"/>
    <d v="2020-08-26T00:00:00"/>
    <d v="2021-03-11T00:00:00"/>
    <n v="15"/>
    <s v="Churned"/>
    <s v="Facebook"/>
    <s v="Aug-2020"/>
    <s v="Mar-2021"/>
    <x v="5"/>
    <x v="2"/>
    <s v="Large"/>
    <n v="2020"/>
  </r>
  <r>
    <s v="C0335"/>
    <x v="2"/>
    <d v="2023-11-19T00:00:00"/>
    <d v="2024-09-21T00:00:00"/>
    <n v="25"/>
    <s v="Churned"/>
    <s v="Instagram"/>
    <s v="Nov-2023"/>
    <s v="Sep-2024"/>
    <x v="5"/>
    <x v="2"/>
    <s v="Medium"/>
    <n v="2023"/>
  </r>
  <r>
    <s v="C0336"/>
    <x v="2"/>
    <d v="2021-11-15T00:00:00"/>
    <d v="2024-12-31T00:00:00"/>
    <n v="25"/>
    <s v="Active"/>
    <s v="Instagram"/>
    <s v="Nov-2021"/>
    <s v="Dec-2024"/>
    <x v="3"/>
    <x v="4"/>
    <s v="Enterprise"/>
    <n v="2021"/>
  </r>
  <r>
    <s v="C0337"/>
    <x v="1"/>
    <d v="2023-10-15T00:00:00"/>
    <d v="2024-12-31T00:00:00"/>
    <n v="15"/>
    <s v="Active"/>
    <s v="LinkedIn"/>
    <s v="Oct-2023"/>
    <s v="Dec-2024"/>
    <x v="5"/>
    <x v="4"/>
    <s v="Medium"/>
    <n v="2023"/>
  </r>
  <r>
    <s v="C0338"/>
    <x v="0"/>
    <d v="2023-11-13T00:00:00"/>
    <d v="2024-12-31T00:00:00"/>
    <n v="40"/>
    <s v="Active"/>
    <s v="Google"/>
    <s v="Nov-2023"/>
    <s v="Dec-2024"/>
    <x v="0"/>
    <x v="0"/>
    <s v="Large"/>
    <n v="2023"/>
  </r>
  <r>
    <s v="C0339"/>
    <x v="2"/>
    <d v="2024-06-29T00:00:00"/>
    <d v="2024-12-31T00:00:00"/>
    <n v="25"/>
    <s v="Active"/>
    <s v="LinkedIn"/>
    <s v="Jun-2024"/>
    <s v="Dec-2024"/>
    <x v="2"/>
    <x v="2"/>
    <s v="Small"/>
    <n v="2024"/>
  </r>
  <r>
    <s v="C0340"/>
    <x v="1"/>
    <d v="2022-10-17T00:00:00"/>
    <d v="2024-05-12T00:00:00"/>
    <n v="15"/>
    <s v="Churned"/>
    <s v="Google"/>
    <s v="Oct-2022"/>
    <s v="May-2024"/>
    <x v="5"/>
    <x v="4"/>
    <s v="Large"/>
    <n v="2022"/>
  </r>
  <r>
    <s v="C0341"/>
    <x v="1"/>
    <d v="2022-08-10T00:00:00"/>
    <d v="2024-12-31T00:00:00"/>
    <n v="15"/>
    <s v="Active"/>
    <s v="Referral"/>
    <s v="Aug-2022"/>
    <s v="Dec-2024"/>
    <x v="1"/>
    <x v="2"/>
    <s v="Medium"/>
    <n v="2022"/>
  </r>
  <r>
    <s v="C0342"/>
    <x v="1"/>
    <d v="2022-11-01T00:00:00"/>
    <d v="2024-12-31T00:00:00"/>
    <n v="15"/>
    <s v="Active"/>
    <s v="Facebook"/>
    <s v="Nov-2022"/>
    <s v="Dec-2024"/>
    <x v="2"/>
    <x v="1"/>
    <s v="Large"/>
    <n v="2022"/>
  </r>
  <r>
    <s v="C0343"/>
    <x v="1"/>
    <d v="2021-11-18T00:00:00"/>
    <d v="2022-01-22T00:00:00"/>
    <n v="15"/>
    <s v="Churned"/>
    <s v="Google"/>
    <s v="Nov-2021"/>
    <s v="Jan-2022"/>
    <x v="2"/>
    <x v="1"/>
    <s v="Large"/>
    <n v="2021"/>
  </r>
  <r>
    <s v="C0344"/>
    <x v="1"/>
    <d v="2021-07-15T00:00:00"/>
    <d v="2022-07-09T00:00:00"/>
    <n v="15"/>
    <s v="Churned"/>
    <s v="LinkedIn"/>
    <s v="Jul-2021"/>
    <s v="Jul-2022"/>
    <x v="3"/>
    <x v="5"/>
    <s v="Small"/>
    <n v="2021"/>
  </r>
  <r>
    <s v="C0345"/>
    <x v="1"/>
    <d v="2022-10-24T00:00:00"/>
    <d v="2023-04-03T00:00:00"/>
    <n v="15"/>
    <s v="Churned"/>
    <s v="Facebook"/>
    <s v="Oct-2022"/>
    <s v="Apr-2023"/>
    <x v="3"/>
    <x v="4"/>
    <s v="Enterprise"/>
    <n v="2022"/>
  </r>
  <r>
    <s v="C0346"/>
    <x v="0"/>
    <d v="2022-11-24T00:00:00"/>
    <d v="2024-12-31T00:00:00"/>
    <n v="40"/>
    <s v="Active"/>
    <s v="Referral"/>
    <s v="Nov-2022"/>
    <s v="Dec-2024"/>
    <x v="4"/>
    <x v="2"/>
    <s v="Large"/>
    <n v="2022"/>
  </r>
  <r>
    <s v="C0347"/>
    <x v="2"/>
    <d v="2023-05-05T00:00:00"/>
    <d v="2024-12-26T00:00:00"/>
    <n v="25"/>
    <s v="Churned"/>
    <s v="LinkedIn"/>
    <s v="May-2023"/>
    <s v="Dec-2024"/>
    <x v="2"/>
    <x v="2"/>
    <s v="Large"/>
    <n v="2023"/>
  </r>
  <r>
    <s v="C0348"/>
    <x v="1"/>
    <d v="2020-07-17T00:00:00"/>
    <d v="2021-02-18T00:00:00"/>
    <n v="15"/>
    <s v="Churned"/>
    <s v="Instagram"/>
    <s v="Jul-2020"/>
    <s v="Feb-2021"/>
    <x v="2"/>
    <x v="5"/>
    <s v="Enterprise"/>
    <n v="2020"/>
  </r>
  <r>
    <s v="C0349"/>
    <x v="1"/>
    <d v="2021-12-05T00:00:00"/>
    <d v="2022-04-01T00:00:00"/>
    <n v="15"/>
    <s v="Churned"/>
    <s v="Facebook"/>
    <s v="Dec-2021"/>
    <s v="Apr-2022"/>
    <x v="1"/>
    <x v="3"/>
    <s v="Medium"/>
    <n v="2021"/>
  </r>
  <r>
    <s v="C0350"/>
    <x v="1"/>
    <d v="2020-04-29T00:00:00"/>
    <d v="2024-12-31T00:00:00"/>
    <n v="15"/>
    <s v="Active"/>
    <s v="LinkedIn"/>
    <s v="Apr-2020"/>
    <s v="Dec-2024"/>
    <x v="0"/>
    <x v="2"/>
    <s v="Small"/>
    <n v="2020"/>
  </r>
  <r>
    <s v="C0351"/>
    <x v="2"/>
    <d v="2020-03-13T00:00:00"/>
    <d v="2024-12-31T00:00:00"/>
    <n v="25"/>
    <s v="Active"/>
    <s v="Referral"/>
    <s v="Mar-2020"/>
    <s v="Dec-2024"/>
    <x v="0"/>
    <x v="3"/>
    <s v="Enterprise"/>
    <n v="2020"/>
  </r>
  <r>
    <s v="C0352"/>
    <x v="1"/>
    <d v="2023-06-13T00:00:00"/>
    <d v="2024-12-31T00:00:00"/>
    <n v="15"/>
    <s v="Active"/>
    <s v="Instagram"/>
    <s v="Jun-2023"/>
    <s v="Dec-2024"/>
    <x v="3"/>
    <x v="5"/>
    <s v="Small"/>
    <n v="2023"/>
  </r>
  <r>
    <s v="C0353"/>
    <x v="0"/>
    <d v="2021-05-09T00:00:00"/>
    <d v="2024-12-31T00:00:00"/>
    <n v="40"/>
    <s v="Active"/>
    <s v="Google"/>
    <s v="May-2021"/>
    <s v="Dec-2024"/>
    <x v="3"/>
    <x v="1"/>
    <s v="Medium"/>
    <n v="2021"/>
  </r>
  <r>
    <s v="C0354"/>
    <x v="0"/>
    <d v="2020-02-03T00:00:00"/>
    <d v="2024-12-31T00:00:00"/>
    <n v="40"/>
    <s v="Active"/>
    <s v="Instagram"/>
    <s v="Feb-2020"/>
    <s v="Dec-2024"/>
    <x v="5"/>
    <x v="2"/>
    <s v="Medium"/>
    <n v="2020"/>
  </r>
  <r>
    <s v="C0355"/>
    <x v="2"/>
    <d v="2022-12-16T00:00:00"/>
    <d v="2024-10-22T00:00:00"/>
    <n v="25"/>
    <s v="Churned"/>
    <s v="LinkedIn"/>
    <s v="Dec-2022"/>
    <s v="Oct-2024"/>
    <x v="0"/>
    <x v="1"/>
    <s v="Medium"/>
    <n v="2022"/>
  </r>
  <r>
    <s v="C0356"/>
    <x v="1"/>
    <d v="2020-10-30T00:00:00"/>
    <d v="2021-03-10T00:00:00"/>
    <n v="15"/>
    <s v="Churned"/>
    <s v="Instagram"/>
    <s v="Oct-2020"/>
    <s v="Mar-2021"/>
    <x v="2"/>
    <x v="5"/>
    <s v="Large"/>
    <n v="2020"/>
  </r>
  <r>
    <s v="C0357"/>
    <x v="0"/>
    <d v="2020-05-09T00:00:00"/>
    <d v="2021-05-30T00:00:00"/>
    <n v="40"/>
    <s v="Churned"/>
    <s v="Instagram"/>
    <s v="May-2020"/>
    <s v="May-2021"/>
    <x v="0"/>
    <x v="3"/>
    <s v="Medium"/>
    <n v="2020"/>
  </r>
  <r>
    <s v="C0358"/>
    <x v="0"/>
    <d v="2023-10-09T00:00:00"/>
    <d v="2024-12-31T00:00:00"/>
    <n v="40"/>
    <s v="Churned"/>
    <s v="Referral"/>
    <s v="Oct-2023"/>
    <s v="Dec-2024"/>
    <x v="3"/>
    <x v="3"/>
    <s v="Small"/>
    <n v="2023"/>
  </r>
  <r>
    <s v="C0359"/>
    <x v="0"/>
    <d v="2024-01-03T00:00:00"/>
    <d v="2024-12-31T00:00:00"/>
    <n v="40"/>
    <s v="Active"/>
    <s v="Facebook"/>
    <s v="Jan-2024"/>
    <s v="Dec-2024"/>
    <x v="4"/>
    <x v="5"/>
    <s v="Enterprise"/>
    <n v="2024"/>
  </r>
  <r>
    <s v="C0360"/>
    <x v="0"/>
    <d v="2020-03-03T00:00:00"/>
    <d v="2024-12-31T00:00:00"/>
    <n v="40"/>
    <s v="Active"/>
    <s v="Referral"/>
    <s v="Mar-2020"/>
    <s v="Dec-2024"/>
    <x v="3"/>
    <x v="4"/>
    <s v="Small"/>
    <n v="2020"/>
  </r>
  <r>
    <s v="C0361"/>
    <x v="0"/>
    <d v="2020-09-06T00:00:00"/>
    <d v="2024-12-31T00:00:00"/>
    <n v="40"/>
    <s v="Active"/>
    <s v="Facebook"/>
    <s v="Sep-2020"/>
    <s v="Dec-2024"/>
    <x v="3"/>
    <x v="4"/>
    <s v="Small"/>
    <n v="2020"/>
  </r>
  <r>
    <s v="C0362"/>
    <x v="0"/>
    <d v="2020-02-02T00:00:00"/>
    <d v="2024-12-31T00:00:00"/>
    <n v="40"/>
    <s v="Active"/>
    <s v="LinkedIn"/>
    <s v="Feb-2020"/>
    <s v="Dec-2024"/>
    <x v="0"/>
    <x v="1"/>
    <s v="Enterprise"/>
    <n v="2020"/>
  </r>
  <r>
    <s v="C0363"/>
    <x v="1"/>
    <d v="2020-11-06T00:00:00"/>
    <d v="2024-12-31T00:00:00"/>
    <n v="15"/>
    <s v="Active"/>
    <s v="Referral"/>
    <s v="Nov-2020"/>
    <s v="Dec-2024"/>
    <x v="4"/>
    <x v="2"/>
    <s v="Large"/>
    <n v="2020"/>
  </r>
  <r>
    <s v="C0364"/>
    <x v="1"/>
    <d v="2023-09-17T00:00:00"/>
    <d v="2024-12-31T00:00:00"/>
    <n v="15"/>
    <s v="Active"/>
    <s v="Google"/>
    <s v="Sep-2023"/>
    <s v="Dec-2024"/>
    <x v="0"/>
    <x v="5"/>
    <s v="Large"/>
    <n v="2023"/>
  </r>
  <r>
    <s v="C0365"/>
    <x v="2"/>
    <d v="2023-09-30T00:00:00"/>
    <d v="2024-12-31T00:00:00"/>
    <n v="25"/>
    <s v="Active"/>
    <s v="Google"/>
    <s v="Sep-2023"/>
    <s v="Dec-2024"/>
    <x v="0"/>
    <x v="3"/>
    <s v="Enterprise"/>
    <n v="2023"/>
  </r>
  <r>
    <s v="C0366"/>
    <x v="2"/>
    <d v="2024-04-11T00:00:00"/>
    <d v="2024-12-31T00:00:00"/>
    <n v="25"/>
    <s v="Active"/>
    <s v="Referral"/>
    <s v="Apr-2024"/>
    <s v="Dec-2024"/>
    <x v="0"/>
    <x v="4"/>
    <s v="Small"/>
    <n v="2024"/>
  </r>
  <r>
    <s v="C0367"/>
    <x v="0"/>
    <d v="2021-08-30T00:00:00"/>
    <d v="2024-12-31T00:00:00"/>
    <n v="40"/>
    <s v="Active"/>
    <s v="Referral"/>
    <s v="Aug-2021"/>
    <s v="Dec-2024"/>
    <x v="5"/>
    <x v="5"/>
    <s v="Enterprise"/>
    <n v="2021"/>
  </r>
  <r>
    <s v="C0368"/>
    <x v="0"/>
    <d v="2021-10-17T00:00:00"/>
    <d v="2024-12-31T00:00:00"/>
    <n v="40"/>
    <s v="Active"/>
    <s v="Facebook"/>
    <s v="Oct-2021"/>
    <s v="Dec-2024"/>
    <x v="5"/>
    <x v="2"/>
    <s v="Large"/>
    <n v="2021"/>
  </r>
  <r>
    <s v="C0369"/>
    <x v="2"/>
    <d v="2021-02-22T00:00:00"/>
    <d v="2024-12-31T00:00:00"/>
    <n v="25"/>
    <s v="Active"/>
    <s v="Instagram"/>
    <s v="Feb-2021"/>
    <s v="Dec-2024"/>
    <x v="5"/>
    <x v="4"/>
    <s v="Large"/>
    <n v="2021"/>
  </r>
  <r>
    <s v="C0370"/>
    <x v="0"/>
    <d v="2021-06-27T00:00:00"/>
    <d v="2022-05-31T00:00:00"/>
    <n v="40"/>
    <s v="Churned"/>
    <s v="Facebook"/>
    <s v="Jun-2021"/>
    <s v="May-2022"/>
    <x v="4"/>
    <x v="0"/>
    <s v="Enterprise"/>
    <n v="2021"/>
  </r>
  <r>
    <s v="C0371"/>
    <x v="1"/>
    <d v="2023-12-21T00:00:00"/>
    <d v="2024-05-02T00:00:00"/>
    <n v="15"/>
    <s v="Churned"/>
    <s v="Facebook"/>
    <s v="Dec-2023"/>
    <s v="May-2024"/>
    <x v="3"/>
    <x v="0"/>
    <s v="Medium"/>
    <n v="2023"/>
  </r>
  <r>
    <s v="C0372"/>
    <x v="0"/>
    <d v="2022-12-14T00:00:00"/>
    <d v="2024-12-31T00:00:00"/>
    <n v="40"/>
    <s v="Active"/>
    <s v="Facebook"/>
    <s v="Dec-2022"/>
    <s v="Dec-2024"/>
    <x v="5"/>
    <x v="3"/>
    <s v="Enterprise"/>
    <n v="2022"/>
  </r>
  <r>
    <s v="C0373"/>
    <x v="0"/>
    <d v="2023-09-06T00:00:00"/>
    <d v="2024-12-31T00:00:00"/>
    <n v="40"/>
    <s v="Churned"/>
    <s v="Referral"/>
    <s v="Sep-2023"/>
    <s v="Dec-2024"/>
    <x v="4"/>
    <x v="0"/>
    <s v="Medium"/>
    <n v="2023"/>
  </r>
  <r>
    <s v="C0374"/>
    <x v="2"/>
    <d v="2020-05-12T00:00:00"/>
    <d v="2021-03-13T00:00:00"/>
    <n v="25"/>
    <s v="Churned"/>
    <s v="LinkedIn"/>
    <s v="May-2020"/>
    <s v="Mar-2021"/>
    <x v="1"/>
    <x v="3"/>
    <s v="Small"/>
    <n v="2020"/>
  </r>
  <r>
    <s v="C0375"/>
    <x v="1"/>
    <d v="2022-07-03T00:00:00"/>
    <d v="2023-11-20T00:00:00"/>
    <n v="15"/>
    <s v="Churned"/>
    <s v="Instagram"/>
    <s v="Jul-2022"/>
    <s v="Nov-2023"/>
    <x v="3"/>
    <x v="2"/>
    <s v="Large"/>
    <n v="2022"/>
  </r>
  <r>
    <s v="C0376"/>
    <x v="0"/>
    <d v="2023-04-28T00:00:00"/>
    <d v="2024-12-31T00:00:00"/>
    <n v="40"/>
    <s v="Active"/>
    <s v="Referral"/>
    <s v="Apr-2023"/>
    <s v="Dec-2024"/>
    <x v="1"/>
    <x v="0"/>
    <s v="Enterprise"/>
    <n v="2023"/>
  </r>
  <r>
    <s v="C0377"/>
    <x v="1"/>
    <d v="2021-04-25T00:00:00"/>
    <d v="2024-12-31T00:00:00"/>
    <n v="15"/>
    <s v="Active"/>
    <s v="Instagram"/>
    <s v="Apr-2021"/>
    <s v="Dec-2024"/>
    <x v="4"/>
    <x v="2"/>
    <s v="Small"/>
    <n v="2021"/>
  </r>
  <r>
    <s v="C0378"/>
    <x v="0"/>
    <d v="2021-05-24T00:00:00"/>
    <d v="2024-12-31T00:00:00"/>
    <n v="40"/>
    <s v="Active"/>
    <s v="Instagram"/>
    <s v="May-2021"/>
    <s v="Dec-2024"/>
    <x v="2"/>
    <x v="3"/>
    <s v="Medium"/>
    <n v="2021"/>
  </r>
  <r>
    <s v="C0379"/>
    <x v="0"/>
    <d v="2022-05-18T00:00:00"/>
    <d v="2024-07-27T00:00:00"/>
    <n v="40"/>
    <s v="Churned"/>
    <s v="Instagram"/>
    <s v="May-2022"/>
    <s v="Jul-2024"/>
    <x v="4"/>
    <x v="4"/>
    <s v="Medium"/>
    <n v="2022"/>
  </r>
  <r>
    <s v="C0380"/>
    <x v="1"/>
    <d v="2021-11-15T00:00:00"/>
    <d v="2024-12-31T00:00:00"/>
    <n v="15"/>
    <s v="Active"/>
    <s v="LinkedIn"/>
    <s v="Nov-2021"/>
    <s v="Dec-2024"/>
    <x v="0"/>
    <x v="2"/>
    <s v="Enterprise"/>
    <n v="2021"/>
  </r>
  <r>
    <s v="C0381"/>
    <x v="2"/>
    <d v="2022-01-28T00:00:00"/>
    <d v="2024-12-31T00:00:00"/>
    <n v="25"/>
    <s v="Active"/>
    <s v="LinkedIn"/>
    <s v="Jan-2022"/>
    <s v="Dec-2024"/>
    <x v="0"/>
    <x v="3"/>
    <s v="Enterprise"/>
    <n v="2022"/>
  </r>
  <r>
    <s v="C0382"/>
    <x v="0"/>
    <d v="2021-08-06T00:00:00"/>
    <d v="2024-12-31T00:00:00"/>
    <n v="40"/>
    <s v="Active"/>
    <s v="Instagram"/>
    <s v="Aug-2021"/>
    <s v="Dec-2024"/>
    <x v="3"/>
    <x v="5"/>
    <s v="Small"/>
    <n v="2021"/>
  </r>
  <r>
    <s v="C0383"/>
    <x v="1"/>
    <d v="2021-04-06T00:00:00"/>
    <d v="2023-05-02T00:00:00"/>
    <n v="15"/>
    <s v="Churned"/>
    <s v="LinkedIn"/>
    <s v="Apr-2021"/>
    <s v="May-2023"/>
    <x v="5"/>
    <x v="4"/>
    <s v="Enterprise"/>
    <n v="2021"/>
  </r>
  <r>
    <s v="C0384"/>
    <x v="2"/>
    <d v="2021-03-28T00:00:00"/>
    <d v="2024-12-31T00:00:00"/>
    <n v="25"/>
    <s v="Active"/>
    <s v="Google"/>
    <s v="Mar-2021"/>
    <s v="Dec-2024"/>
    <x v="1"/>
    <x v="4"/>
    <s v="Medium"/>
    <n v="2021"/>
  </r>
  <r>
    <s v="C0385"/>
    <x v="0"/>
    <d v="2021-07-08T00:00:00"/>
    <d v="2024-12-31T00:00:00"/>
    <n v="40"/>
    <s v="Active"/>
    <s v="Google"/>
    <s v="Jul-2021"/>
    <s v="Dec-2024"/>
    <x v="1"/>
    <x v="0"/>
    <s v="Large"/>
    <n v="2021"/>
  </r>
  <r>
    <s v="C0386"/>
    <x v="1"/>
    <d v="2024-01-19T00:00:00"/>
    <d v="2024-12-31T00:00:00"/>
    <n v="15"/>
    <s v="Churned"/>
    <s v="Instagram"/>
    <s v="Jan-2024"/>
    <s v="Dec-2024"/>
    <x v="2"/>
    <x v="3"/>
    <s v="Medium"/>
    <n v="2024"/>
  </r>
  <r>
    <s v="C0387"/>
    <x v="1"/>
    <d v="2024-04-03T00:00:00"/>
    <d v="2024-12-31T00:00:00"/>
    <n v="15"/>
    <s v="Active"/>
    <s v="Facebook"/>
    <s v="Apr-2024"/>
    <s v="Dec-2024"/>
    <x v="5"/>
    <x v="5"/>
    <s v="Enterprise"/>
    <n v="2024"/>
  </r>
  <r>
    <s v="C0388"/>
    <x v="2"/>
    <d v="2020-06-04T00:00:00"/>
    <d v="2022-10-08T00:00:00"/>
    <n v="25"/>
    <s v="Churned"/>
    <s v="LinkedIn"/>
    <s v="Jun-2020"/>
    <s v="Oct-2022"/>
    <x v="0"/>
    <x v="1"/>
    <s v="Large"/>
    <n v="2020"/>
  </r>
  <r>
    <s v="C0389"/>
    <x v="1"/>
    <d v="2024-01-19T00:00:00"/>
    <d v="2024-07-26T00:00:00"/>
    <n v="15"/>
    <s v="Churned"/>
    <s v="Facebook"/>
    <s v="Jan-2024"/>
    <s v="Jul-2024"/>
    <x v="5"/>
    <x v="0"/>
    <s v="Medium"/>
    <n v="2024"/>
  </r>
  <r>
    <s v="C0390"/>
    <x v="2"/>
    <d v="2021-10-22T00:00:00"/>
    <d v="2024-12-31T00:00:00"/>
    <n v="25"/>
    <s v="Active"/>
    <s v="Referral"/>
    <s v="Oct-2021"/>
    <s v="Dec-2024"/>
    <x v="4"/>
    <x v="0"/>
    <s v="Medium"/>
    <n v="2021"/>
  </r>
  <r>
    <s v="C0391"/>
    <x v="2"/>
    <d v="2022-09-23T00:00:00"/>
    <d v="2024-12-31T00:00:00"/>
    <n v="25"/>
    <s v="Active"/>
    <s v="Referral"/>
    <s v="Sep-2022"/>
    <s v="Dec-2024"/>
    <x v="1"/>
    <x v="4"/>
    <s v="Medium"/>
    <n v="2022"/>
  </r>
  <r>
    <s v="C0392"/>
    <x v="2"/>
    <d v="2022-10-24T00:00:00"/>
    <d v="2024-12-31T00:00:00"/>
    <n v="25"/>
    <s v="Churned"/>
    <s v="Facebook"/>
    <s v="Oct-2022"/>
    <s v="Dec-2024"/>
    <x v="1"/>
    <x v="2"/>
    <s v="Medium"/>
    <n v="2022"/>
  </r>
  <r>
    <s v="C0393"/>
    <x v="0"/>
    <d v="2024-01-24T00:00:00"/>
    <d v="2024-12-31T00:00:00"/>
    <n v="40"/>
    <s v="Churned"/>
    <s v="Facebook"/>
    <s v="Jan-2024"/>
    <s v="Dec-2024"/>
    <x v="2"/>
    <x v="5"/>
    <s v="Small"/>
    <n v="2024"/>
  </r>
  <r>
    <s v="C0394"/>
    <x v="1"/>
    <d v="2023-03-12T00:00:00"/>
    <d v="2024-12-31T00:00:00"/>
    <n v="15"/>
    <s v="Active"/>
    <s v="Google"/>
    <s v="Mar-2023"/>
    <s v="Dec-2024"/>
    <x v="0"/>
    <x v="5"/>
    <s v="Small"/>
    <n v="2023"/>
  </r>
  <r>
    <s v="C0395"/>
    <x v="1"/>
    <d v="2020-02-26T00:00:00"/>
    <d v="2024-12-31T00:00:00"/>
    <n v="15"/>
    <s v="Active"/>
    <s v="Google"/>
    <s v="Feb-2020"/>
    <s v="Dec-2024"/>
    <x v="4"/>
    <x v="1"/>
    <s v="Small"/>
    <n v="2020"/>
  </r>
  <r>
    <s v="C0396"/>
    <x v="1"/>
    <d v="2022-01-14T00:00:00"/>
    <d v="2024-12-31T00:00:00"/>
    <n v="15"/>
    <s v="Active"/>
    <s v="Instagram"/>
    <s v="Jan-2022"/>
    <s v="Dec-2024"/>
    <x v="1"/>
    <x v="1"/>
    <s v="Enterprise"/>
    <n v="2022"/>
  </r>
  <r>
    <s v="C0397"/>
    <x v="2"/>
    <d v="2023-09-14T00:00:00"/>
    <d v="2024-12-31T00:00:00"/>
    <n v="25"/>
    <s v="Active"/>
    <s v="Referral"/>
    <s v="Sep-2023"/>
    <s v="Dec-2024"/>
    <x v="4"/>
    <x v="0"/>
    <s v="Medium"/>
    <n v="2023"/>
  </r>
  <r>
    <s v="C0398"/>
    <x v="1"/>
    <d v="2021-05-07T00:00:00"/>
    <d v="2024-12-31T00:00:00"/>
    <n v="15"/>
    <s v="Active"/>
    <s v="Facebook"/>
    <s v="May-2021"/>
    <s v="Dec-2024"/>
    <x v="0"/>
    <x v="3"/>
    <s v="Large"/>
    <n v="2021"/>
  </r>
  <r>
    <s v="C0399"/>
    <x v="1"/>
    <d v="2022-12-02T00:00:00"/>
    <d v="2024-06-11T00:00:00"/>
    <n v="15"/>
    <s v="Churned"/>
    <s v="Google"/>
    <s v="Dec-2022"/>
    <s v="Jun-2024"/>
    <x v="2"/>
    <x v="2"/>
    <s v="Enterprise"/>
    <n v="2022"/>
  </r>
  <r>
    <s v="C0400"/>
    <x v="2"/>
    <d v="2022-11-24T00:00:00"/>
    <d v="2024-12-31T00:00:00"/>
    <n v="25"/>
    <s v="Active"/>
    <s v="Instagram"/>
    <s v="Nov-2022"/>
    <s v="Dec-2024"/>
    <x v="0"/>
    <x v="4"/>
    <s v="Enterprise"/>
    <n v="2022"/>
  </r>
  <r>
    <s v="C0401"/>
    <x v="2"/>
    <d v="2021-06-14T00:00:00"/>
    <d v="2024-12-31T00:00:00"/>
    <n v="25"/>
    <s v="Active"/>
    <s v="Facebook"/>
    <s v="Jun-2021"/>
    <s v="Dec-2024"/>
    <x v="3"/>
    <x v="1"/>
    <s v="Small"/>
    <n v="2021"/>
  </r>
  <r>
    <s v="C0402"/>
    <x v="2"/>
    <d v="2020-09-08T00:00:00"/>
    <d v="2024-12-31T00:00:00"/>
    <n v="25"/>
    <s v="Active"/>
    <s v="Google"/>
    <s v="Sep-2020"/>
    <s v="Dec-2024"/>
    <x v="2"/>
    <x v="5"/>
    <s v="Large"/>
    <n v="2020"/>
  </r>
  <r>
    <s v="C0403"/>
    <x v="2"/>
    <d v="2020-09-09T00:00:00"/>
    <d v="2024-12-31T00:00:00"/>
    <n v="25"/>
    <s v="Active"/>
    <s v="Google"/>
    <s v="Sep-2020"/>
    <s v="Dec-2024"/>
    <x v="1"/>
    <x v="1"/>
    <s v="Enterprise"/>
    <n v="2020"/>
  </r>
  <r>
    <s v="C0404"/>
    <x v="2"/>
    <d v="2021-06-14T00:00:00"/>
    <d v="2024-12-31T00:00:00"/>
    <n v="25"/>
    <s v="Active"/>
    <s v="Referral"/>
    <s v="Jun-2021"/>
    <s v="Dec-2024"/>
    <x v="1"/>
    <x v="4"/>
    <s v="Medium"/>
    <n v="2021"/>
  </r>
  <r>
    <s v="C0405"/>
    <x v="2"/>
    <d v="2020-11-05T00:00:00"/>
    <d v="2024-12-31T00:00:00"/>
    <n v="25"/>
    <s v="Active"/>
    <s v="Instagram"/>
    <s v="Nov-2020"/>
    <s v="Dec-2024"/>
    <x v="1"/>
    <x v="3"/>
    <s v="Small"/>
    <n v="2020"/>
  </r>
  <r>
    <s v="C0406"/>
    <x v="2"/>
    <d v="2020-03-05T00:00:00"/>
    <d v="2024-12-31T00:00:00"/>
    <n v="25"/>
    <s v="Active"/>
    <s v="Instagram"/>
    <s v="Mar-2020"/>
    <s v="Dec-2024"/>
    <x v="3"/>
    <x v="4"/>
    <s v="Small"/>
    <n v="2020"/>
  </r>
  <r>
    <s v="C0407"/>
    <x v="0"/>
    <d v="2021-12-08T00:00:00"/>
    <d v="2024-12-31T00:00:00"/>
    <n v="40"/>
    <s v="Active"/>
    <s v="Facebook"/>
    <s v="Dec-2021"/>
    <s v="Dec-2024"/>
    <x v="1"/>
    <x v="1"/>
    <s v="Enterprise"/>
    <n v="2021"/>
  </r>
  <r>
    <s v="C0408"/>
    <x v="0"/>
    <d v="2021-06-05T00:00:00"/>
    <d v="2024-12-31T00:00:00"/>
    <n v="40"/>
    <s v="Active"/>
    <s v="Google"/>
    <s v="Jun-2021"/>
    <s v="Dec-2024"/>
    <x v="1"/>
    <x v="0"/>
    <s v="Medium"/>
    <n v="2021"/>
  </r>
  <r>
    <s v="C0409"/>
    <x v="2"/>
    <d v="2022-01-29T00:00:00"/>
    <d v="2024-12-31T00:00:00"/>
    <n v="25"/>
    <s v="Active"/>
    <s v="LinkedIn"/>
    <s v="Jan-2022"/>
    <s v="Dec-2024"/>
    <x v="1"/>
    <x v="1"/>
    <s v="Enterprise"/>
    <n v="2022"/>
  </r>
  <r>
    <s v="C0410"/>
    <x v="1"/>
    <d v="2023-12-30T00:00:00"/>
    <d v="2024-12-31T00:00:00"/>
    <n v="15"/>
    <s v="Active"/>
    <s v="Referral"/>
    <s v="Dec-2023"/>
    <s v="Dec-2024"/>
    <x v="2"/>
    <x v="4"/>
    <s v="Small"/>
    <n v="2023"/>
  </r>
  <r>
    <s v="C0411"/>
    <x v="2"/>
    <d v="2023-07-12T00:00:00"/>
    <d v="2024-12-31T00:00:00"/>
    <n v="25"/>
    <s v="Active"/>
    <s v="LinkedIn"/>
    <s v="Jul-2023"/>
    <s v="Dec-2024"/>
    <x v="3"/>
    <x v="5"/>
    <s v="Large"/>
    <n v="2023"/>
  </r>
  <r>
    <s v="C0412"/>
    <x v="1"/>
    <d v="2021-02-20T00:00:00"/>
    <d v="2024-12-31T00:00:00"/>
    <n v="15"/>
    <s v="Active"/>
    <s v="Referral"/>
    <s v="Feb-2021"/>
    <s v="Dec-2024"/>
    <x v="3"/>
    <x v="3"/>
    <s v="Small"/>
    <n v="2021"/>
  </r>
  <r>
    <s v="C0413"/>
    <x v="1"/>
    <d v="2022-09-13T00:00:00"/>
    <d v="2024-12-31T00:00:00"/>
    <n v="15"/>
    <s v="Active"/>
    <s v="Google"/>
    <s v="Sep-2022"/>
    <s v="Dec-2024"/>
    <x v="1"/>
    <x v="5"/>
    <s v="Large"/>
    <n v="2022"/>
  </r>
  <r>
    <s v="C0414"/>
    <x v="1"/>
    <d v="2021-11-17T00:00:00"/>
    <d v="2024-12-31T00:00:00"/>
    <n v="15"/>
    <s v="Active"/>
    <s v="Google"/>
    <s v="Nov-2021"/>
    <s v="Dec-2024"/>
    <x v="2"/>
    <x v="4"/>
    <s v="Medium"/>
    <n v="2021"/>
  </r>
  <r>
    <s v="C0415"/>
    <x v="2"/>
    <d v="2020-06-28T00:00:00"/>
    <d v="2024-12-31T00:00:00"/>
    <n v="25"/>
    <s v="Active"/>
    <s v="Referral"/>
    <s v="Jun-2020"/>
    <s v="Dec-2024"/>
    <x v="3"/>
    <x v="5"/>
    <s v="Large"/>
    <n v="2020"/>
  </r>
  <r>
    <s v="C0416"/>
    <x v="0"/>
    <d v="2022-10-02T00:00:00"/>
    <d v="2024-12-31T00:00:00"/>
    <n v="40"/>
    <s v="Active"/>
    <s v="LinkedIn"/>
    <s v="Oct-2022"/>
    <s v="Dec-2024"/>
    <x v="0"/>
    <x v="1"/>
    <s v="Small"/>
    <n v="2022"/>
  </r>
  <r>
    <s v="C0417"/>
    <x v="2"/>
    <d v="2023-04-15T00:00:00"/>
    <d v="2024-12-31T00:00:00"/>
    <n v="25"/>
    <s v="Active"/>
    <s v="Instagram"/>
    <s v="Apr-2023"/>
    <s v="Dec-2024"/>
    <x v="0"/>
    <x v="3"/>
    <s v="Large"/>
    <n v="2023"/>
  </r>
  <r>
    <s v="C0418"/>
    <x v="0"/>
    <d v="2023-10-06T00:00:00"/>
    <d v="2024-12-31T00:00:00"/>
    <n v="40"/>
    <s v="Churned"/>
    <s v="Referral"/>
    <s v="Oct-2023"/>
    <s v="Dec-2024"/>
    <x v="1"/>
    <x v="2"/>
    <s v="Small"/>
    <n v="2023"/>
  </r>
  <r>
    <s v="C0419"/>
    <x v="1"/>
    <d v="2023-06-14T00:00:00"/>
    <d v="2024-07-31T00:00:00"/>
    <n v="15"/>
    <s v="Churned"/>
    <s v="Google"/>
    <s v="Jun-2023"/>
    <s v="Jul-2024"/>
    <x v="1"/>
    <x v="3"/>
    <s v="Large"/>
    <n v="2023"/>
  </r>
  <r>
    <s v="C0420"/>
    <x v="0"/>
    <d v="2023-09-07T00:00:00"/>
    <d v="2024-06-21T00:00:00"/>
    <n v="40"/>
    <s v="Churned"/>
    <s v="Instagram"/>
    <s v="Sep-2023"/>
    <s v="Jun-2024"/>
    <x v="5"/>
    <x v="0"/>
    <s v="Medium"/>
    <n v="2023"/>
  </r>
  <r>
    <s v="C0421"/>
    <x v="0"/>
    <d v="2020-02-26T00:00:00"/>
    <d v="2024-12-31T00:00:00"/>
    <n v="40"/>
    <s v="Active"/>
    <s v="LinkedIn"/>
    <s v="Feb-2020"/>
    <s v="Dec-2024"/>
    <x v="3"/>
    <x v="4"/>
    <s v="Medium"/>
    <n v="2020"/>
  </r>
  <r>
    <s v="C0422"/>
    <x v="0"/>
    <d v="2020-08-11T00:00:00"/>
    <d v="2022-12-13T00:00:00"/>
    <n v="40"/>
    <s v="Churned"/>
    <s v="Facebook"/>
    <s v="Aug-2020"/>
    <s v="Dec-2022"/>
    <x v="1"/>
    <x v="3"/>
    <s v="Small"/>
    <n v="2020"/>
  </r>
  <r>
    <s v="C0423"/>
    <x v="2"/>
    <d v="2022-10-17T00:00:00"/>
    <d v="2024-12-31T00:00:00"/>
    <n v="25"/>
    <s v="Active"/>
    <s v="Facebook"/>
    <s v="Oct-2022"/>
    <s v="Dec-2024"/>
    <x v="4"/>
    <x v="0"/>
    <s v="Medium"/>
    <n v="2022"/>
  </r>
  <r>
    <s v="C0424"/>
    <x v="0"/>
    <d v="2020-11-22T00:00:00"/>
    <d v="2024-12-31T00:00:00"/>
    <n v="40"/>
    <s v="Active"/>
    <s v="LinkedIn"/>
    <s v="Nov-2020"/>
    <s v="Dec-2024"/>
    <x v="3"/>
    <x v="3"/>
    <s v="Small"/>
    <n v="2020"/>
  </r>
  <r>
    <s v="C0425"/>
    <x v="2"/>
    <d v="2023-04-23T00:00:00"/>
    <d v="2024-12-31T00:00:00"/>
    <n v="25"/>
    <s v="Churned"/>
    <s v="LinkedIn"/>
    <s v="Apr-2023"/>
    <s v="Dec-2024"/>
    <x v="0"/>
    <x v="2"/>
    <s v="Small"/>
    <n v="2023"/>
  </r>
  <r>
    <s v="C0426"/>
    <x v="0"/>
    <d v="2021-03-19T00:00:00"/>
    <d v="2024-12-31T00:00:00"/>
    <n v="40"/>
    <s v="Active"/>
    <s v="Instagram"/>
    <s v="Mar-2021"/>
    <s v="Dec-2024"/>
    <x v="1"/>
    <x v="0"/>
    <s v="Enterprise"/>
    <n v="2021"/>
  </r>
  <r>
    <s v="C0427"/>
    <x v="1"/>
    <d v="2020-04-27T00:00:00"/>
    <d v="2024-12-31T00:00:00"/>
    <n v="15"/>
    <s v="Active"/>
    <s v="LinkedIn"/>
    <s v="Apr-2020"/>
    <s v="Dec-2024"/>
    <x v="2"/>
    <x v="4"/>
    <s v="Medium"/>
    <n v="2020"/>
  </r>
  <r>
    <s v="C0428"/>
    <x v="2"/>
    <d v="2021-06-06T00:00:00"/>
    <d v="2021-12-25T00:00:00"/>
    <n v="25"/>
    <s v="Churned"/>
    <s v="Facebook"/>
    <s v="Jun-2021"/>
    <s v="Dec-2021"/>
    <x v="2"/>
    <x v="3"/>
    <s v="Medium"/>
    <n v="2021"/>
  </r>
  <r>
    <s v="C0429"/>
    <x v="0"/>
    <d v="2022-07-17T00:00:00"/>
    <d v="2023-10-22T00:00:00"/>
    <n v="40"/>
    <s v="Churned"/>
    <s v="Facebook"/>
    <s v="Jul-2022"/>
    <s v="Oct-2023"/>
    <x v="3"/>
    <x v="3"/>
    <s v="Enterprise"/>
    <n v="2022"/>
  </r>
  <r>
    <s v="C0430"/>
    <x v="0"/>
    <d v="2021-04-27T00:00:00"/>
    <d v="2024-12-31T00:00:00"/>
    <n v="40"/>
    <s v="Active"/>
    <s v="LinkedIn"/>
    <s v="Apr-2021"/>
    <s v="Dec-2024"/>
    <x v="2"/>
    <x v="3"/>
    <s v="Large"/>
    <n v="2021"/>
  </r>
  <r>
    <s v="C0431"/>
    <x v="1"/>
    <d v="2023-05-18T00:00:00"/>
    <d v="2024-12-31T00:00:00"/>
    <n v="15"/>
    <s v="Churned"/>
    <s v="Facebook"/>
    <s v="May-2023"/>
    <s v="Dec-2024"/>
    <x v="2"/>
    <x v="2"/>
    <s v="Large"/>
    <n v="2023"/>
  </r>
  <r>
    <s v="C0432"/>
    <x v="1"/>
    <d v="2024-03-08T00:00:00"/>
    <d v="2024-12-31T00:00:00"/>
    <n v="15"/>
    <s v="Churned"/>
    <s v="LinkedIn"/>
    <s v="Mar-2024"/>
    <s v="Dec-2024"/>
    <x v="3"/>
    <x v="1"/>
    <s v="Small"/>
    <n v="2024"/>
  </r>
  <r>
    <s v="C0433"/>
    <x v="2"/>
    <d v="2023-05-17T00:00:00"/>
    <d v="2024-12-31T00:00:00"/>
    <n v="25"/>
    <s v="Active"/>
    <s v="Google"/>
    <s v="May-2023"/>
    <s v="Dec-2024"/>
    <x v="4"/>
    <x v="0"/>
    <s v="Enterprise"/>
    <n v="2023"/>
  </r>
  <r>
    <s v="C0434"/>
    <x v="1"/>
    <d v="2022-07-31T00:00:00"/>
    <d v="2024-12-31T00:00:00"/>
    <n v="15"/>
    <s v="Active"/>
    <s v="Google"/>
    <s v="Jul-2022"/>
    <s v="Dec-2024"/>
    <x v="1"/>
    <x v="4"/>
    <s v="Large"/>
    <n v="2022"/>
  </r>
  <r>
    <s v="C0435"/>
    <x v="1"/>
    <d v="2021-11-11T00:00:00"/>
    <d v="2024-12-31T00:00:00"/>
    <n v="15"/>
    <s v="Active"/>
    <s v="Instagram"/>
    <s v="Nov-2021"/>
    <s v="Dec-2024"/>
    <x v="4"/>
    <x v="4"/>
    <s v="Medium"/>
    <n v="2021"/>
  </r>
  <r>
    <s v="C0436"/>
    <x v="0"/>
    <d v="2023-03-03T00:00:00"/>
    <d v="2024-12-31T00:00:00"/>
    <n v="40"/>
    <s v="Active"/>
    <s v="Google"/>
    <s v="Mar-2023"/>
    <s v="Dec-2024"/>
    <x v="3"/>
    <x v="4"/>
    <s v="Enterprise"/>
    <n v="2023"/>
  </r>
  <r>
    <s v="C0437"/>
    <x v="2"/>
    <d v="2020-07-04T00:00:00"/>
    <d v="2021-01-05T00:00:00"/>
    <n v="25"/>
    <s v="Churned"/>
    <s v="Google"/>
    <s v="Jul-2020"/>
    <s v="Jan-2021"/>
    <x v="1"/>
    <x v="1"/>
    <s v="Small"/>
    <n v="2020"/>
  </r>
  <r>
    <s v="C0438"/>
    <x v="2"/>
    <d v="2023-12-12T00:00:00"/>
    <d v="2024-12-31T00:00:00"/>
    <n v="25"/>
    <s v="Active"/>
    <s v="LinkedIn"/>
    <s v="Dec-2023"/>
    <s v="Dec-2024"/>
    <x v="5"/>
    <x v="5"/>
    <s v="Enterprise"/>
    <n v="2023"/>
  </r>
  <r>
    <s v="C0439"/>
    <x v="2"/>
    <d v="2022-07-27T00:00:00"/>
    <d v="2024-12-31T00:00:00"/>
    <n v="25"/>
    <s v="Active"/>
    <s v="Instagram"/>
    <s v="Jul-2022"/>
    <s v="Dec-2024"/>
    <x v="3"/>
    <x v="1"/>
    <s v="Small"/>
    <n v="2022"/>
  </r>
  <r>
    <s v="C0440"/>
    <x v="1"/>
    <d v="2021-04-27T00:00:00"/>
    <d v="2022-03-06T00:00:00"/>
    <n v="15"/>
    <s v="Churned"/>
    <s v="LinkedIn"/>
    <s v="Apr-2021"/>
    <s v="Mar-2022"/>
    <x v="3"/>
    <x v="5"/>
    <s v="Large"/>
    <n v="2021"/>
  </r>
  <r>
    <s v="C0441"/>
    <x v="2"/>
    <d v="2024-01-25T00:00:00"/>
    <d v="2024-12-31T00:00:00"/>
    <n v="25"/>
    <s v="Active"/>
    <s v="Referral"/>
    <s v="Jan-2024"/>
    <s v="Dec-2024"/>
    <x v="5"/>
    <x v="1"/>
    <s v="Small"/>
    <n v="2024"/>
  </r>
  <r>
    <s v="C0442"/>
    <x v="2"/>
    <d v="2021-12-31T00:00:00"/>
    <d v="2024-12-31T00:00:00"/>
    <n v="25"/>
    <s v="Active"/>
    <s v="Facebook"/>
    <s v="Dec-2021"/>
    <s v="Dec-2024"/>
    <x v="3"/>
    <x v="5"/>
    <s v="Medium"/>
    <n v="2021"/>
  </r>
  <r>
    <s v="C0443"/>
    <x v="1"/>
    <d v="2020-02-23T00:00:00"/>
    <d v="2024-12-31T00:00:00"/>
    <n v="15"/>
    <s v="Active"/>
    <s v="Google"/>
    <s v="Feb-2020"/>
    <s v="Dec-2024"/>
    <x v="3"/>
    <x v="2"/>
    <s v="Enterprise"/>
    <n v="2020"/>
  </r>
  <r>
    <s v="C0444"/>
    <x v="2"/>
    <d v="2024-05-17T00:00:00"/>
    <d v="2024-12-31T00:00:00"/>
    <n v="25"/>
    <s v="Active"/>
    <s v="Referral"/>
    <s v="May-2024"/>
    <s v="Dec-2024"/>
    <x v="5"/>
    <x v="2"/>
    <s v="Enterprise"/>
    <n v="2024"/>
  </r>
  <r>
    <s v="C0445"/>
    <x v="0"/>
    <d v="2020-01-18T00:00:00"/>
    <d v="2024-12-31T00:00:00"/>
    <n v="40"/>
    <s v="Active"/>
    <s v="Google"/>
    <s v="Jan-2020"/>
    <s v="Dec-2024"/>
    <x v="0"/>
    <x v="5"/>
    <s v="Enterprise"/>
    <n v="2020"/>
  </r>
  <r>
    <s v="C0446"/>
    <x v="1"/>
    <d v="2024-01-02T00:00:00"/>
    <d v="2024-12-31T00:00:00"/>
    <n v="15"/>
    <s v="Active"/>
    <s v="Facebook"/>
    <s v="Jan-2024"/>
    <s v="Dec-2024"/>
    <x v="1"/>
    <x v="1"/>
    <s v="Small"/>
    <n v="2024"/>
  </r>
  <r>
    <s v="C0447"/>
    <x v="2"/>
    <d v="2022-11-25T00:00:00"/>
    <d v="2024-12-31T00:00:00"/>
    <n v="25"/>
    <s v="Active"/>
    <s v="Referral"/>
    <s v="Nov-2022"/>
    <s v="Dec-2024"/>
    <x v="3"/>
    <x v="4"/>
    <s v="Medium"/>
    <n v="2022"/>
  </r>
  <r>
    <s v="C0448"/>
    <x v="0"/>
    <d v="2021-11-01T00:00:00"/>
    <d v="2024-12-31T00:00:00"/>
    <n v="40"/>
    <s v="Active"/>
    <s v="Google"/>
    <s v="Nov-2021"/>
    <s v="Dec-2024"/>
    <x v="3"/>
    <x v="0"/>
    <s v="Small"/>
    <n v="2021"/>
  </r>
  <r>
    <s v="C0449"/>
    <x v="2"/>
    <d v="2021-11-08T00:00:00"/>
    <d v="2024-12-31T00:00:00"/>
    <n v="25"/>
    <s v="Active"/>
    <s v="LinkedIn"/>
    <s v="Nov-2021"/>
    <s v="Dec-2024"/>
    <x v="2"/>
    <x v="5"/>
    <s v="Enterprise"/>
    <n v="2021"/>
  </r>
  <r>
    <s v="C0450"/>
    <x v="0"/>
    <d v="2021-07-19T00:00:00"/>
    <d v="2024-12-31T00:00:00"/>
    <n v="40"/>
    <s v="Active"/>
    <s v="LinkedIn"/>
    <s v="Jul-2021"/>
    <s v="Dec-2024"/>
    <x v="0"/>
    <x v="4"/>
    <s v="Medium"/>
    <n v="2021"/>
  </r>
  <r>
    <s v="C0451"/>
    <x v="2"/>
    <d v="2023-03-12T00:00:00"/>
    <d v="2024-12-31T00:00:00"/>
    <n v="25"/>
    <s v="Active"/>
    <s v="Referral"/>
    <s v="Mar-2023"/>
    <s v="Dec-2024"/>
    <x v="1"/>
    <x v="2"/>
    <s v="Medium"/>
    <n v="2023"/>
  </r>
  <r>
    <s v="C0452"/>
    <x v="1"/>
    <d v="2022-06-08T00:00:00"/>
    <d v="2024-12-31T00:00:00"/>
    <n v="15"/>
    <s v="Active"/>
    <s v="LinkedIn"/>
    <s v="Jun-2022"/>
    <s v="Dec-2024"/>
    <x v="5"/>
    <x v="0"/>
    <s v="Medium"/>
    <n v="2022"/>
  </r>
  <r>
    <s v="C0453"/>
    <x v="0"/>
    <d v="2022-11-20T00:00:00"/>
    <d v="2023-08-03T00:00:00"/>
    <n v="40"/>
    <s v="Churned"/>
    <s v="LinkedIn"/>
    <s v="Nov-2022"/>
    <s v="Aug-2023"/>
    <x v="4"/>
    <x v="2"/>
    <s v="Small"/>
    <n v="2022"/>
  </r>
  <r>
    <s v="C0454"/>
    <x v="2"/>
    <d v="2021-02-18T00:00:00"/>
    <d v="2021-12-11T00:00:00"/>
    <n v="25"/>
    <s v="Churned"/>
    <s v="Google"/>
    <s v="Feb-2021"/>
    <s v="Dec-2021"/>
    <x v="2"/>
    <x v="1"/>
    <s v="Medium"/>
    <n v="2021"/>
  </r>
  <r>
    <s v="C0455"/>
    <x v="1"/>
    <d v="2020-02-29T00:00:00"/>
    <d v="2021-11-19T00:00:00"/>
    <n v="15"/>
    <s v="Churned"/>
    <s v="Instagram"/>
    <s v="Feb-2020"/>
    <s v="Nov-2021"/>
    <x v="5"/>
    <x v="2"/>
    <s v="Medium"/>
    <n v="2020"/>
  </r>
  <r>
    <s v="C0456"/>
    <x v="2"/>
    <d v="2023-09-22T00:00:00"/>
    <d v="2024-12-31T00:00:00"/>
    <n v="25"/>
    <s v="Active"/>
    <s v="Instagram"/>
    <s v="Sep-2023"/>
    <s v="Dec-2024"/>
    <x v="5"/>
    <x v="2"/>
    <s v="Enterprise"/>
    <n v="2023"/>
  </r>
  <r>
    <s v="C0457"/>
    <x v="0"/>
    <d v="2024-01-24T00:00:00"/>
    <d v="2024-12-31T00:00:00"/>
    <n v="40"/>
    <s v="Active"/>
    <s v="Referral"/>
    <s v="Jan-2024"/>
    <s v="Dec-2024"/>
    <x v="5"/>
    <x v="1"/>
    <s v="Enterprise"/>
    <n v="2024"/>
  </r>
  <r>
    <s v="C0458"/>
    <x v="0"/>
    <d v="2023-09-26T00:00:00"/>
    <d v="2024-08-06T00:00:00"/>
    <n v="40"/>
    <s v="Churned"/>
    <s v="Google"/>
    <s v="Sep-2023"/>
    <s v="Aug-2024"/>
    <x v="2"/>
    <x v="2"/>
    <s v="Small"/>
    <n v="2023"/>
  </r>
  <r>
    <s v="C0459"/>
    <x v="0"/>
    <d v="2021-01-07T00:00:00"/>
    <d v="2024-12-31T00:00:00"/>
    <n v="40"/>
    <s v="Active"/>
    <s v="Instagram"/>
    <s v="Jan-2021"/>
    <s v="Dec-2024"/>
    <x v="1"/>
    <x v="3"/>
    <s v="Enterprise"/>
    <n v="2021"/>
  </r>
  <r>
    <s v="C0460"/>
    <x v="1"/>
    <d v="2021-04-30T00:00:00"/>
    <d v="2021-07-10T00:00:00"/>
    <n v="15"/>
    <s v="Churned"/>
    <s v="Instagram"/>
    <s v="Apr-2021"/>
    <s v="Jul-2021"/>
    <x v="5"/>
    <x v="0"/>
    <s v="Large"/>
    <n v="2021"/>
  </r>
  <r>
    <s v="C0461"/>
    <x v="1"/>
    <d v="2021-11-18T00:00:00"/>
    <d v="2024-12-31T00:00:00"/>
    <n v="15"/>
    <s v="Active"/>
    <s v="LinkedIn"/>
    <s v="Nov-2021"/>
    <s v="Dec-2024"/>
    <x v="0"/>
    <x v="1"/>
    <s v="Large"/>
    <n v="2021"/>
  </r>
  <r>
    <s v="C0462"/>
    <x v="2"/>
    <d v="2021-02-28T00:00:00"/>
    <d v="2023-06-10T00:00:00"/>
    <n v="25"/>
    <s v="Churned"/>
    <s v="Instagram"/>
    <s v="Feb-2021"/>
    <s v="Jun-2023"/>
    <x v="5"/>
    <x v="3"/>
    <s v="Large"/>
    <n v="2021"/>
  </r>
  <r>
    <s v="C0463"/>
    <x v="1"/>
    <d v="2020-01-12T00:00:00"/>
    <d v="2024-12-31T00:00:00"/>
    <n v="15"/>
    <s v="Active"/>
    <s v="LinkedIn"/>
    <s v="Jan-2020"/>
    <s v="Dec-2024"/>
    <x v="1"/>
    <x v="1"/>
    <s v="Large"/>
    <n v="2020"/>
  </r>
  <r>
    <s v="C0464"/>
    <x v="1"/>
    <d v="2021-05-22T00:00:00"/>
    <d v="2024-12-31T00:00:00"/>
    <n v="15"/>
    <s v="Active"/>
    <s v="Referral"/>
    <s v="May-2021"/>
    <s v="Dec-2024"/>
    <x v="3"/>
    <x v="4"/>
    <s v="Enterprise"/>
    <n v="2021"/>
  </r>
  <r>
    <s v="C0465"/>
    <x v="2"/>
    <d v="2022-10-04T00:00:00"/>
    <d v="2024-12-31T00:00:00"/>
    <n v="25"/>
    <s v="Active"/>
    <s v="Referral"/>
    <s v="Oct-2022"/>
    <s v="Dec-2024"/>
    <x v="4"/>
    <x v="2"/>
    <s v="Small"/>
    <n v="2022"/>
  </r>
  <r>
    <s v="C0466"/>
    <x v="1"/>
    <d v="2022-12-23T00:00:00"/>
    <d v="2024-12-31T00:00:00"/>
    <n v="15"/>
    <s v="Active"/>
    <s v="Referral"/>
    <s v="Dec-2022"/>
    <s v="Dec-2024"/>
    <x v="0"/>
    <x v="1"/>
    <s v="Enterprise"/>
    <n v="2022"/>
  </r>
  <r>
    <s v="C0467"/>
    <x v="2"/>
    <d v="2020-09-24T00:00:00"/>
    <d v="2024-12-31T00:00:00"/>
    <n v="25"/>
    <s v="Active"/>
    <s v="Referral"/>
    <s v="Sep-2020"/>
    <s v="Dec-2024"/>
    <x v="4"/>
    <x v="4"/>
    <s v="Small"/>
    <n v="2020"/>
  </r>
  <r>
    <s v="C0468"/>
    <x v="1"/>
    <d v="2023-01-11T00:00:00"/>
    <d v="2024-12-31T00:00:00"/>
    <n v="15"/>
    <s v="Active"/>
    <s v="Instagram"/>
    <s v="Jan-2023"/>
    <s v="Dec-2024"/>
    <x v="0"/>
    <x v="4"/>
    <s v="Enterprise"/>
    <n v="2023"/>
  </r>
  <r>
    <s v="C0469"/>
    <x v="0"/>
    <d v="2024-02-24T00:00:00"/>
    <d v="2024-12-31T00:00:00"/>
    <n v="40"/>
    <s v="Active"/>
    <s v="LinkedIn"/>
    <s v="Feb-2024"/>
    <s v="Dec-2024"/>
    <x v="5"/>
    <x v="1"/>
    <s v="Small"/>
    <n v="2024"/>
  </r>
  <r>
    <s v="C0470"/>
    <x v="2"/>
    <d v="2023-08-04T00:00:00"/>
    <d v="2024-12-31T00:00:00"/>
    <n v="25"/>
    <s v="Active"/>
    <s v="Referral"/>
    <s v="Aug-2023"/>
    <s v="Dec-2024"/>
    <x v="2"/>
    <x v="4"/>
    <s v="Large"/>
    <n v="2023"/>
  </r>
  <r>
    <s v="C0471"/>
    <x v="2"/>
    <d v="2024-06-13T00:00:00"/>
    <d v="2024-12-31T00:00:00"/>
    <n v="25"/>
    <s v="Active"/>
    <s v="Google"/>
    <s v="Jun-2024"/>
    <s v="Dec-2024"/>
    <x v="3"/>
    <x v="5"/>
    <s v="Large"/>
    <n v="2024"/>
  </r>
  <r>
    <s v="C0472"/>
    <x v="0"/>
    <d v="2020-03-23T00:00:00"/>
    <d v="2024-12-31T00:00:00"/>
    <n v="40"/>
    <s v="Active"/>
    <s v="Google"/>
    <s v="Mar-2020"/>
    <s v="Dec-2024"/>
    <x v="3"/>
    <x v="5"/>
    <s v="Small"/>
    <n v="2020"/>
  </r>
  <r>
    <s v="C0473"/>
    <x v="1"/>
    <d v="2020-03-01T00:00:00"/>
    <d v="2020-09-25T00:00:00"/>
    <n v="15"/>
    <s v="Churned"/>
    <s v="Referral"/>
    <s v="Mar-2020"/>
    <s v="Sep-2020"/>
    <x v="2"/>
    <x v="4"/>
    <s v="Medium"/>
    <n v="2020"/>
  </r>
  <r>
    <s v="C0474"/>
    <x v="1"/>
    <d v="2022-03-18T00:00:00"/>
    <d v="2023-04-21T00:00:00"/>
    <n v="15"/>
    <s v="Churned"/>
    <s v="LinkedIn"/>
    <s v="Mar-2022"/>
    <s v="Apr-2023"/>
    <x v="3"/>
    <x v="4"/>
    <s v="Medium"/>
    <n v="2022"/>
  </r>
  <r>
    <s v="C0475"/>
    <x v="1"/>
    <d v="2020-05-24T00:00:00"/>
    <d v="2024-12-31T00:00:00"/>
    <n v="15"/>
    <s v="Active"/>
    <s v="Referral"/>
    <s v="May-2020"/>
    <s v="Dec-2024"/>
    <x v="3"/>
    <x v="5"/>
    <s v="Large"/>
    <n v="2020"/>
  </r>
  <r>
    <s v="C0476"/>
    <x v="1"/>
    <d v="2021-12-06T00:00:00"/>
    <d v="2024-12-31T00:00:00"/>
    <n v="15"/>
    <s v="Active"/>
    <s v="Facebook"/>
    <s v="Dec-2021"/>
    <s v="Dec-2024"/>
    <x v="5"/>
    <x v="4"/>
    <s v="Large"/>
    <n v="2021"/>
  </r>
  <r>
    <s v="C0477"/>
    <x v="1"/>
    <d v="2020-02-20T00:00:00"/>
    <d v="2020-05-22T00:00:00"/>
    <n v="15"/>
    <s v="Churned"/>
    <s v="Facebook"/>
    <s v="Feb-2020"/>
    <s v="May-2020"/>
    <x v="4"/>
    <x v="4"/>
    <s v="Enterprise"/>
    <n v="2020"/>
  </r>
  <r>
    <s v="C0478"/>
    <x v="2"/>
    <d v="2020-02-17T00:00:00"/>
    <d v="2024-12-31T00:00:00"/>
    <n v="25"/>
    <s v="Active"/>
    <s v="Instagram"/>
    <s v="Feb-2020"/>
    <s v="Dec-2024"/>
    <x v="4"/>
    <x v="0"/>
    <s v="Large"/>
    <n v="2020"/>
  </r>
  <r>
    <s v="C0479"/>
    <x v="1"/>
    <d v="2022-01-26T00:00:00"/>
    <d v="2024-12-31T00:00:00"/>
    <n v="15"/>
    <s v="Active"/>
    <s v="Facebook"/>
    <s v="Jan-2022"/>
    <s v="Dec-2024"/>
    <x v="4"/>
    <x v="2"/>
    <s v="Medium"/>
    <n v="2022"/>
  </r>
  <r>
    <s v="C0480"/>
    <x v="2"/>
    <d v="2022-09-25T00:00:00"/>
    <d v="2024-12-31T00:00:00"/>
    <n v="25"/>
    <s v="Active"/>
    <s v="LinkedIn"/>
    <s v="Sep-2022"/>
    <s v="Dec-2024"/>
    <x v="4"/>
    <x v="3"/>
    <s v="Medium"/>
    <n v="2022"/>
  </r>
  <r>
    <s v="C0481"/>
    <x v="1"/>
    <d v="2022-05-02T00:00:00"/>
    <d v="2024-12-31T00:00:00"/>
    <n v="15"/>
    <s v="Active"/>
    <s v="Facebook"/>
    <s v="May-2022"/>
    <s v="Dec-2024"/>
    <x v="0"/>
    <x v="5"/>
    <s v="Large"/>
    <n v="2022"/>
  </r>
  <r>
    <s v="C0482"/>
    <x v="0"/>
    <d v="2023-08-02T00:00:00"/>
    <d v="2024-12-31T00:00:00"/>
    <n v="40"/>
    <s v="Active"/>
    <s v="Facebook"/>
    <s v="Aug-2023"/>
    <s v="Dec-2024"/>
    <x v="3"/>
    <x v="5"/>
    <s v="Enterprise"/>
    <n v="2023"/>
  </r>
  <r>
    <s v="C0483"/>
    <x v="1"/>
    <d v="2020-05-05T00:00:00"/>
    <d v="2022-02-13T00:00:00"/>
    <n v="15"/>
    <s v="Churned"/>
    <s v="LinkedIn"/>
    <s v="May-2020"/>
    <s v="Feb-2022"/>
    <x v="1"/>
    <x v="2"/>
    <s v="Enterprise"/>
    <n v="2020"/>
  </r>
  <r>
    <s v="C0484"/>
    <x v="0"/>
    <d v="2021-07-26T00:00:00"/>
    <d v="2024-12-31T00:00:00"/>
    <n v="40"/>
    <s v="Active"/>
    <s v="Google"/>
    <s v="Jul-2021"/>
    <s v="Dec-2024"/>
    <x v="2"/>
    <x v="0"/>
    <s v="Small"/>
    <n v="2021"/>
  </r>
  <r>
    <s v="C0485"/>
    <x v="1"/>
    <d v="2022-12-13T00:00:00"/>
    <d v="2023-05-03T00:00:00"/>
    <n v="15"/>
    <s v="Churned"/>
    <s v="LinkedIn"/>
    <s v="Dec-2022"/>
    <s v="May-2023"/>
    <x v="4"/>
    <x v="5"/>
    <s v="Small"/>
    <n v="2022"/>
  </r>
  <r>
    <s v="C0486"/>
    <x v="0"/>
    <d v="2022-08-28T00:00:00"/>
    <d v="2024-12-31T00:00:00"/>
    <n v="40"/>
    <s v="Active"/>
    <s v="LinkedIn"/>
    <s v="Aug-2022"/>
    <s v="Dec-2024"/>
    <x v="0"/>
    <x v="4"/>
    <s v="Medium"/>
    <n v="2022"/>
  </r>
  <r>
    <s v="C0487"/>
    <x v="0"/>
    <d v="2020-03-20T00:00:00"/>
    <d v="2024-12-31T00:00:00"/>
    <n v="40"/>
    <s v="Active"/>
    <s v="Google"/>
    <s v="Mar-2020"/>
    <s v="Dec-2024"/>
    <x v="5"/>
    <x v="4"/>
    <s v="Large"/>
    <n v="2020"/>
  </r>
  <r>
    <s v="C0488"/>
    <x v="2"/>
    <d v="2024-02-19T00:00:00"/>
    <d v="2024-12-31T00:00:00"/>
    <n v="25"/>
    <s v="Active"/>
    <s v="Facebook"/>
    <s v="Feb-2024"/>
    <s v="Dec-2024"/>
    <x v="4"/>
    <x v="2"/>
    <s v="Enterprise"/>
    <n v="2024"/>
  </r>
  <r>
    <s v="C0489"/>
    <x v="2"/>
    <d v="2023-12-19T00:00:00"/>
    <d v="2024-12-31T00:00:00"/>
    <n v="25"/>
    <s v="Active"/>
    <s v="Referral"/>
    <s v="Dec-2023"/>
    <s v="Dec-2024"/>
    <x v="3"/>
    <x v="0"/>
    <s v="Enterprise"/>
    <n v="2023"/>
  </r>
  <r>
    <s v="C0490"/>
    <x v="1"/>
    <d v="2021-11-15T00:00:00"/>
    <d v="2023-05-30T00:00:00"/>
    <n v="15"/>
    <s v="Churned"/>
    <s v="Facebook"/>
    <s v="Nov-2021"/>
    <s v="May-2023"/>
    <x v="5"/>
    <x v="0"/>
    <s v="Small"/>
    <n v="2021"/>
  </r>
  <r>
    <s v="C0491"/>
    <x v="0"/>
    <d v="2020-10-05T00:00:00"/>
    <d v="2022-11-18T00:00:00"/>
    <n v="40"/>
    <s v="Churned"/>
    <s v="Instagram"/>
    <s v="Oct-2020"/>
    <s v="Nov-2022"/>
    <x v="5"/>
    <x v="3"/>
    <s v="Enterprise"/>
    <n v="2020"/>
  </r>
  <r>
    <s v="C0492"/>
    <x v="1"/>
    <d v="2022-10-18T00:00:00"/>
    <d v="2024-09-24T00:00:00"/>
    <n v="15"/>
    <s v="Churned"/>
    <s v="Referral"/>
    <s v="Oct-2022"/>
    <s v="Sep-2024"/>
    <x v="5"/>
    <x v="0"/>
    <s v="Enterprise"/>
    <n v="2022"/>
  </r>
  <r>
    <s v="C0493"/>
    <x v="1"/>
    <d v="2023-09-30T00:00:00"/>
    <d v="2024-12-31T00:00:00"/>
    <n v="15"/>
    <s v="Active"/>
    <s v="LinkedIn"/>
    <s v="Sep-2023"/>
    <s v="Dec-2024"/>
    <x v="1"/>
    <x v="4"/>
    <s v="Large"/>
    <n v="2023"/>
  </r>
  <r>
    <s v="C0494"/>
    <x v="1"/>
    <d v="2023-02-17T00:00:00"/>
    <d v="2024-12-31T00:00:00"/>
    <n v="15"/>
    <s v="Active"/>
    <s v="Referral"/>
    <s v="Feb-2023"/>
    <s v="Dec-2024"/>
    <x v="5"/>
    <x v="3"/>
    <s v="Enterprise"/>
    <n v="2023"/>
  </r>
  <r>
    <s v="C0495"/>
    <x v="0"/>
    <d v="2020-10-12T00:00:00"/>
    <d v="2024-12-31T00:00:00"/>
    <n v="40"/>
    <s v="Active"/>
    <s v="Referral"/>
    <s v="Oct-2020"/>
    <s v="Dec-2024"/>
    <x v="1"/>
    <x v="1"/>
    <s v="Enterprise"/>
    <n v="2020"/>
  </r>
  <r>
    <s v="C0496"/>
    <x v="2"/>
    <d v="2021-12-20T00:00:00"/>
    <d v="2024-12-31T00:00:00"/>
    <n v="25"/>
    <s v="Active"/>
    <s v="Referral"/>
    <s v="Dec-2021"/>
    <s v="Dec-2024"/>
    <x v="1"/>
    <x v="1"/>
    <s v="Large"/>
    <n v="2021"/>
  </r>
  <r>
    <s v="C0497"/>
    <x v="0"/>
    <d v="2022-03-27T00:00:00"/>
    <d v="2024-12-31T00:00:00"/>
    <n v="40"/>
    <s v="Active"/>
    <s v="Instagram"/>
    <s v="Mar-2022"/>
    <s v="Dec-2024"/>
    <x v="1"/>
    <x v="4"/>
    <s v="Large"/>
    <n v="2022"/>
  </r>
  <r>
    <s v="C0498"/>
    <x v="2"/>
    <d v="2024-01-10T00:00:00"/>
    <d v="2024-12-31T00:00:00"/>
    <n v="25"/>
    <s v="Active"/>
    <s v="Google"/>
    <s v="Jan-2024"/>
    <s v="Dec-2024"/>
    <x v="3"/>
    <x v="5"/>
    <s v="Large"/>
    <n v="2024"/>
  </r>
  <r>
    <s v="C0499"/>
    <x v="0"/>
    <d v="2024-01-29T00:00:00"/>
    <d v="2024-12-31T00:00:00"/>
    <n v="40"/>
    <s v="Active"/>
    <s v="Instagram"/>
    <s v="Jan-2024"/>
    <s v="Dec-2024"/>
    <x v="4"/>
    <x v="0"/>
    <s v="Enterprise"/>
    <n v="2024"/>
  </r>
  <r>
    <s v="C0500"/>
    <x v="1"/>
    <d v="2023-07-24T00:00:00"/>
    <d v="2024-02-03T00:00:00"/>
    <n v="15"/>
    <s v="Churned"/>
    <s v="Google"/>
    <s v="Jul-2023"/>
    <s v="Feb-2024"/>
    <x v="3"/>
    <x v="5"/>
    <s v="Large"/>
    <n v="2023"/>
  </r>
  <r>
    <s v="C0501"/>
    <x v="0"/>
    <d v="2022-07-18T00:00:00"/>
    <d v="2024-12-31T00:00:00"/>
    <n v="40"/>
    <s v="Active"/>
    <s v="Facebook"/>
    <s v="Jul-2022"/>
    <s v="Dec-2024"/>
    <x v="0"/>
    <x v="0"/>
    <s v="Enterprise"/>
    <n v="2022"/>
  </r>
  <r>
    <s v="C0502"/>
    <x v="1"/>
    <d v="2020-06-03T00:00:00"/>
    <d v="2022-08-25T00:00:00"/>
    <n v="15"/>
    <s v="Churned"/>
    <s v="Referral"/>
    <s v="Jun-2020"/>
    <s v="Aug-2022"/>
    <x v="1"/>
    <x v="0"/>
    <s v="Large"/>
    <n v="2020"/>
  </r>
  <r>
    <s v="C0503"/>
    <x v="1"/>
    <d v="2022-06-17T00:00:00"/>
    <d v="2024-12-31T00:00:00"/>
    <n v="15"/>
    <s v="Active"/>
    <s v="Facebook"/>
    <s v="Jun-2022"/>
    <s v="Dec-2024"/>
    <x v="3"/>
    <x v="1"/>
    <s v="Large"/>
    <n v="2022"/>
  </r>
  <r>
    <s v="C0504"/>
    <x v="2"/>
    <d v="2024-06-29T00:00:00"/>
    <d v="2024-12-31T00:00:00"/>
    <n v="25"/>
    <s v="Active"/>
    <s v="Google"/>
    <s v="Jun-2024"/>
    <s v="Dec-2024"/>
    <x v="1"/>
    <x v="2"/>
    <s v="Medium"/>
    <n v="2024"/>
  </r>
  <r>
    <s v="C0505"/>
    <x v="2"/>
    <d v="2021-12-20T00:00:00"/>
    <d v="2023-08-16T00:00:00"/>
    <n v="25"/>
    <s v="Churned"/>
    <s v="Facebook"/>
    <s v="Dec-2021"/>
    <s v="Aug-2023"/>
    <x v="4"/>
    <x v="3"/>
    <s v="Small"/>
    <n v="2021"/>
  </r>
  <r>
    <s v="C0506"/>
    <x v="0"/>
    <d v="2023-01-31T00:00:00"/>
    <d v="2024-11-24T00:00:00"/>
    <n v="40"/>
    <s v="Churned"/>
    <s v="Referral"/>
    <s v="Jan-2023"/>
    <s v="Nov-2024"/>
    <x v="4"/>
    <x v="3"/>
    <s v="Small"/>
    <n v="2023"/>
  </r>
  <r>
    <s v="C0507"/>
    <x v="2"/>
    <d v="2021-06-24T00:00:00"/>
    <d v="2024-12-31T00:00:00"/>
    <n v="25"/>
    <s v="Active"/>
    <s v="Referral"/>
    <s v="Jun-2021"/>
    <s v="Dec-2024"/>
    <x v="0"/>
    <x v="2"/>
    <s v="Small"/>
    <n v="2021"/>
  </r>
  <r>
    <s v="C0508"/>
    <x v="1"/>
    <d v="2024-06-09T00:00:00"/>
    <d v="2024-12-31T00:00:00"/>
    <n v="15"/>
    <s v="Active"/>
    <s v="Facebook"/>
    <s v="Jun-2024"/>
    <s v="Dec-2024"/>
    <x v="1"/>
    <x v="4"/>
    <s v="Medium"/>
    <n v="2024"/>
  </r>
  <r>
    <s v="C0509"/>
    <x v="0"/>
    <d v="2023-12-02T00:00:00"/>
    <d v="2024-12-31T00:00:00"/>
    <n v="40"/>
    <s v="Churned"/>
    <s v="LinkedIn"/>
    <s v="Dec-2023"/>
    <s v="Dec-2024"/>
    <x v="3"/>
    <x v="2"/>
    <s v="Medium"/>
    <n v="2023"/>
  </r>
  <r>
    <s v="C0510"/>
    <x v="2"/>
    <d v="2020-04-25T00:00:00"/>
    <d v="2024-12-31T00:00:00"/>
    <n v="25"/>
    <s v="Active"/>
    <s v="Referral"/>
    <s v="Apr-2020"/>
    <s v="Dec-2024"/>
    <x v="5"/>
    <x v="1"/>
    <s v="Large"/>
    <n v="2020"/>
  </r>
  <r>
    <s v="C0511"/>
    <x v="1"/>
    <d v="2021-09-18T00:00:00"/>
    <d v="2024-12-31T00:00:00"/>
    <n v="15"/>
    <s v="Active"/>
    <s v="LinkedIn"/>
    <s v="Sep-2021"/>
    <s v="Dec-2024"/>
    <x v="3"/>
    <x v="3"/>
    <s v="Large"/>
    <n v="2021"/>
  </r>
  <r>
    <s v="C0512"/>
    <x v="1"/>
    <d v="2023-11-16T00:00:00"/>
    <d v="2024-07-13T00:00:00"/>
    <n v="15"/>
    <s v="Churned"/>
    <s v="LinkedIn"/>
    <s v="Nov-2023"/>
    <s v="Jul-2024"/>
    <x v="0"/>
    <x v="0"/>
    <s v="Large"/>
    <n v="2023"/>
  </r>
  <r>
    <s v="C0513"/>
    <x v="2"/>
    <d v="2023-07-29T00:00:00"/>
    <d v="2024-12-31T00:00:00"/>
    <n v="25"/>
    <s v="Churned"/>
    <s v="LinkedIn"/>
    <s v="Jul-2023"/>
    <s v="Dec-2024"/>
    <x v="3"/>
    <x v="4"/>
    <s v="Medium"/>
    <n v="2023"/>
  </r>
  <r>
    <s v="C0514"/>
    <x v="2"/>
    <d v="2021-01-06T00:00:00"/>
    <d v="2021-08-05T00:00:00"/>
    <n v="25"/>
    <s v="Churned"/>
    <s v="LinkedIn"/>
    <s v="Jan-2021"/>
    <s v="Aug-2021"/>
    <x v="4"/>
    <x v="1"/>
    <s v="Small"/>
    <n v="2021"/>
  </r>
  <r>
    <s v="C0515"/>
    <x v="1"/>
    <d v="2021-06-18T00:00:00"/>
    <d v="2024-12-31T00:00:00"/>
    <n v="15"/>
    <s v="Active"/>
    <s v="Instagram"/>
    <s v="Jun-2021"/>
    <s v="Dec-2024"/>
    <x v="4"/>
    <x v="4"/>
    <s v="Small"/>
    <n v="2021"/>
  </r>
  <r>
    <s v="C0516"/>
    <x v="2"/>
    <d v="2022-09-30T00:00:00"/>
    <d v="2024-12-31T00:00:00"/>
    <n v="25"/>
    <s v="Active"/>
    <s v="Facebook"/>
    <s v="Sep-2022"/>
    <s v="Dec-2024"/>
    <x v="3"/>
    <x v="0"/>
    <s v="Medium"/>
    <n v="2022"/>
  </r>
  <r>
    <s v="C0517"/>
    <x v="1"/>
    <d v="2022-08-07T00:00:00"/>
    <d v="2024-12-31T00:00:00"/>
    <n v="15"/>
    <s v="Active"/>
    <s v="Facebook"/>
    <s v="Aug-2022"/>
    <s v="Dec-2024"/>
    <x v="3"/>
    <x v="1"/>
    <s v="Enterprise"/>
    <n v="2022"/>
  </r>
  <r>
    <s v="C0518"/>
    <x v="1"/>
    <d v="2024-04-06T00:00:00"/>
    <d v="2024-12-31T00:00:00"/>
    <n v="15"/>
    <s v="Churned"/>
    <s v="Google"/>
    <s v="Apr-2024"/>
    <s v="Dec-2024"/>
    <x v="2"/>
    <x v="4"/>
    <s v="Large"/>
    <n v="2024"/>
  </r>
  <r>
    <s v="C0519"/>
    <x v="2"/>
    <d v="2020-05-08T00:00:00"/>
    <d v="2022-06-25T00:00:00"/>
    <n v="25"/>
    <s v="Churned"/>
    <s v="Google"/>
    <s v="May-2020"/>
    <s v="Jun-2022"/>
    <x v="0"/>
    <x v="0"/>
    <s v="Small"/>
    <n v="2020"/>
  </r>
  <r>
    <s v="C0520"/>
    <x v="2"/>
    <d v="2023-03-10T00:00:00"/>
    <d v="2024-06-25T00:00:00"/>
    <n v="25"/>
    <s v="Churned"/>
    <s v="LinkedIn"/>
    <s v="Mar-2023"/>
    <s v="Jun-2024"/>
    <x v="2"/>
    <x v="2"/>
    <s v="Small"/>
    <n v="2023"/>
  </r>
  <r>
    <s v="C0521"/>
    <x v="0"/>
    <d v="2021-02-27T00:00:00"/>
    <d v="2023-04-20T00:00:00"/>
    <n v="40"/>
    <s v="Churned"/>
    <s v="Instagram"/>
    <s v="Feb-2021"/>
    <s v="Apr-2023"/>
    <x v="0"/>
    <x v="5"/>
    <s v="Small"/>
    <n v="2021"/>
  </r>
  <r>
    <s v="C0522"/>
    <x v="1"/>
    <d v="2023-08-09T00:00:00"/>
    <d v="2024-12-31T00:00:00"/>
    <n v="15"/>
    <s v="Churned"/>
    <s v="LinkedIn"/>
    <s v="Aug-2023"/>
    <s v="Dec-2024"/>
    <x v="2"/>
    <x v="4"/>
    <s v="Small"/>
    <n v="2023"/>
  </r>
  <r>
    <s v="C0523"/>
    <x v="2"/>
    <d v="2023-12-18T00:00:00"/>
    <d v="2024-10-08T00:00:00"/>
    <n v="25"/>
    <s v="Churned"/>
    <s v="Facebook"/>
    <s v="Dec-2023"/>
    <s v="Oct-2024"/>
    <x v="1"/>
    <x v="0"/>
    <s v="Large"/>
    <n v="2023"/>
  </r>
  <r>
    <s v="C0524"/>
    <x v="0"/>
    <d v="2020-05-02T00:00:00"/>
    <d v="2021-07-08T00:00:00"/>
    <n v="40"/>
    <s v="Churned"/>
    <s v="Google"/>
    <s v="May-2020"/>
    <s v="Jul-2021"/>
    <x v="1"/>
    <x v="2"/>
    <s v="Large"/>
    <n v="2020"/>
  </r>
  <r>
    <s v="C0525"/>
    <x v="0"/>
    <d v="2022-11-13T00:00:00"/>
    <d v="2024-12-31T00:00:00"/>
    <n v="40"/>
    <s v="Active"/>
    <s v="Facebook"/>
    <s v="Nov-2022"/>
    <s v="Dec-2024"/>
    <x v="5"/>
    <x v="2"/>
    <s v="Large"/>
    <n v="2022"/>
  </r>
  <r>
    <s v="C0526"/>
    <x v="1"/>
    <d v="2020-09-06T00:00:00"/>
    <d v="2024-12-31T00:00:00"/>
    <n v="15"/>
    <s v="Active"/>
    <s v="LinkedIn"/>
    <s v="Sep-2020"/>
    <s v="Dec-2024"/>
    <x v="3"/>
    <x v="1"/>
    <s v="Medium"/>
    <n v="2020"/>
  </r>
  <r>
    <s v="C0527"/>
    <x v="1"/>
    <d v="2023-12-02T00:00:00"/>
    <d v="2024-12-31T00:00:00"/>
    <n v="15"/>
    <s v="Active"/>
    <s v="Facebook"/>
    <s v="Dec-2023"/>
    <s v="Dec-2024"/>
    <x v="5"/>
    <x v="5"/>
    <s v="Enterprise"/>
    <n v="2023"/>
  </r>
  <r>
    <s v="C0528"/>
    <x v="0"/>
    <d v="2021-11-13T00:00:00"/>
    <d v="2024-12-31T00:00:00"/>
    <n v="40"/>
    <s v="Active"/>
    <s v="Instagram"/>
    <s v="Nov-2021"/>
    <s v="Dec-2024"/>
    <x v="0"/>
    <x v="5"/>
    <s v="Large"/>
    <n v="2021"/>
  </r>
  <r>
    <s v="C0529"/>
    <x v="1"/>
    <d v="2022-07-06T00:00:00"/>
    <d v="2024-12-31T00:00:00"/>
    <n v="15"/>
    <s v="Active"/>
    <s v="LinkedIn"/>
    <s v="Jul-2022"/>
    <s v="Dec-2024"/>
    <x v="4"/>
    <x v="0"/>
    <s v="Large"/>
    <n v="2022"/>
  </r>
  <r>
    <s v="C0530"/>
    <x v="1"/>
    <d v="2021-01-01T00:00:00"/>
    <d v="2024-12-31T00:00:00"/>
    <n v="15"/>
    <s v="Active"/>
    <s v="Instagram"/>
    <s v="Jan-2021"/>
    <s v="Dec-2024"/>
    <x v="1"/>
    <x v="0"/>
    <s v="Medium"/>
    <n v="2021"/>
  </r>
  <r>
    <s v="C0531"/>
    <x v="0"/>
    <d v="2021-09-28T00:00:00"/>
    <d v="2024-12-31T00:00:00"/>
    <n v="40"/>
    <s v="Active"/>
    <s v="Facebook"/>
    <s v="Sep-2021"/>
    <s v="Dec-2024"/>
    <x v="0"/>
    <x v="0"/>
    <s v="Enterprise"/>
    <n v="2021"/>
  </r>
  <r>
    <s v="C0532"/>
    <x v="2"/>
    <d v="2020-10-12T00:00:00"/>
    <d v="2024-12-31T00:00:00"/>
    <n v="25"/>
    <s v="Active"/>
    <s v="Instagram"/>
    <s v="Oct-2020"/>
    <s v="Dec-2024"/>
    <x v="2"/>
    <x v="5"/>
    <s v="Enterprise"/>
    <n v="2020"/>
  </r>
  <r>
    <s v="C0533"/>
    <x v="1"/>
    <d v="2022-11-08T00:00:00"/>
    <d v="2023-07-27T00:00:00"/>
    <n v="15"/>
    <s v="Churned"/>
    <s v="Facebook"/>
    <s v="Nov-2022"/>
    <s v="Jul-2023"/>
    <x v="5"/>
    <x v="1"/>
    <s v="Large"/>
    <n v="2022"/>
  </r>
  <r>
    <s v="C0534"/>
    <x v="1"/>
    <d v="2021-07-15T00:00:00"/>
    <d v="2024-12-31T00:00:00"/>
    <n v="15"/>
    <s v="Active"/>
    <s v="Instagram"/>
    <s v="Jul-2021"/>
    <s v="Dec-2024"/>
    <x v="3"/>
    <x v="5"/>
    <s v="Enterprise"/>
    <n v="2021"/>
  </r>
  <r>
    <s v="C0535"/>
    <x v="2"/>
    <d v="2020-08-14T00:00:00"/>
    <d v="2024-12-31T00:00:00"/>
    <n v="25"/>
    <s v="Active"/>
    <s v="Google"/>
    <s v="Aug-2020"/>
    <s v="Dec-2024"/>
    <x v="1"/>
    <x v="3"/>
    <s v="Large"/>
    <n v="2020"/>
  </r>
  <r>
    <s v="C0536"/>
    <x v="2"/>
    <d v="2024-02-08T00:00:00"/>
    <d v="2024-12-31T00:00:00"/>
    <n v="25"/>
    <s v="Active"/>
    <s v="LinkedIn"/>
    <s v="Feb-2024"/>
    <s v="Dec-2024"/>
    <x v="2"/>
    <x v="3"/>
    <s v="Small"/>
    <n v="2024"/>
  </r>
  <r>
    <s v="C0537"/>
    <x v="2"/>
    <d v="2020-06-30T00:00:00"/>
    <d v="2022-04-10T00:00:00"/>
    <n v="25"/>
    <s v="Churned"/>
    <s v="Referral"/>
    <s v="Jun-2020"/>
    <s v="Apr-2022"/>
    <x v="3"/>
    <x v="5"/>
    <s v="Enterprise"/>
    <n v="2020"/>
  </r>
  <r>
    <s v="C0538"/>
    <x v="2"/>
    <d v="2022-04-13T00:00:00"/>
    <d v="2024-12-31T00:00:00"/>
    <n v="25"/>
    <s v="Active"/>
    <s v="Google"/>
    <s v="Apr-2022"/>
    <s v="Dec-2024"/>
    <x v="5"/>
    <x v="2"/>
    <s v="Small"/>
    <n v="2022"/>
  </r>
  <r>
    <s v="C0539"/>
    <x v="2"/>
    <d v="2022-01-13T00:00:00"/>
    <d v="2024-04-26T00:00:00"/>
    <n v="25"/>
    <s v="Churned"/>
    <s v="LinkedIn"/>
    <s v="Jan-2022"/>
    <s v="Apr-2024"/>
    <x v="0"/>
    <x v="5"/>
    <s v="Enterprise"/>
    <n v="2022"/>
  </r>
  <r>
    <s v="C0540"/>
    <x v="1"/>
    <d v="2022-05-27T00:00:00"/>
    <d v="2024-12-31T00:00:00"/>
    <n v="15"/>
    <s v="Active"/>
    <s v="LinkedIn"/>
    <s v="May-2022"/>
    <s v="Dec-2024"/>
    <x v="4"/>
    <x v="4"/>
    <s v="Large"/>
    <n v="2022"/>
  </r>
  <r>
    <s v="C0541"/>
    <x v="2"/>
    <d v="2020-04-05T00:00:00"/>
    <d v="2020-09-05T00:00:00"/>
    <n v="25"/>
    <s v="Churned"/>
    <s v="LinkedIn"/>
    <s v="Apr-2020"/>
    <s v="Sep-2020"/>
    <x v="5"/>
    <x v="4"/>
    <s v="Small"/>
    <n v="2020"/>
  </r>
  <r>
    <s v="C0542"/>
    <x v="1"/>
    <d v="2022-08-08T00:00:00"/>
    <d v="2024-12-31T00:00:00"/>
    <n v="15"/>
    <s v="Active"/>
    <s v="Google"/>
    <s v="Aug-2022"/>
    <s v="Dec-2024"/>
    <x v="4"/>
    <x v="4"/>
    <s v="Large"/>
    <n v="2022"/>
  </r>
  <r>
    <s v="C0543"/>
    <x v="2"/>
    <d v="2024-02-20T00:00:00"/>
    <d v="2024-12-31T00:00:00"/>
    <n v="25"/>
    <s v="Active"/>
    <s v="Referral"/>
    <s v="Feb-2024"/>
    <s v="Dec-2024"/>
    <x v="1"/>
    <x v="1"/>
    <s v="Enterprise"/>
    <n v="2024"/>
  </r>
  <r>
    <s v="C0544"/>
    <x v="2"/>
    <d v="2021-07-07T00:00:00"/>
    <d v="2022-07-13T00:00:00"/>
    <n v="25"/>
    <s v="Churned"/>
    <s v="Google"/>
    <s v="Jul-2021"/>
    <s v="Jul-2022"/>
    <x v="2"/>
    <x v="5"/>
    <s v="Small"/>
    <n v="2021"/>
  </r>
  <r>
    <s v="C0545"/>
    <x v="2"/>
    <d v="2024-06-26T00:00:00"/>
    <d v="2024-12-31T00:00:00"/>
    <n v="25"/>
    <s v="Active"/>
    <s v="LinkedIn"/>
    <s v="Jun-2024"/>
    <s v="Dec-2024"/>
    <x v="3"/>
    <x v="1"/>
    <s v="Small"/>
    <n v="2024"/>
  </r>
  <r>
    <s v="C0546"/>
    <x v="2"/>
    <d v="2022-02-20T00:00:00"/>
    <d v="2024-12-31T00:00:00"/>
    <n v="25"/>
    <s v="Active"/>
    <s v="Referral"/>
    <s v="Feb-2022"/>
    <s v="Dec-2024"/>
    <x v="4"/>
    <x v="2"/>
    <s v="Large"/>
    <n v="2022"/>
  </r>
  <r>
    <s v="C0547"/>
    <x v="1"/>
    <d v="2024-05-29T00:00:00"/>
    <d v="2024-12-31T00:00:00"/>
    <n v="15"/>
    <s v="Active"/>
    <s v="Referral"/>
    <s v="May-2024"/>
    <s v="Dec-2024"/>
    <x v="5"/>
    <x v="0"/>
    <s v="Medium"/>
    <n v="2024"/>
  </r>
  <r>
    <s v="C0548"/>
    <x v="0"/>
    <d v="2023-09-23T00:00:00"/>
    <d v="2024-12-31T00:00:00"/>
    <n v="40"/>
    <s v="Churned"/>
    <s v="Referral"/>
    <s v="Sep-2023"/>
    <s v="Dec-2024"/>
    <x v="2"/>
    <x v="1"/>
    <s v="Medium"/>
    <n v="2023"/>
  </r>
  <r>
    <s v="C0549"/>
    <x v="2"/>
    <d v="2021-05-26T00:00:00"/>
    <d v="2023-09-28T00:00:00"/>
    <n v="25"/>
    <s v="Churned"/>
    <s v="LinkedIn"/>
    <s v="May-2021"/>
    <s v="Sep-2023"/>
    <x v="0"/>
    <x v="4"/>
    <s v="Medium"/>
    <n v="2021"/>
  </r>
  <r>
    <s v="C0550"/>
    <x v="2"/>
    <d v="2020-07-08T00:00:00"/>
    <d v="2024-12-31T00:00:00"/>
    <n v="25"/>
    <s v="Active"/>
    <s v="LinkedIn"/>
    <s v="Jul-2020"/>
    <s v="Dec-2024"/>
    <x v="3"/>
    <x v="5"/>
    <s v="Enterprise"/>
    <n v="2020"/>
  </r>
  <r>
    <s v="C0551"/>
    <x v="1"/>
    <d v="2020-08-06T00:00:00"/>
    <d v="2024-12-31T00:00:00"/>
    <n v="15"/>
    <s v="Active"/>
    <s v="Facebook"/>
    <s v="Aug-2020"/>
    <s v="Dec-2024"/>
    <x v="1"/>
    <x v="3"/>
    <s v="Large"/>
    <n v="2020"/>
  </r>
  <r>
    <s v="C0552"/>
    <x v="0"/>
    <d v="2023-06-04T00:00:00"/>
    <d v="2024-12-31T00:00:00"/>
    <n v="40"/>
    <s v="Active"/>
    <s v="Facebook"/>
    <s v="Jun-2023"/>
    <s v="Dec-2024"/>
    <x v="3"/>
    <x v="1"/>
    <s v="Large"/>
    <n v="2023"/>
  </r>
  <r>
    <s v="C0553"/>
    <x v="2"/>
    <d v="2024-05-21T00:00:00"/>
    <d v="2024-12-31T00:00:00"/>
    <n v="25"/>
    <s v="Active"/>
    <s v="Referral"/>
    <s v="May-2024"/>
    <s v="Dec-2024"/>
    <x v="1"/>
    <x v="1"/>
    <s v="Enterprise"/>
    <n v="2024"/>
  </r>
  <r>
    <s v="C0554"/>
    <x v="2"/>
    <d v="2023-10-25T00:00:00"/>
    <d v="2024-12-31T00:00:00"/>
    <n v="25"/>
    <s v="Active"/>
    <s v="Instagram"/>
    <s v="Oct-2023"/>
    <s v="Dec-2024"/>
    <x v="5"/>
    <x v="1"/>
    <s v="Enterprise"/>
    <n v="2023"/>
  </r>
  <r>
    <s v="C0555"/>
    <x v="0"/>
    <d v="2022-07-03T00:00:00"/>
    <d v="2023-07-09T00:00:00"/>
    <n v="40"/>
    <s v="Churned"/>
    <s v="Instagram"/>
    <s v="Jul-2022"/>
    <s v="Jul-2023"/>
    <x v="1"/>
    <x v="4"/>
    <s v="Large"/>
    <n v="2022"/>
  </r>
  <r>
    <s v="C0556"/>
    <x v="0"/>
    <d v="2022-06-24T00:00:00"/>
    <d v="2024-08-23T00:00:00"/>
    <n v="40"/>
    <s v="Churned"/>
    <s v="Referral"/>
    <s v="Jun-2022"/>
    <s v="Aug-2024"/>
    <x v="5"/>
    <x v="4"/>
    <s v="Small"/>
    <n v="2022"/>
  </r>
  <r>
    <s v="C0557"/>
    <x v="1"/>
    <d v="2022-01-05T00:00:00"/>
    <d v="2022-10-03T00:00:00"/>
    <n v="15"/>
    <s v="Churned"/>
    <s v="Google"/>
    <s v="Jan-2022"/>
    <s v="Oct-2022"/>
    <x v="0"/>
    <x v="0"/>
    <s v="Large"/>
    <n v="2022"/>
  </r>
  <r>
    <s v="C0558"/>
    <x v="0"/>
    <d v="2023-05-03T00:00:00"/>
    <d v="2024-12-31T00:00:00"/>
    <n v="40"/>
    <s v="Churned"/>
    <s v="Google"/>
    <s v="May-2023"/>
    <s v="Dec-2024"/>
    <x v="0"/>
    <x v="1"/>
    <s v="Medium"/>
    <n v="2023"/>
  </r>
  <r>
    <s v="C0559"/>
    <x v="0"/>
    <d v="2023-12-07T00:00:00"/>
    <d v="2024-12-31T00:00:00"/>
    <n v="40"/>
    <s v="Active"/>
    <s v="Google"/>
    <s v="Dec-2023"/>
    <s v="Dec-2024"/>
    <x v="2"/>
    <x v="1"/>
    <s v="Small"/>
    <n v="2023"/>
  </r>
  <r>
    <s v="C0560"/>
    <x v="1"/>
    <d v="2024-06-29T00:00:00"/>
    <d v="2024-12-31T00:00:00"/>
    <n v="15"/>
    <s v="Active"/>
    <s v="Google"/>
    <s v="Jun-2024"/>
    <s v="Dec-2024"/>
    <x v="2"/>
    <x v="0"/>
    <s v="Large"/>
    <n v="2024"/>
  </r>
  <r>
    <s v="C0561"/>
    <x v="0"/>
    <d v="2021-07-21T00:00:00"/>
    <d v="2024-12-31T00:00:00"/>
    <n v="40"/>
    <s v="Active"/>
    <s v="Facebook"/>
    <s v="Jul-2021"/>
    <s v="Dec-2024"/>
    <x v="0"/>
    <x v="0"/>
    <s v="Medium"/>
    <n v="2021"/>
  </r>
  <r>
    <s v="C0562"/>
    <x v="0"/>
    <d v="2020-04-20T00:00:00"/>
    <d v="2022-04-19T00:00:00"/>
    <n v="40"/>
    <s v="Churned"/>
    <s v="Facebook"/>
    <s v="Apr-2020"/>
    <s v="Apr-2022"/>
    <x v="4"/>
    <x v="4"/>
    <s v="Small"/>
    <n v="2020"/>
  </r>
  <r>
    <s v="C0563"/>
    <x v="0"/>
    <d v="2020-06-18T00:00:00"/>
    <d v="2024-12-31T00:00:00"/>
    <n v="40"/>
    <s v="Active"/>
    <s v="LinkedIn"/>
    <s v="Jun-2020"/>
    <s v="Dec-2024"/>
    <x v="4"/>
    <x v="4"/>
    <s v="Large"/>
    <n v="2020"/>
  </r>
  <r>
    <s v="C0564"/>
    <x v="1"/>
    <d v="2021-08-18T00:00:00"/>
    <d v="2023-08-30T00:00:00"/>
    <n v="15"/>
    <s v="Churned"/>
    <s v="LinkedIn"/>
    <s v="Aug-2021"/>
    <s v="Aug-2023"/>
    <x v="2"/>
    <x v="3"/>
    <s v="Medium"/>
    <n v="2021"/>
  </r>
  <r>
    <s v="C0565"/>
    <x v="2"/>
    <d v="2023-06-30T00:00:00"/>
    <d v="2024-12-31T00:00:00"/>
    <n v="25"/>
    <s v="Churned"/>
    <s v="LinkedIn"/>
    <s v="Jun-2023"/>
    <s v="Dec-2024"/>
    <x v="4"/>
    <x v="1"/>
    <s v="Enterprise"/>
    <n v="2023"/>
  </r>
  <r>
    <s v="C0566"/>
    <x v="0"/>
    <d v="2023-06-02T00:00:00"/>
    <d v="2024-12-31T00:00:00"/>
    <n v="40"/>
    <s v="Active"/>
    <s v="LinkedIn"/>
    <s v="Jun-2023"/>
    <s v="Dec-2024"/>
    <x v="3"/>
    <x v="0"/>
    <s v="Large"/>
    <n v="2023"/>
  </r>
  <r>
    <s v="C0567"/>
    <x v="0"/>
    <d v="2021-08-25T00:00:00"/>
    <d v="2022-12-14T00:00:00"/>
    <n v="40"/>
    <s v="Churned"/>
    <s v="Instagram"/>
    <s v="Aug-2021"/>
    <s v="Dec-2022"/>
    <x v="2"/>
    <x v="3"/>
    <s v="Small"/>
    <n v="2021"/>
  </r>
  <r>
    <s v="C0568"/>
    <x v="0"/>
    <d v="2024-04-11T00:00:00"/>
    <d v="2024-12-31T00:00:00"/>
    <n v="40"/>
    <s v="Active"/>
    <s v="LinkedIn"/>
    <s v="Apr-2024"/>
    <s v="Dec-2024"/>
    <x v="2"/>
    <x v="0"/>
    <s v="Large"/>
    <n v="2024"/>
  </r>
  <r>
    <s v="C0569"/>
    <x v="0"/>
    <d v="2022-02-16T00:00:00"/>
    <d v="2024-05-04T00:00:00"/>
    <n v="40"/>
    <s v="Churned"/>
    <s v="Facebook"/>
    <s v="Feb-2022"/>
    <s v="May-2024"/>
    <x v="3"/>
    <x v="4"/>
    <s v="Small"/>
    <n v="2022"/>
  </r>
  <r>
    <s v="C0570"/>
    <x v="1"/>
    <d v="2021-11-10T00:00:00"/>
    <d v="2023-01-11T00:00:00"/>
    <n v="15"/>
    <s v="Churned"/>
    <s v="Instagram"/>
    <s v="Nov-2021"/>
    <s v="Jan-2023"/>
    <x v="2"/>
    <x v="0"/>
    <s v="Small"/>
    <n v="2021"/>
  </r>
  <r>
    <s v="C0571"/>
    <x v="0"/>
    <d v="2021-01-09T00:00:00"/>
    <d v="2021-04-25T00:00:00"/>
    <n v="40"/>
    <s v="Churned"/>
    <s v="Google"/>
    <s v="Jan-2021"/>
    <s v="Apr-2021"/>
    <x v="5"/>
    <x v="0"/>
    <s v="Enterprise"/>
    <n v="2021"/>
  </r>
  <r>
    <s v="C0572"/>
    <x v="1"/>
    <d v="2020-08-25T00:00:00"/>
    <d v="2024-12-31T00:00:00"/>
    <n v="15"/>
    <s v="Active"/>
    <s v="LinkedIn"/>
    <s v="Aug-2020"/>
    <s v="Dec-2024"/>
    <x v="1"/>
    <x v="0"/>
    <s v="Enterprise"/>
    <n v="2020"/>
  </r>
  <r>
    <s v="C0573"/>
    <x v="1"/>
    <d v="2020-09-24T00:00:00"/>
    <d v="2024-12-31T00:00:00"/>
    <n v="15"/>
    <s v="Active"/>
    <s v="Facebook"/>
    <s v="Sep-2020"/>
    <s v="Dec-2024"/>
    <x v="0"/>
    <x v="5"/>
    <s v="Enterprise"/>
    <n v="2020"/>
  </r>
  <r>
    <s v="C0574"/>
    <x v="0"/>
    <d v="2020-12-30T00:00:00"/>
    <d v="2022-07-09T00:00:00"/>
    <n v="40"/>
    <s v="Churned"/>
    <s v="Google"/>
    <s v="Dec-2020"/>
    <s v="Jul-2022"/>
    <x v="3"/>
    <x v="3"/>
    <s v="Enterprise"/>
    <n v="2020"/>
  </r>
  <r>
    <s v="C0575"/>
    <x v="2"/>
    <d v="2022-08-18T00:00:00"/>
    <d v="2024-12-31T00:00:00"/>
    <n v="25"/>
    <s v="Active"/>
    <s v="Google"/>
    <s v="Aug-2022"/>
    <s v="Dec-2024"/>
    <x v="3"/>
    <x v="0"/>
    <s v="Large"/>
    <n v="2022"/>
  </r>
  <r>
    <s v="C0576"/>
    <x v="0"/>
    <d v="2021-09-17T00:00:00"/>
    <d v="2024-12-31T00:00:00"/>
    <n v="40"/>
    <s v="Active"/>
    <s v="Instagram"/>
    <s v="Sep-2021"/>
    <s v="Dec-2024"/>
    <x v="3"/>
    <x v="5"/>
    <s v="Medium"/>
    <n v="2021"/>
  </r>
  <r>
    <s v="C0577"/>
    <x v="2"/>
    <d v="2024-02-16T00:00:00"/>
    <d v="2024-12-31T00:00:00"/>
    <n v="25"/>
    <s v="Churned"/>
    <s v="LinkedIn"/>
    <s v="Feb-2024"/>
    <s v="Dec-2024"/>
    <x v="2"/>
    <x v="0"/>
    <s v="Large"/>
    <n v="2024"/>
  </r>
  <r>
    <s v="C0578"/>
    <x v="0"/>
    <d v="2021-04-14T00:00:00"/>
    <d v="2023-05-26T00:00:00"/>
    <n v="40"/>
    <s v="Churned"/>
    <s v="Facebook"/>
    <s v="Apr-2021"/>
    <s v="May-2023"/>
    <x v="1"/>
    <x v="1"/>
    <s v="Enterprise"/>
    <n v="2021"/>
  </r>
  <r>
    <s v="C0579"/>
    <x v="1"/>
    <d v="2022-11-27T00:00:00"/>
    <d v="2024-12-31T00:00:00"/>
    <n v="15"/>
    <s v="Active"/>
    <s v="LinkedIn"/>
    <s v="Nov-2022"/>
    <s v="Dec-2024"/>
    <x v="0"/>
    <x v="1"/>
    <s v="Small"/>
    <n v="2022"/>
  </r>
  <r>
    <s v="C0580"/>
    <x v="0"/>
    <d v="2022-11-27T00:00:00"/>
    <d v="2024-12-31T00:00:00"/>
    <n v="40"/>
    <s v="Active"/>
    <s v="LinkedIn"/>
    <s v="Nov-2022"/>
    <s v="Dec-2024"/>
    <x v="5"/>
    <x v="3"/>
    <s v="Medium"/>
    <n v="2022"/>
  </r>
  <r>
    <s v="C0581"/>
    <x v="0"/>
    <d v="2023-08-07T00:00:00"/>
    <d v="2024-12-31T00:00:00"/>
    <n v="40"/>
    <s v="Active"/>
    <s v="Instagram"/>
    <s v="Aug-2023"/>
    <s v="Dec-2024"/>
    <x v="0"/>
    <x v="3"/>
    <s v="Enterprise"/>
    <n v="2023"/>
  </r>
  <r>
    <s v="C0582"/>
    <x v="1"/>
    <d v="2023-12-27T00:00:00"/>
    <d v="2024-12-31T00:00:00"/>
    <n v="15"/>
    <s v="Active"/>
    <s v="LinkedIn"/>
    <s v="Dec-2023"/>
    <s v="Dec-2024"/>
    <x v="3"/>
    <x v="0"/>
    <s v="Large"/>
    <n v="2023"/>
  </r>
  <r>
    <s v="C0583"/>
    <x v="2"/>
    <d v="2020-06-21T00:00:00"/>
    <d v="2024-12-31T00:00:00"/>
    <n v="25"/>
    <s v="Active"/>
    <s v="Google"/>
    <s v="Jun-2020"/>
    <s v="Dec-2024"/>
    <x v="2"/>
    <x v="4"/>
    <s v="Enterprise"/>
    <n v="2020"/>
  </r>
  <r>
    <s v="C0584"/>
    <x v="1"/>
    <d v="2020-04-10T00:00:00"/>
    <d v="2024-12-31T00:00:00"/>
    <n v="15"/>
    <s v="Active"/>
    <s v="Google"/>
    <s v="Apr-2020"/>
    <s v="Dec-2024"/>
    <x v="5"/>
    <x v="3"/>
    <s v="Large"/>
    <n v="2020"/>
  </r>
  <r>
    <s v="C0585"/>
    <x v="1"/>
    <d v="2020-02-02T00:00:00"/>
    <d v="2024-12-31T00:00:00"/>
    <n v="15"/>
    <s v="Active"/>
    <s v="LinkedIn"/>
    <s v="Feb-2020"/>
    <s v="Dec-2024"/>
    <x v="3"/>
    <x v="2"/>
    <s v="Enterprise"/>
    <n v="2020"/>
  </r>
  <r>
    <s v="C0586"/>
    <x v="1"/>
    <d v="2023-09-06T00:00:00"/>
    <d v="2024-01-22T00:00:00"/>
    <n v="15"/>
    <s v="Churned"/>
    <s v="Instagram"/>
    <s v="Sep-2023"/>
    <s v="Jan-2024"/>
    <x v="4"/>
    <x v="1"/>
    <s v="Enterprise"/>
    <n v="2023"/>
  </r>
  <r>
    <s v="C0587"/>
    <x v="1"/>
    <d v="2021-01-27T00:00:00"/>
    <d v="2023-01-27T00:00:00"/>
    <n v="15"/>
    <s v="Churned"/>
    <s v="Google"/>
    <s v="Jan-2021"/>
    <s v="Jan-2023"/>
    <x v="0"/>
    <x v="0"/>
    <s v="Small"/>
    <n v="2021"/>
  </r>
  <r>
    <s v="C0588"/>
    <x v="0"/>
    <d v="2021-10-12T00:00:00"/>
    <d v="2022-11-01T00:00:00"/>
    <n v="40"/>
    <s v="Churned"/>
    <s v="Facebook"/>
    <s v="Oct-2021"/>
    <s v="Nov-2022"/>
    <x v="3"/>
    <x v="5"/>
    <s v="Small"/>
    <n v="2021"/>
  </r>
  <r>
    <s v="C0589"/>
    <x v="2"/>
    <d v="2021-09-03T00:00:00"/>
    <d v="2024-12-31T00:00:00"/>
    <n v="25"/>
    <s v="Active"/>
    <s v="LinkedIn"/>
    <s v="Sep-2021"/>
    <s v="Dec-2024"/>
    <x v="2"/>
    <x v="5"/>
    <s v="Large"/>
    <n v="2021"/>
  </r>
  <r>
    <s v="C0590"/>
    <x v="1"/>
    <d v="2021-06-24T00:00:00"/>
    <d v="2024-12-31T00:00:00"/>
    <n v="15"/>
    <s v="Active"/>
    <s v="Google"/>
    <s v="Jun-2021"/>
    <s v="Dec-2024"/>
    <x v="2"/>
    <x v="5"/>
    <s v="Medium"/>
    <n v="2021"/>
  </r>
  <r>
    <s v="C0591"/>
    <x v="2"/>
    <d v="2024-05-15T00:00:00"/>
    <d v="2024-12-31T00:00:00"/>
    <n v="25"/>
    <s v="Active"/>
    <s v="Referral"/>
    <s v="May-2024"/>
    <s v="Dec-2024"/>
    <x v="2"/>
    <x v="1"/>
    <s v="Large"/>
    <n v="2024"/>
  </r>
  <r>
    <s v="C0592"/>
    <x v="2"/>
    <d v="2020-06-18T00:00:00"/>
    <d v="2022-04-21T00:00:00"/>
    <n v="25"/>
    <s v="Churned"/>
    <s v="LinkedIn"/>
    <s v="Jun-2020"/>
    <s v="Apr-2022"/>
    <x v="2"/>
    <x v="5"/>
    <s v="Small"/>
    <n v="2020"/>
  </r>
  <r>
    <s v="C0593"/>
    <x v="0"/>
    <d v="2023-05-12T00:00:00"/>
    <d v="2024-12-31T00:00:00"/>
    <n v="40"/>
    <s v="Active"/>
    <s v="LinkedIn"/>
    <s v="May-2023"/>
    <s v="Dec-2024"/>
    <x v="1"/>
    <x v="1"/>
    <s v="Medium"/>
    <n v="2023"/>
  </r>
  <r>
    <s v="C0594"/>
    <x v="0"/>
    <d v="2023-04-21T00:00:00"/>
    <d v="2024-12-31T00:00:00"/>
    <n v="40"/>
    <s v="Active"/>
    <s v="LinkedIn"/>
    <s v="Apr-2023"/>
    <s v="Dec-2024"/>
    <x v="5"/>
    <x v="3"/>
    <s v="Small"/>
    <n v="2023"/>
  </r>
  <r>
    <s v="C0595"/>
    <x v="2"/>
    <d v="2022-02-23T00:00:00"/>
    <d v="2024-12-31T00:00:00"/>
    <n v="25"/>
    <s v="Active"/>
    <s v="Instagram"/>
    <s v="Feb-2022"/>
    <s v="Dec-2024"/>
    <x v="0"/>
    <x v="1"/>
    <s v="Medium"/>
    <n v="2022"/>
  </r>
  <r>
    <s v="C0596"/>
    <x v="2"/>
    <d v="2024-04-29T00:00:00"/>
    <d v="2024-12-31T00:00:00"/>
    <n v="25"/>
    <s v="Active"/>
    <s v="Referral"/>
    <s v="Apr-2024"/>
    <s v="Dec-2024"/>
    <x v="2"/>
    <x v="0"/>
    <s v="Enterprise"/>
    <n v="2024"/>
  </r>
  <r>
    <s v="C0597"/>
    <x v="0"/>
    <d v="2020-11-28T00:00:00"/>
    <d v="2024-12-31T00:00:00"/>
    <n v="40"/>
    <s v="Active"/>
    <s v="Google"/>
    <s v="Nov-2020"/>
    <s v="Dec-2024"/>
    <x v="0"/>
    <x v="3"/>
    <s v="Medium"/>
    <n v="2020"/>
  </r>
  <r>
    <s v="C0598"/>
    <x v="2"/>
    <d v="2023-10-05T00:00:00"/>
    <d v="2024-12-31T00:00:00"/>
    <n v="25"/>
    <s v="Active"/>
    <s v="Facebook"/>
    <s v="Oct-2023"/>
    <s v="Dec-2024"/>
    <x v="5"/>
    <x v="0"/>
    <s v="Large"/>
    <n v="2023"/>
  </r>
  <r>
    <s v="C0599"/>
    <x v="0"/>
    <d v="2022-10-24T00:00:00"/>
    <d v="2024-02-12T00:00:00"/>
    <n v="40"/>
    <s v="Churned"/>
    <s v="Facebook"/>
    <s v="Oct-2022"/>
    <s v="Feb-2024"/>
    <x v="1"/>
    <x v="3"/>
    <s v="Medium"/>
    <n v="2022"/>
  </r>
  <r>
    <s v="C0600"/>
    <x v="0"/>
    <d v="2020-11-25T00:00:00"/>
    <d v="2024-12-31T00:00:00"/>
    <n v="40"/>
    <s v="Active"/>
    <s v="Facebook"/>
    <s v="Nov-2020"/>
    <s v="Dec-2024"/>
    <x v="4"/>
    <x v="1"/>
    <s v="Medium"/>
    <n v="2020"/>
  </r>
  <r>
    <s v="C0601"/>
    <x v="1"/>
    <d v="2022-01-25T00:00:00"/>
    <d v="2024-12-31T00:00:00"/>
    <n v="15"/>
    <s v="Active"/>
    <s v="LinkedIn"/>
    <s v="Jan-2022"/>
    <s v="Dec-2024"/>
    <x v="1"/>
    <x v="4"/>
    <s v="Small"/>
    <n v="2022"/>
  </r>
  <r>
    <s v="C0602"/>
    <x v="2"/>
    <d v="2021-10-03T00:00:00"/>
    <d v="2021-12-06T00:00:00"/>
    <n v="25"/>
    <s v="Churned"/>
    <s v="Referral"/>
    <s v="Oct-2021"/>
    <s v="Dec-2021"/>
    <x v="0"/>
    <x v="0"/>
    <s v="Large"/>
    <n v="2021"/>
  </r>
  <r>
    <s v="C0603"/>
    <x v="1"/>
    <d v="2020-11-01T00:00:00"/>
    <d v="2024-12-31T00:00:00"/>
    <n v="15"/>
    <s v="Active"/>
    <s v="Facebook"/>
    <s v="Nov-2020"/>
    <s v="Dec-2024"/>
    <x v="3"/>
    <x v="2"/>
    <s v="Medium"/>
    <n v="2020"/>
  </r>
  <r>
    <s v="C0604"/>
    <x v="1"/>
    <d v="2020-10-15T00:00:00"/>
    <d v="2021-12-16T00:00:00"/>
    <n v="15"/>
    <s v="Churned"/>
    <s v="Facebook"/>
    <s v="Oct-2020"/>
    <s v="Dec-2021"/>
    <x v="2"/>
    <x v="3"/>
    <s v="Small"/>
    <n v="2020"/>
  </r>
  <r>
    <s v="C0605"/>
    <x v="0"/>
    <d v="2022-09-11T00:00:00"/>
    <d v="2024-12-31T00:00:00"/>
    <n v="40"/>
    <s v="Active"/>
    <s v="Referral"/>
    <s v="Sep-2022"/>
    <s v="Dec-2024"/>
    <x v="1"/>
    <x v="4"/>
    <s v="Medium"/>
    <n v="2022"/>
  </r>
  <r>
    <s v="C0606"/>
    <x v="2"/>
    <d v="2021-09-29T00:00:00"/>
    <d v="2023-04-15T00:00:00"/>
    <n v="25"/>
    <s v="Churned"/>
    <s v="Instagram"/>
    <s v="Sep-2021"/>
    <s v="Apr-2023"/>
    <x v="3"/>
    <x v="2"/>
    <s v="Enterprise"/>
    <n v="2021"/>
  </r>
  <r>
    <s v="C0607"/>
    <x v="0"/>
    <d v="2023-06-08T00:00:00"/>
    <d v="2024-12-31T00:00:00"/>
    <n v="40"/>
    <s v="Active"/>
    <s v="Google"/>
    <s v="Jun-2023"/>
    <s v="Dec-2024"/>
    <x v="2"/>
    <x v="1"/>
    <s v="Small"/>
    <n v="2023"/>
  </r>
  <r>
    <s v="C0608"/>
    <x v="0"/>
    <d v="2021-07-26T00:00:00"/>
    <d v="2023-09-05T00:00:00"/>
    <n v="40"/>
    <s v="Churned"/>
    <s v="Facebook"/>
    <s v="Jul-2021"/>
    <s v="Sep-2023"/>
    <x v="3"/>
    <x v="5"/>
    <s v="Large"/>
    <n v="2021"/>
  </r>
  <r>
    <s v="C0609"/>
    <x v="2"/>
    <d v="2024-06-09T00:00:00"/>
    <d v="2024-12-31T00:00:00"/>
    <n v="25"/>
    <s v="Active"/>
    <s v="Facebook"/>
    <s v="Jun-2024"/>
    <s v="Dec-2024"/>
    <x v="0"/>
    <x v="0"/>
    <s v="Medium"/>
    <n v="2024"/>
  </r>
  <r>
    <s v="C0610"/>
    <x v="2"/>
    <d v="2022-07-11T00:00:00"/>
    <d v="2024-12-31T00:00:00"/>
    <n v="25"/>
    <s v="Active"/>
    <s v="Facebook"/>
    <s v="Jul-2022"/>
    <s v="Dec-2024"/>
    <x v="3"/>
    <x v="3"/>
    <s v="Large"/>
    <n v="2022"/>
  </r>
  <r>
    <s v="C0611"/>
    <x v="0"/>
    <d v="2022-05-23T00:00:00"/>
    <d v="2022-10-18T00:00:00"/>
    <n v="40"/>
    <s v="Churned"/>
    <s v="Google"/>
    <s v="May-2022"/>
    <s v="Oct-2022"/>
    <x v="5"/>
    <x v="2"/>
    <s v="Enterprise"/>
    <n v="2022"/>
  </r>
  <r>
    <s v="C0612"/>
    <x v="2"/>
    <d v="2022-03-04T00:00:00"/>
    <d v="2024-12-31T00:00:00"/>
    <n v="25"/>
    <s v="Active"/>
    <s v="LinkedIn"/>
    <s v="Mar-2022"/>
    <s v="Dec-2024"/>
    <x v="3"/>
    <x v="1"/>
    <s v="Large"/>
    <n v="2022"/>
  </r>
  <r>
    <s v="C0613"/>
    <x v="0"/>
    <d v="2023-07-19T00:00:00"/>
    <d v="2024-12-31T00:00:00"/>
    <n v="40"/>
    <s v="Active"/>
    <s v="Facebook"/>
    <s v="Jul-2023"/>
    <s v="Dec-2024"/>
    <x v="5"/>
    <x v="5"/>
    <s v="Large"/>
    <n v="2023"/>
  </r>
  <r>
    <s v="C0614"/>
    <x v="2"/>
    <d v="2022-08-03T00:00:00"/>
    <d v="2024-12-31T00:00:00"/>
    <n v="25"/>
    <s v="Active"/>
    <s v="Facebook"/>
    <s v="Aug-2022"/>
    <s v="Dec-2024"/>
    <x v="5"/>
    <x v="0"/>
    <s v="Medium"/>
    <n v="2022"/>
  </r>
  <r>
    <s v="C0615"/>
    <x v="1"/>
    <d v="2023-09-12T00:00:00"/>
    <d v="2024-04-19T00:00:00"/>
    <n v="15"/>
    <s v="Churned"/>
    <s v="Instagram"/>
    <s v="Sep-2023"/>
    <s v="Apr-2024"/>
    <x v="0"/>
    <x v="5"/>
    <s v="Medium"/>
    <n v="2023"/>
  </r>
  <r>
    <s v="C0616"/>
    <x v="0"/>
    <d v="2024-05-23T00:00:00"/>
    <d v="2024-12-31T00:00:00"/>
    <n v="40"/>
    <s v="Active"/>
    <s v="Referral"/>
    <s v="May-2024"/>
    <s v="Dec-2024"/>
    <x v="0"/>
    <x v="3"/>
    <s v="Small"/>
    <n v="2024"/>
  </r>
  <r>
    <s v="C0617"/>
    <x v="1"/>
    <d v="2023-11-15T00:00:00"/>
    <d v="2024-01-26T00:00:00"/>
    <n v="15"/>
    <s v="Churned"/>
    <s v="Facebook"/>
    <s v="Nov-2023"/>
    <s v="Jan-2024"/>
    <x v="5"/>
    <x v="2"/>
    <s v="Enterprise"/>
    <n v="2023"/>
  </r>
  <r>
    <s v="C0618"/>
    <x v="0"/>
    <d v="2020-03-19T00:00:00"/>
    <d v="2022-05-21T00:00:00"/>
    <n v="40"/>
    <s v="Churned"/>
    <s v="Google"/>
    <s v="Mar-2020"/>
    <s v="May-2022"/>
    <x v="4"/>
    <x v="1"/>
    <s v="Large"/>
    <n v="2020"/>
  </r>
  <r>
    <s v="C0619"/>
    <x v="2"/>
    <d v="2020-09-09T00:00:00"/>
    <d v="2024-12-31T00:00:00"/>
    <n v="25"/>
    <s v="Active"/>
    <s v="Facebook"/>
    <s v="Sep-2020"/>
    <s v="Dec-2024"/>
    <x v="4"/>
    <x v="5"/>
    <s v="Enterprise"/>
    <n v="2020"/>
  </r>
  <r>
    <s v="C0620"/>
    <x v="1"/>
    <d v="2020-07-08T00:00:00"/>
    <d v="2024-12-31T00:00:00"/>
    <n v="15"/>
    <s v="Active"/>
    <s v="Facebook"/>
    <s v="Jul-2020"/>
    <s v="Dec-2024"/>
    <x v="4"/>
    <x v="0"/>
    <s v="Medium"/>
    <n v="2020"/>
  </r>
  <r>
    <s v="C0621"/>
    <x v="0"/>
    <d v="2021-12-09T00:00:00"/>
    <d v="2024-12-31T00:00:00"/>
    <n v="40"/>
    <s v="Active"/>
    <s v="Referral"/>
    <s v="Dec-2021"/>
    <s v="Dec-2024"/>
    <x v="3"/>
    <x v="5"/>
    <s v="Medium"/>
    <n v="2021"/>
  </r>
  <r>
    <s v="C0622"/>
    <x v="1"/>
    <d v="2022-06-10T00:00:00"/>
    <d v="2024-12-31T00:00:00"/>
    <n v="15"/>
    <s v="Active"/>
    <s v="Referral"/>
    <s v="Jun-2022"/>
    <s v="Dec-2024"/>
    <x v="5"/>
    <x v="1"/>
    <s v="Large"/>
    <n v="2022"/>
  </r>
  <r>
    <s v="C0623"/>
    <x v="1"/>
    <d v="2020-09-04T00:00:00"/>
    <d v="2024-12-31T00:00:00"/>
    <n v="15"/>
    <s v="Active"/>
    <s v="Google"/>
    <s v="Sep-2020"/>
    <s v="Dec-2024"/>
    <x v="0"/>
    <x v="0"/>
    <s v="Small"/>
    <n v="2020"/>
  </r>
  <r>
    <s v="C0624"/>
    <x v="2"/>
    <d v="2022-09-03T00:00:00"/>
    <d v="2024-10-19T00:00:00"/>
    <n v="25"/>
    <s v="Churned"/>
    <s v="Instagram"/>
    <s v="Sep-2022"/>
    <s v="Oct-2024"/>
    <x v="4"/>
    <x v="2"/>
    <s v="Small"/>
    <n v="2022"/>
  </r>
  <r>
    <s v="C0625"/>
    <x v="1"/>
    <d v="2022-01-24T00:00:00"/>
    <d v="2022-06-02T00:00:00"/>
    <n v="15"/>
    <s v="Churned"/>
    <s v="Referral"/>
    <s v="Jan-2022"/>
    <s v="Jun-2022"/>
    <x v="3"/>
    <x v="4"/>
    <s v="Large"/>
    <n v="2022"/>
  </r>
  <r>
    <s v="C0626"/>
    <x v="0"/>
    <d v="2023-08-12T00:00:00"/>
    <d v="2024-12-31T00:00:00"/>
    <n v="40"/>
    <s v="Active"/>
    <s v="Facebook"/>
    <s v="Aug-2023"/>
    <s v="Dec-2024"/>
    <x v="1"/>
    <x v="1"/>
    <s v="Medium"/>
    <n v="2023"/>
  </r>
  <r>
    <s v="C0627"/>
    <x v="0"/>
    <d v="2024-04-01T00:00:00"/>
    <d v="2024-12-31T00:00:00"/>
    <n v="40"/>
    <s v="Active"/>
    <s v="LinkedIn"/>
    <s v="Apr-2024"/>
    <s v="Dec-2024"/>
    <x v="5"/>
    <x v="1"/>
    <s v="Large"/>
    <n v="2024"/>
  </r>
  <r>
    <s v="C0628"/>
    <x v="0"/>
    <d v="2021-03-22T00:00:00"/>
    <d v="2024-12-31T00:00:00"/>
    <n v="40"/>
    <s v="Active"/>
    <s v="LinkedIn"/>
    <s v="Mar-2021"/>
    <s v="Dec-2024"/>
    <x v="5"/>
    <x v="5"/>
    <s v="Small"/>
    <n v="2021"/>
  </r>
  <r>
    <s v="C0629"/>
    <x v="1"/>
    <d v="2023-07-09T00:00:00"/>
    <d v="2024-12-31T00:00:00"/>
    <n v="15"/>
    <s v="Active"/>
    <s v="Referral"/>
    <s v="Jul-2023"/>
    <s v="Dec-2024"/>
    <x v="4"/>
    <x v="5"/>
    <s v="Small"/>
    <n v="2023"/>
  </r>
  <r>
    <s v="C0630"/>
    <x v="2"/>
    <d v="2023-02-20T00:00:00"/>
    <d v="2024-12-31T00:00:00"/>
    <n v="25"/>
    <s v="Active"/>
    <s v="Facebook"/>
    <s v="Feb-2023"/>
    <s v="Dec-2024"/>
    <x v="1"/>
    <x v="1"/>
    <s v="Enterprise"/>
    <n v="2023"/>
  </r>
  <r>
    <s v="C0631"/>
    <x v="2"/>
    <d v="2024-03-14T00:00:00"/>
    <d v="2024-12-31T00:00:00"/>
    <n v="25"/>
    <s v="Active"/>
    <s v="Google"/>
    <s v="Mar-2024"/>
    <s v="Dec-2024"/>
    <x v="5"/>
    <x v="5"/>
    <s v="Enterprise"/>
    <n v="2024"/>
  </r>
  <r>
    <s v="C0632"/>
    <x v="1"/>
    <d v="2024-02-23T00:00:00"/>
    <d v="2024-12-31T00:00:00"/>
    <n v="15"/>
    <s v="Active"/>
    <s v="Referral"/>
    <s v="Feb-2024"/>
    <s v="Dec-2024"/>
    <x v="1"/>
    <x v="3"/>
    <s v="Medium"/>
    <n v="2024"/>
  </r>
  <r>
    <s v="C0633"/>
    <x v="2"/>
    <d v="2022-05-17T00:00:00"/>
    <d v="2024-12-31T00:00:00"/>
    <n v="25"/>
    <s v="Active"/>
    <s v="Google"/>
    <s v="May-2022"/>
    <s v="Dec-2024"/>
    <x v="3"/>
    <x v="2"/>
    <s v="Large"/>
    <n v="2022"/>
  </r>
  <r>
    <s v="C0634"/>
    <x v="0"/>
    <d v="2021-12-17T00:00:00"/>
    <d v="2022-05-19T00:00:00"/>
    <n v="40"/>
    <s v="Churned"/>
    <s v="Google"/>
    <s v="Dec-2021"/>
    <s v="May-2022"/>
    <x v="0"/>
    <x v="0"/>
    <s v="Large"/>
    <n v="2021"/>
  </r>
  <r>
    <s v="C0635"/>
    <x v="2"/>
    <d v="2023-09-29T00:00:00"/>
    <d v="2024-06-19T00:00:00"/>
    <n v="25"/>
    <s v="Churned"/>
    <s v="Facebook"/>
    <s v="Sep-2023"/>
    <s v="Jun-2024"/>
    <x v="0"/>
    <x v="3"/>
    <s v="Large"/>
    <n v="2023"/>
  </r>
  <r>
    <s v="C0636"/>
    <x v="0"/>
    <d v="2022-04-11T00:00:00"/>
    <d v="2022-07-24T00:00:00"/>
    <n v="40"/>
    <s v="Churned"/>
    <s v="Facebook"/>
    <s v="Apr-2022"/>
    <s v="Jul-2022"/>
    <x v="4"/>
    <x v="3"/>
    <s v="Small"/>
    <n v="2022"/>
  </r>
  <r>
    <s v="C0637"/>
    <x v="1"/>
    <d v="2020-06-26T00:00:00"/>
    <d v="2024-12-31T00:00:00"/>
    <n v="15"/>
    <s v="Active"/>
    <s v="Google"/>
    <s v="Jun-2020"/>
    <s v="Dec-2024"/>
    <x v="0"/>
    <x v="2"/>
    <s v="Large"/>
    <n v="2020"/>
  </r>
  <r>
    <s v="C0638"/>
    <x v="1"/>
    <d v="2022-06-30T00:00:00"/>
    <d v="2024-12-31T00:00:00"/>
    <n v="15"/>
    <s v="Active"/>
    <s v="Referral"/>
    <s v="Jun-2022"/>
    <s v="Dec-2024"/>
    <x v="2"/>
    <x v="5"/>
    <s v="Enterprise"/>
    <n v="2022"/>
  </r>
  <r>
    <s v="C0639"/>
    <x v="0"/>
    <d v="2021-12-01T00:00:00"/>
    <d v="2024-12-31T00:00:00"/>
    <n v="40"/>
    <s v="Active"/>
    <s v="Google"/>
    <s v="Dec-2021"/>
    <s v="Dec-2024"/>
    <x v="4"/>
    <x v="1"/>
    <s v="Small"/>
    <n v="2021"/>
  </r>
  <r>
    <s v="C0640"/>
    <x v="0"/>
    <d v="2020-01-02T00:00:00"/>
    <d v="2022-04-28T00:00:00"/>
    <n v="40"/>
    <s v="Churned"/>
    <s v="Google"/>
    <s v="Jan-2020"/>
    <s v="Apr-2022"/>
    <x v="0"/>
    <x v="5"/>
    <s v="Large"/>
    <n v="2020"/>
  </r>
  <r>
    <s v="C0641"/>
    <x v="1"/>
    <d v="2023-10-29T00:00:00"/>
    <d v="2024-12-31T00:00:00"/>
    <n v="15"/>
    <s v="Active"/>
    <s v="LinkedIn"/>
    <s v="Oct-2023"/>
    <s v="Dec-2024"/>
    <x v="1"/>
    <x v="4"/>
    <s v="Medium"/>
    <n v="2023"/>
  </r>
  <r>
    <s v="C0642"/>
    <x v="1"/>
    <d v="2024-06-03T00:00:00"/>
    <d v="2024-12-31T00:00:00"/>
    <n v="15"/>
    <s v="Active"/>
    <s v="LinkedIn"/>
    <s v="Jun-2024"/>
    <s v="Dec-2024"/>
    <x v="2"/>
    <x v="4"/>
    <s v="Medium"/>
    <n v="2024"/>
  </r>
  <r>
    <s v="C0643"/>
    <x v="1"/>
    <d v="2023-04-13T00:00:00"/>
    <d v="2024-12-31T00:00:00"/>
    <n v="15"/>
    <s v="Active"/>
    <s v="Google"/>
    <s v="Apr-2023"/>
    <s v="Dec-2024"/>
    <x v="1"/>
    <x v="5"/>
    <s v="Enterprise"/>
    <n v="2023"/>
  </r>
  <r>
    <s v="C0644"/>
    <x v="1"/>
    <d v="2023-07-30T00:00:00"/>
    <d v="2024-12-31T00:00:00"/>
    <n v="15"/>
    <s v="Churned"/>
    <s v="Google"/>
    <s v="Jul-2023"/>
    <s v="Dec-2024"/>
    <x v="2"/>
    <x v="4"/>
    <s v="Small"/>
    <n v="2023"/>
  </r>
  <r>
    <s v="C0645"/>
    <x v="2"/>
    <d v="2024-04-16T00:00:00"/>
    <d v="2024-12-31T00:00:00"/>
    <n v="25"/>
    <s v="Churned"/>
    <s v="Referral"/>
    <s v="Apr-2024"/>
    <s v="Dec-2024"/>
    <x v="2"/>
    <x v="4"/>
    <s v="Large"/>
    <n v="2024"/>
  </r>
  <r>
    <s v="C0646"/>
    <x v="1"/>
    <d v="2020-07-20T00:00:00"/>
    <d v="2024-12-31T00:00:00"/>
    <n v="15"/>
    <s v="Active"/>
    <s v="LinkedIn"/>
    <s v="Jul-2020"/>
    <s v="Dec-2024"/>
    <x v="0"/>
    <x v="4"/>
    <s v="Large"/>
    <n v="2020"/>
  </r>
  <r>
    <s v="C0647"/>
    <x v="1"/>
    <d v="2022-04-24T00:00:00"/>
    <d v="2024-12-31T00:00:00"/>
    <n v="15"/>
    <s v="Active"/>
    <s v="LinkedIn"/>
    <s v="Apr-2022"/>
    <s v="Dec-2024"/>
    <x v="2"/>
    <x v="3"/>
    <s v="Large"/>
    <n v="2022"/>
  </r>
  <r>
    <s v="C0648"/>
    <x v="0"/>
    <d v="2023-11-25T00:00:00"/>
    <d v="2024-10-25T00:00:00"/>
    <n v="40"/>
    <s v="Churned"/>
    <s v="LinkedIn"/>
    <s v="Nov-2023"/>
    <s v="Oct-2024"/>
    <x v="1"/>
    <x v="2"/>
    <s v="Small"/>
    <n v="2023"/>
  </r>
  <r>
    <s v="C0649"/>
    <x v="0"/>
    <d v="2021-01-19T00:00:00"/>
    <d v="2024-12-31T00:00:00"/>
    <n v="40"/>
    <s v="Active"/>
    <s v="Instagram"/>
    <s v="Jan-2021"/>
    <s v="Dec-2024"/>
    <x v="2"/>
    <x v="2"/>
    <s v="Small"/>
    <n v="2021"/>
  </r>
  <r>
    <s v="C0650"/>
    <x v="1"/>
    <d v="2024-01-27T00:00:00"/>
    <d v="2024-12-31T00:00:00"/>
    <n v="15"/>
    <s v="Churned"/>
    <s v="Instagram"/>
    <s v="Jan-2024"/>
    <s v="Dec-2024"/>
    <x v="0"/>
    <x v="5"/>
    <s v="Small"/>
    <n v="2024"/>
  </r>
  <r>
    <s v="C0651"/>
    <x v="2"/>
    <d v="2022-12-16T00:00:00"/>
    <d v="2024-12-31T00:00:00"/>
    <n v="25"/>
    <s v="Active"/>
    <s v="Facebook"/>
    <s v="Dec-2022"/>
    <s v="Dec-2024"/>
    <x v="3"/>
    <x v="4"/>
    <s v="Enterprise"/>
    <n v="2022"/>
  </r>
  <r>
    <s v="C0652"/>
    <x v="2"/>
    <d v="2020-04-06T00:00:00"/>
    <d v="2024-12-31T00:00:00"/>
    <n v="25"/>
    <s v="Active"/>
    <s v="Referral"/>
    <s v="Apr-2020"/>
    <s v="Dec-2024"/>
    <x v="0"/>
    <x v="2"/>
    <s v="Medium"/>
    <n v="2020"/>
  </r>
  <r>
    <s v="C0653"/>
    <x v="0"/>
    <d v="2021-06-08T00:00:00"/>
    <d v="2022-11-19T00:00:00"/>
    <n v="40"/>
    <s v="Churned"/>
    <s v="Google"/>
    <s v="Jun-2021"/>
    <s v="Nov-2022"/>
    <x v="2"/>
    <x v="1"/>
    <s v="Medium"/>
    <n v="2021"/>
  </r>
  <r>
    <s v="C0654"/>
    <x v="2"/>
    <d v="2022-11-15T00:00:00"/>
    <d v="2024-12-31T00:00:00"/>
    <n v="25"/>
    <s v="Active"/>
    <s v="Instagram"/>
    <s v="Nov-2022"/>
    <s v="Dec-2024"/>
    <x v="0"/>
    <x v="5"/>
    <s v="Large"/>
    <n v="2022"/>
  </r>
  <r>
    <s v="C0655"/>
    <x v="1"/>
    <d v="2024-01-23T00:00:00"/>
    <d v="2024-12-31T00:00:00"/>
    <n v="15"/>
    <s v="Active"/>
    <s v="LinkedIn"/>
    <s v="Jan-2024"/>
    <s v="Dec-2024"/>
    <x v="3"/>
    <x v="2"/>
    <s v="Medium"/>
    <n v="2024"/>
  </r>
  <r>
    <s v="C0656"/>
    <x v="0"/>
    <d v="2022-09-25T00:00:00"/>
    <d v="2023-03-09T00:00:00"/>
    <n v="40"/>
    <s v="Churned"/>
    <s v="LinkedIn"/>
    <s v="Sep-2022"/>
    <s v="Mar-2023"/>
    <x v="0"/>
    <x v="2"/>
    <s v="Small"/>
    <n v="2022"/>
  </r>
  <r>
    <s v="C0657"/>
    <x v="1"/>
    <d v="2023-08-30T00:00:00"/>
    <d v="2024-12-31T00:00:00"/>
    <n v="15"/>
    <s v="Churned"/>
    <s v="Instagram"/>
    <s v="Aug-2023"/>
    <s v="Dec-2024"/>
    <x v="3"/>
    <x v="0"/>
    <s v="Medium"/>
    <n v="2023"/>
  </r>
  <r>
    <s v="C0658"/>
    <x v="2"/>
    <d v="2024-03-14T00:00:00"/>
    <d v="2024-08-23T00:00:00"/>
    <n v="25"/>
    <s v="Churned"/>
    <s v="Facebook"/>
    <s v="Mar-2024"/>
    <s v="Aug-2024"/>
    <x v="4"/>
    <x v="3"/>
    <s v="Medium"/>
    <n v="2024"/>
  </r>
  <r>
    <s v="C0659"/>
    <x v="2"/>
    <d v="2024-06-13T00:00:00"/>
    <d v="2024-12-31T00:00:00"/>
    <n v="25"/>
    <s v="Active"/>
    <s v="LinkedIn"/>
    <s v="Jun-2024"/>
    <s v="Dec-2024"/>
    <x v="1"/>
    <x v="1"/>
    <s v="Enterprise"/>
    <n v="2024"/>
  </r>
  <r>
    <s v="C0660"/>
    <x v="0"/>
    <d v="2022-06-17T00:00:00"/>
    <d v="2024-12-31T00:00:00"/>
    <n v="40"/>
    <s v="Active"/>
    <s v="Instagram"/>
    <s v="Jun-2022"/>
    <s v="Dec-2024"/>
    <x v="1"/>
    <x v="4"/>
    <s v="Enterprise"/>
    <n v="2022"/>
  </r>
  <r>
    <s v="C0661"/>
    <x v="1"/>
    <d v="2022-08-24T00:00:00"/>
    <d v="2024-12-31T00:00:00"/>
    <n v="15"/>
    <s v="Active"/>
    <s v="LinkedIn"/>
    <s v="Aug-2022"/>
    <s v="Dec-2024"/>
    <x v="2"/>
    <x v="5"/>
    <s v="Medium"/>
    <n v="2022"/>
  </r>
  <r>
    <s v="C0662"/>
    <x v="0"/>
    <d v="2023-10-01T00:00:00"/>
    <d v="2024-12-31T00:00:00"/>
    <n v="40"/>
    <s v="Active"/>
    <s v="Facebook"/>
    <s v="Oct-2023"/>
    <s v="Dec-2024"/>
    <x v="4"/>
    <x v="2"/>
    <s v="Large"/>
    <n v="2023"/>
  </r>
  <r>
    <s v="C0663"/>
    <x v="2"/>
    <d v="2021-01-06T00:00:00"/>
    <d v="2024-12-31T00:00:00"/>
    <n v="25"/>
    <s v="Active"/>
    <s v="Referral"/>
    <s v="Jan-2021"/>
    <s v="Dec-2024"/>
    <x v="0"/>
    <x v="1"/>
    <s v="Medium"/>
    <n v="2021"/>
  </r>
  <r>
    <s v="C0664"/>
    <x v="2"/>
    <d v="2021-11-18T00:00:00"/>
    <d v="2024-12-31T00:00:00"/>
    <n v="25"/>
    <s v="Active"/>
    <s v="Referral"/>
    <s v="Nov-2021"/>
    <s v="Dec-2024"/>
    <x v="3"/>
    <x v="4"/>
    <s v="Enterprise"/>
    <n v="2021"/>
  </r>
  <r>
    <s v="C0665"/>
    <x v="1"/>
    <d v="2022-11-16T00:00:00"/>
    <d v="2024-12-31T00:00:00"/>
    <n v="15"/>
    <s v="Active"/>
    <s v="Facebook"/>
    <s v="Nov-2022"/>
    <s v="Dec-2024"/>
    <x v="4"/>
    <x v="5"/>
    <s v="Medium"/>
    <n v="2022"/>
  </r>
  <r>
    <s v="C0666"/>
    <x v="2"/>
    <d v="2021-06-19T00:00:00"/>
    <d v="2023-03-31T00:00:00"/>
    <n v="25"/>
    <s v="Churned"/>
    <s v="Instagram"/>
    <s v="Jun-2021"/>
    <s v="Mar-2023"/>
    <x v="3"/>
    <x v="1"/>
    <s v="Enterprise"/>
    <n v="2021"/>
  </r>
  <r>
    <s v="C0667"/>
    <x v="0"/>
    <d v="2024-01-11T00:00:00"/>
    <d v="2024-12-31T00:00:00"/>
    <n v="40"/>
    <s v="Active"/>
    <s v="Google"/>
    <s v="Jan-2024"/>
    <s v="Dec-2024"/>
    <x v="1"/>
    <x v="5"/>
    <s v="Small"/>
    <n v="2024"/>
  </r>
  <r>
    <s v="C0668"/>
    <x v="2"/>
    <d v="2020-01-07T00:00:00"/>
    <d v="2024-12-31T00:00:00"/>
    <n v="25"/>
    <s v="Active"/>
    <s v="Facebook"/>
    <s v="Jan-2020"/>
    <s v="Dec-2024"/>
    <x v="4"/>
    <x v="2"/>
    <s v="Enterprise"/>
    <n v="2020"/>
  </r>
  <r>
    <s v="C0669"/>
    <x v="1"/>
    <d v="2022-04-13T00:00:00"/>
    <d v="2024-12-31T00:00:00"/>
    <n v="15"/>
    <s v="Active"/>
    <s v="Google"/>
    <s v="Apr-2022"/>
    <s v="Dec-2024"/>
    <x v="3"/>
    <x v="1"/>
    <s v="Medium"/>
    <n v="2022"/>
  </r>
  <r>
    <s v="C0670"/>
    <x v="0"/>
    <d v="2020-10-27T00:00:00"/>
    <d v="2022-07-28T00:00:00"/>
    <n v="40"/>
    <s v="Churned"/>
    <s v="LinkedIn"/>
    <s v="Oct-2020"/>
    <s v="Jul-2022"/>
    <x v="1"/>
    <x v="2"/>
    <s v="Large"/>
    <n v="2020"/>
  </r>
  <r>
    <s v="C0671"/>
    <x v="0"/>
    <d v="2023-08-16T00:00:00"/>
    <d v="2024-12-31T00:00:00"/>
    <n v="40"/>
    <s v="Active"/>
    <s v="Google"/>
    <s v="Aug-2023"/>
    <s v="Dec-2024"/>
    <x v="0"/>
    <x v="3"/>
    <s v="Medium"/>
    <n v="2023"/>
  </r>
  <r>
    <s v="C0672"/>
    <x v="0"/>
    <d v="2021-06-20T00:00:00"/>
    <d v="2024-12-31T00:00:00"/>
    <n v="40"/>
    <s v="Active"/>
    <s v="LinkedIn"/>
    <s v="Jun-2021"/>
    <s v="Dec-2024"/>
    <x v="2"/>
    <x v="4"/>
    <s v="Medium"/>
    <n v="2021"/>
  </r>
  <r>
    <s v="C0673"/>
    <x v="2"/>
    <d v="2022-07-03T00:00:00"/>
    <d v="2024-12-31T00:00:00"/>
    <n v="25"/>
    <s v="Active"/>
    <s v="Google"/>
    <s v="Jul-2022"/>
    <s v="Dec-2024"/>
    <x v="1"/>
    <x v="5"/>
    <s v="Large"/>
    <n v="2022"/>
  </r>
  <r>
    <s v="C0674"/>
    <x v="1"/>
    <d v="2020-11-14T00:00:00"/>
    <d v="2024-12-31T00:00:00"/>
    <n v="15"/>
    <s v="Active"/>
    <s v="Facebook"/>
    <s v="Nov-2020"/>
    <s v="Dec-2024"/>
    <x v="4"/>
    <x v="2"/>
    <s v="Large"/>
    <n v="2020"/>
  </r>
  <r>
    <s v="C0675"/>
    <x v="0"/>
    <d v="2020-10-20T00:00:00"/>
    <d v="2024-12-31T00:00:00"/>
    <n v="40"/>
    <s v="Active"/>
    <s v="Referral"/>
    <s v="Oct-2020"/>
    <s v="Dec-2024"/>
    <x v="1"/>
    <x v="0"/>
    <s v="Medium"/>
    <n v="2020"/>
  </r>
  <r>
    <s v="C0676"/>
    <x v="0"/>
    <d v="2020-02-01T00:00:00"/>
    <d v="2022-01-11T00:00:00"/>
    <n v="40"/>
    <s v="Churned"/>
    <s v="Referral"/>
    <s v="Feb-2020"/>
    <s v="Jan-2022"/>
    <x v="1"/>
    <x v="0"/>
    <s v="Enterprise"/>
    <n v="2020"/>
  </r>
  <r>
    <s v="C0677"/>
    <x v="0"/>
    <d v="2023-05-31T00:00:00"/>
    <d v="2024-12-31T00:00:00"/>
    <n v="40"/>
    <s v="Active"/>
    <s v="Facebook"/>
    <s v="May-2023"/>
    <s v="Dec-2024"/>
    <x v="2"/>
    <x v="4"/>
    <s v="Small"/>
    <n v="2023"/>
  </r>
  <r>
    <s v="C0678"/>
    <x v="1"/>
    <d v="2021-06-12T00:00:00"/>
    <d v="2024-12-31T00:00:00"/>
    <n v="15"/>
    <s v="Active"/>
    <s v="LinkedIn"/>
    <s v="Jun-2021"/>
    <s v="Dec-2024"/>
    <x v="1"/>
    <x v="3"/>
    <s v="Small"/>
    <n v="2021"/>
  </r>
  <r>
    <s v="C0679"/>
    <x v="2"/>
    <d v="2020-07-24T00:00:00"/>
    <d v="2022-05-17T00:00:00"/>
    <n v="25"/>
    <s v="Churned"/>
    <s v="Referral"/>
    <s v="Jul-2020"/>
    <s v="May-2022"/>
    <x v="0"/>
    <x v="0"/>
    <s v="Enterprise"/>
    <n v="2020"/>
  </r>
  <r>
    <s v="C0680"/>
    <x v="0"/>
    <d v="2024-03-20T00:00:00"/>
    <d v="2024-12-31T00:00:00"/>
    <n v="40"/>
    <s v="Active"/>
    <s v="Instagram"/>
    <s v="Mar-2024"/>
    <s v="Dec-2024"/>
    <x v="0"/>
    <x v="0"/>
    <s v="Enterprise"/>
    <n v="2024"/>
  </r>
  <r>
    <s v="C0681"/>
    <x v="1"/>
    <d v="2024-04-25T00:00:00"/>
    <d v="2024-12-31T00:00:00"/>
    <n v="15"/>
    <s v="Churned"/>
    <s v="Referral"/>
    <s v="Apr-2024"/>
    <s v="Dec-2024"/>
    <x v="2"/>
    <x v="2"/>
    <s v="Medium"/>
    <n v="2024"/>
  </r>
  <r>
    <s v="C0682"/>
    <x v="1"/>
    <d v="2022-08-19T00:00:00"/>
    <d v="2024-12-31T00:00:00"/>
    <n v="15"/>
    <s v="Active"/>
    <s v="LinkedIn"/>
    <s v="Aug-2022"/>
    <s v="Dec-2024"/>
    <x v="5"/>
    <x v="2"/>
    <s v="Small"/>
    <n v="2022"/>
  </r>
  <r>
    <s v="C0683"/>
    <x v="1"/>
    <d v="2022-08-29T00:00:00"/>
    <d v="2024-12-31T00:00:00"/>
    <n v="15"/>
    <s v="Active"/>
    <s v="Instagram"/>
    <s v="Aug-2022"/>
    <s v="Dec-2024"/>
    <x v="0"/>
    <x v="3"/>
    <s v="Enterprise"/>
    <n v="2022"/>
  </r>
  <r>
    <s v="C0684"/>
    <x v="2"/>
    <d v="2020-08-12T00:00:00"/>
    <d v="2024-12-31T00:00:00"/>
    <n v="25"/>
    <s v="Active"/>
    <s v="Facebook"/>
    <s v="Aug-2020"/>
    <s v="Dec-2024"/>
    <x v="2"/>
    <x v="4"/>
    <s v="Medium"/>
    <n v="2020"/>
  </r>
  <r>
    <s v="C0685"/>
    <x v="2"/>
    <d v="2021-02-24T00:00:00"/>
    <d v="2024-12-31T00:00:00"/>
    <n v="25"/>
    <s v="Active"/>
    <s v="Referral"/>
    <s v="Feb-2021"/>
    <s v="Dec-2024"/>
    <x v="0"/>
    <x v="0"/>
    <s v="Medium"/>
    <n v="2021"/>
  </r>
  <r>
    <s v="C0686"/>
    <x v="1"/>
    <d v="2024-03-10T00:00:00"/>
    <d v="2024-09-07T00:00:00"/>
    <n v="15"/>
    <s v="Churned"/>
    <s v="Referral"/>
    <s v="Mar-2024"/>
    <s v="Sep-2024"/>
    <x v="1"/>
    <x v="4"/>
    <s v="Enterprise"/>
    <n v="2024"/>
  </r>
  <r>
    <s v="C0687"/>
    <x v="1"/>
    <d v="2024-05-17T00:00:00"/>
    <d v="2024-12-31T00:00:00"/>
    <n v="15"/>
    <s v="Active"/>
    <s v="LinkedIn"/>
    <s v="May-2024"/>
    <s v="Dec-2024"/>
    <x v="2"/>
    <x v="4"/>
    <s v="Medium"/>
    <n v="2024"/>
  </r>
  <r>
    <s v="C0688"/>
    <x v="0"/>
    <d v="2022-05-22T00:00:00"/>
    <d v="2024-12-31T00:00:00"/>
    <n v="40"/>
    <s v="Active"/>
    <s v="Instagram"/>
    <s v="May-2022"/>
    <s v="Dec-2024"/>
    <x v="1"/>
    <x v="1"/>
    <s v="Enterprise"/>
    <n v="2022"/>
  </r>
  <r>
    <s v="C0689"/>
    <x v="2"/>
    <d v="2021-02-06T00:00:00"/>
    <d v="2023-05-19T00:00:00"/>
    <n v="25"/>
    <s v="Churned"/>
    <s v="Google"/>
    <s v="Feb-2021"/>
    <s v="May-2023"/>
    <x v="1"/>
    <x v="5"/>
    <s v="Medium"/>
    <n v="2021"/>
  </r>
  <r>
    <s v="C0690"/>
    <x v="0"/>
    <d v="2021-05-28T00:00:00"/>
    <d v="2022-02-22T00:00:00"/>
    <n v="40"/>
    <s v="Churned"/>
    <s v="LinkedIn"/>
    <s v="May-2021"/>
    <s v="Feb-2022"/>
    <x v="3"/>
    <x v="5"/>
    <s v="Enterprise"/>
    <n v="2021"/>
  </r>
  <r>
    <s v="C0691"/>
    <x v="0"/>
    <d v="2023-10-10T00:00:00"/>
    <d v="2024-07-03T00:00:00"/>
    <n v="40"/>
    <s v="Churned"/>
    <s v="Facebook"/>
    <s v="Oct-2023"/>
    <s v="Jul-2024"/>
    <x v="4"/>
    <x v="1"/>
    <s v="Large"/>
    <n v="2023"/>
  </r>
  <r>
    <s v="C0692"/>
    <x v="0"/>
    <d v="2020-01-14T00:00:00"/>
    <d v="2024-12-31T00:00:00"/>
    <n v="40"/>
    <s v="Active"/>
    <s v="Instagram"/>
    <s v="Jan-2020"/>
    <s v="Dec-2024"/>
    <x v="2"/>
    <x v="1"/>
    <s v="Enterprise"/>
    <n v="2020"/>
  </r>
  <r>
    <s v="C0693"/>
    <x v="1"/>
    <d v="2021-07-09T00:00:00"/>
    <d v="2022-07-30T00:00:00"/>
    <n v="15"/>
    <s v="Churned"/>
    <s v="Referral"/>
    <s v="Jul-2021"/>
    <s v="Jul-2022"/>
    <x v="2"/>
    <x v="3"/>
    <s v="Medium"/>
    <n v="2021"/>
  </r>
  <r>
    <s v="C0694"/>
    <x v="1"/>
    <d v="2020-07-27T00:00:00"/>
    <d v="2024-12-31T00:00:00"/>
    <n v="15"/>
    <s v="Active"/>
    <s v="Referral"/>
    <s v="Jul-2020"/>
    <s v="Dec-2024"/>
    <x v="4"/>
    <x v="5"/>
    <s v="Large"/>
    <n v="2020"/>
  </r>
  <r>
    <s v="C0695"/>
    <x v="0"/>
    <d v="2021-02-01T00:00:00"/>
    <d v="2024-12-31T00:00:00"/>
    <n v="40"/>
    <s v="Active"/>
    <s v="Instagram"/>
    <s v="Feb-2021"/>
    <s v="Dec-2024"/>
    <x v="2"/>
    <x v="1"/>
    <s v="Small"/>
    <n v="2021"/>
  </r>
  <r>
    <s v="C0696"/>
    <x v="0"/>
    <d v="2022-02-10T00:00:00"/>
    <d v="2024-12-31T00:00:00"/>
    <n v="40"/>
    <s v="Active"/>
    <s v="LinkedIn"/>
    <s v="Feb-2022"/>
    <s v="Dec-2024"/>
    <x v="2"/>
    <x v="3"/>
    <s v="Small"/>
    <n v="2022"/>
  </r>
  <r>
    <s v="C0697"/>
    <x v="1"/>
    <d v="2023-09-24T00:00:00"/>
    <d v="2024-12-31T00:00:00"/>
    <n v="15"/>
    <s v="Active"/>
    <s v="Instagram"/>
    <s v="Sep-2023"/>
    <s v="Dec-2024"/>
    <x v="4"/>
    <x v="2"/>
    <s v="Small"/>
    <n v="2023"/>
  </r>
  <r>
    <s v="C0698"/>
    <x v="0"/>
    <d v="2021-11-13T00:00:00"/>
    <d v="2024-12-31T00:00:00"/>
    <n v="40"/>
    <s v="Active"/>
    <s v="Google"/>
    <s v="Nov-2021"/>
    <s v="Dec-2024"/>
    <x v="4"/>
    <x v="2"/>
    <s v="Small"/>
    <n v="2021"/>
  </r>
  <r>
    <s v="C0699"/>
    <x v="2"/>
    <d v="2022-09-27T00:00:00"/>
    <d v="2024-12-31T00:00:00"/>
    <n v="25"/>
    <s v="Active"/>
    <s v="Instagram"/>
    <s v="Sep-2022"/>
    <s v="Dec-2024"/>
    <x v="2"/>
    <x v="5"/>
    <s v="Medium"/>
    <n v="2022"/>
  </r>
  <r>
    <s v="C0700"/>
    <x v="0"/>
    <d v="2023-05-14T00:00:00"/>
    <d v="2024-12-31T00:00:00"/>
    <n v="40"/>
    <s v="Active"/>
    <s v="Facebook"/>
    <s v="May-2023"/>
    <s v="Dec-2024"/>
    <x v="1"/>
    <x v="0"/>
    <s v="Large"/>
    <n v="2023"/>
  </r>
  <r>
    <s v="C0701"/>
    <x v="0"/>
    <d v="2021-12-31T00:00:00"/>
    <d v="2024-05-18T00:00:00"/>
    <n v="40"/>
    <s v="Churned"/>
    <s v="LinkedIn"/>
    <s v="Dec-2021"/>
    <s v="May-2024"/>
    <x v="4"/>
    <x v="0"/>
    <s v="Enterprise"/>
    <n v="2021"/>
  </r>
  <r>
    <s v="C0702"/>
    <x v="2"/>
    <d v="2020-04-01T00:00:00"/>
    <d v="2024-12-31T00:00:00"/>
    <n v="25"/>
    <s v="Active"/>
    <s v="Google"/>
    <s v="Apr-2020"/>
    <s v="Dec-2024"/>
    <x v="1"/>
    <x v="5"/>
    <s v="Small"/>
    <n v="2020"/>
  </r>
  <r>
    <s v="C0703"/>
    <x v="0"/>
    <d v="2021-09-06T00:00:00"/>
    <d v="2024-12-31T00:00:00"/>
    <n v="40"/>
    <s v="Active"/>
    <s v="Google"/>
    <s v="Sep-2021"/>
    <s v="Dec-2024"/>
    <x v="2"/>
    <x v="4"/>
    <s v="Small"/>
    <n v="2021"/>
  </r>
  <r>
    <s v="C0704"/>
    <x v="1"/>
    <d v="2024-07-03T00:00:00"/>
    <d v="2024-12-31T00:00:00"/>
    <n v="15"/>
    <s v="Active"/>
    <s v="Facebook"/>
    <s v="Jul-2024"/>
    <s v="Dec-2024"/>
    <x v="5"/>
    <x v="0"/>
    <s v="Small"/>
    <n v="2024"/>
  </r>
  <r>
    <s v="C0705"/>
    <x v="0"/>
    <d v="2021-04-21T00:00:00"/>
    <d v="2022-05-28T00:00:00"/>
    <n v="40"/>
    <s v="Churned"/>
    <s v="LinkedIn"/>
    <s v="Apr-2021"/>
    <s v="May-2022"/>
    <x v="4"/>
    <x v="2"/>
    <s v="Enterprise"/>
    <n v="2021"/>
  </r>
  <r>
    <s v="C0706"/>
    <x v="1"/>
    <d v="2023-11-10T00:00:00"/>
    <d v="2024-12-31T00:00:00"/>
    <n v="15"/>
    <s v="Churned"/>
    <s v="Google"/>
    <s v="Nov-2023"/>
    <s v="Dec-2024"/>
    <x v="3"/>
    <x v="3"/>
    <s v="Enterprise"/>
    <n v="2023"/>
  </r>
  <r>
    <s v="C0707"/>
    <x v="2"/>
    <d v="2021-06-04T00:00:00"/>
    <d v="2024-12-31T00:00:00"/>
    <n v="25"/>
    <s v="Active"/>
    <s v="Facebook"/>
    <s v="Jun-2021"/>
    <s v="Dec-2024"/>
    <x v="0"/>
    <x v="2"/>
    <s v="Medium"/>
    <n v="2021"/>
  </r>
  <r>
    <s v="C0708"/>
    <x v="0"/>
    <d v="2021-06-14T00:00:00"/>
    <d v="2024-12-31T00:00:00"/>
    <n v="40"/>
    <s v="Active"/>
    <s v="Referral"/>
    <s v="Jun-2021"/>
    <s v="Dec-2024"/>
    <x v="2"/>
    <x v="4"/>
    <s v="Small"/>
    <n v="2021"/>
  </r>
  <r>
    <s v="C0709"/>
    <x v="1"/>
    <d v="2023-02-21T00:00:00"/>
    <d v="2024-12-31T00:00:00"/>
    <n v="15"/>
    <s v="Active"/>
    <s v="Facebook"/>
    <s v="Feb-2023"/>
    <s v="Dec-2024"/>
    <x v="2"/>
    <x v="0"/>
    <s v="Enterprise"/>
    <n v="2023"/>
  </r>
  <r>
    <s v="C0710"/>
    <x v="2"/>
    <d v="2020-04-04T00:00:00"/>
    <d v="2024-12-31T00:00:00"/>
    <n v="25"/>
    <s v="Active"/>
    <s v="Instagram"/>
    <s v="Apr-2020"/>
    <s v="Dec-2024"/>
    <x v="4"/>
    <x v="5"/>
    <s v="Enterprise"/>
    <n v="2020"/>
  </r>
  <r>
    <s v="C0711"/>
    <x v="2"/>
    <d v="2023-12-27T00:00:00"/>
    <d v="2024-12-31T00:00:00"/>
    <n v="25"/>
    <s v="Active"/>
    <s v="LinkedIn"/>
    <s v="Dec-2023"/>
    <s v="Dec-2024"/>
    <x v="4"/>
    <x v="5"/>
    <s v="Medium"/>
    <n v="2023"/>
  </r>
  <r>
    <s v="C0712"/>
    <x v="0"/>
    <d v="2023-04-18T00:00:00"/>
    <d v="2024-12-31T00:00:00"/>
    <n v="40"/>
    <s v="Active"/>
    <s v="LinkedIn"/>
    <s v="Apr-2023"/>
    <s v="Dec-2024"/>
    <x v="3"/>
    <x v="5"/>
    <s v="Enterprise"/>
    <n v="2023"/>
  </r>
  <r>
    <s v="C0713"/>
    <x v="1"/>
    <d v="2023-09-13T00:00:00"/>
    <d v="2024-12-31T00:00:00"/>
    <n v="15"/>
    <s v="Active"/>
    <s v="Google"/>
    <s v="Sep-2023"/>
    <s v="Dec-2024"/>
    <x v="5"/>
    <x v="5"/>
    <s v="Small"/>
    <n v="2023"/>
  </r>
  <r>
    <s v="C0714"/>
    <x v="2"/>
    <d v="2023-05-26T00:00:00"/>
    <d v="2024-12-31T00:00:00"/>
    <n v="25"/>
    <s v="Active"/>
    <s v="Instagram"/>
    <s v="May-2023"/>
    <s v="Dec-2024"/>
    <x v="2"/>
    <x v="1"/>
    <s v="Enterprise"/>
    <n v="2023"/>
  </r>
  <r>
    <s v="C0715"/>
    <x v="0"/>
    <d v="2023-05-12T00:00:00"/>
    <d v="2024-12-06T00:00:00"/>
    <n v="40"/>
    <s v="Churned"/>
    <s v="Facebook"/>
    <s v="May-2023"/>
    <s v="Dec-2024"/>
    <x v="4"/>
    <x v="2"/>
    <s v="Large"/>
    <n v="2023"/>
  </r>
  <r>
    <s v="C0716"/>
    <x v="1"/>
    <d v="2022-04-03T00:00:00"/>
    <d v="2024-12-31T00:00:00"/>
    <n v="15"/>
    <s v="Active"/>
    <s v="Referral"/>
    <s v="Apr-2022"/>
    <s v="Dec-2024"/>
    <x v="2"/>
    <x v="2"/>
    <s v="Large"/>
    <n v="2022"/>
  </r>
  <r>
    <s v="C0717"/>
    <x v="2"/>
    <d v="2020-09-16T00:00:00"/>
    <d v="2024-12-31T00:00:00"/>
    <n v="25"/>
    <s v="Active"/>
    <s v="Instagram"/>
    <s v="Sep-2020"/>
    <s v="Dec-2024"/>
    <x v="2"/>
    <x v="3"/>
    <s v="Small"/>
    <n v="2020"/>
  </r>
  <r>
    <s v="C0718"/>
    <x v="0"/>
    <d v="2022-12-16T00:00:00"/>
    <d v="2024-10-07T00:00:00"/>
    <n v="40"/>
    <s v="Churned"/>
    <s v="Google"/>
    <s v="Dec-2022"/>
    <s v="Oct-2024"/>
    <x v="5"/>
    <x v="5"/>
    <s v="Large"/>
    <n v="2022"/>
  </r>
  <r>
    <s v="C0719"/>
    <x v="2"/>
    <d v="2021-09-19T00:00:00"/>
    <d v="2023-09-06T00:00:00"/>
    <n v="25"/>
    <s v="Churned"/>
    <s v="LinkedIn"/>
    <s v="Sep-2021"/>
    <s v="Sep-2023"/>
    <x v="2"/>
    <x v="1"/>
    <s v="Small"/>
    <n v="2021"/>
  </r>
  <r>
    <s v="C0720"/>
    <x v="1"/>
    <d v="2022-08-25T00:00:00"/>
    <d v="2024-12-31T00:00:00"/>
    <n v="15"/>
    <s v="Active"/>
    <s v="Instagram"/>
    <s v="Aug-2022"/>
    <s v="Dec-2024"/>
    <x v="5"/>
    <x v="0"/>
    <s v="Medium"/>
    <n v="2022"/>
  </r>
  <r>
    <s v="C0721"/>
    <x v="1"/>
    <d v="2020-02-01T00:00:00"/>
    <d v="2024-12-31T00:00:00"/>
    <n v="15"/>
    <s v="Active"/>
    <s v="LinkedIn"/>
    <s v="Feb-2020"/>
    <s v="Dec-2024"/>
    <x v="3"/>
    <x v="0"/>
    <s v="Small"/>
    <n v="2020"/>
  </r>
  <r>
    <s v="C0722"/>
    <x v="0"/>
    <d v="2021-11-18T00:00:00"/>
    <d v="2022-07-29T00:00:00"/>
    <n v="40"/>
    <s v="Churned"/>
    <s v="Referral"/>
    <s v="Nov-2021"/>
    <s v="Jul-2022"/>
    <x v="0"/>
    <x v="3"/>
    <s v="Small"/>
    <n v="2021"/>
  </r>
  <r>
    <s v="C0723"/>
    <x v="2"/>
    <d v="2020-03-21T00:00:00"/>
    <d v="2024-12-31T00:00:00"/>
    <n v="25"/>
    <s v="Active"/>
    <s v="LinkedIn"/>
    <s v="Mar-2020"/>
    <s v="Dec-2024"/>
    <x v="2"/>
    <x v="5"/>
    <s v="Small"/>
    <n v="2020"/>
  </r>
  <r>
    <s v="C0724"/>
    <x v="1"/>
    <d v="2022-11-21T00:00:00"/>
    <d v="2024-10-25T00:00:00"/>
    <n v="15"/>
    <s v="Churned"/>
    <s v="LinkedIn"/>
    <s v="Nov-2022"/>
    <s v="Oct-2024"/>
    <x v="5"/>
    <x v="2"/>
    <s v="Medium"/>
    <n v="2022"/>
  </r>
  <r>
    <s v="C0725"/>
    <x v="2"/>
    <d v="2022-10-23T00:00:00"/>
    <d v="2024-07-17T00:00:00"/>
    <n v="25"/>
    <s v="Churned"/>
    <s v="LinkedIn"/>
    <s v="Oct-2022"/>
    <s v="Jul-2024"/>
    <x v="5"/>
    <x v="2"/>
    <s v="Small"/>
    <n v="2022"/>
  </r>
  <r>
    <s v="C0726"/>
    <x v="2"/>
    <d v="2023-06-18T00:00:00"/>
    <d v="2024-12-31T00:00:00"/>
    <n v="25"/>
    <s v="Active"/>
    <s v="Google"/>
    <s v="Jun-2023"/>
    <s v="Dec-2024"/>
    <x v="5"/>
    <x v="3"/>
    <s v="Medium"/>
    <n v="2023"/>
  </r>
  <r>
    <s v="C0727"/>
    <x v="1"/>
    <d v="2020-06-22T00:00:00"/>
    <d v="2024-12-31T00:00:00"/>
    <n v="15"/>
    <s v="Active"/>
    <s v="Facebook"/>
    <s v="Jun-2020"/>
    <s v="Dec-2024"/>
    <x v="3"/>
    <x v="5"/>
    <s v="Large"/>
    <n v="2020"/>
  </r>
  <r>
    <s v="C0728"/>
    <x v="2"/>
    <d v="2022-01-15T00:00:00"/>
    <d v="2024-12-31T00:00:00"/>
    <n v="25"/>
    <s v="Active"/>
    <s v="Facebook"/>
    <s v="Jan-2022"/>
    <s v="Dec-2024"/>
    <x v="1"/>
    <x v="1"/>
    <s v="Large"/>
    <n v="2022"/>
  </r>
  <r>
    <s v="C0729"/>
    <x v="1"/>
    <d v="2021-05-19T00:00:00"/>
    <d v="2024-12-31T00:00:00"/>
    <n v="15"/>
    <s v="Active"/>
    <s v="Referral"/>
    <s v="May-2021"/>
    <s v="Dec-2024"/>
    <x v="2"/>
    <x v="0"/>
    <s v="Large"/>
    <n v="2021"/>
  </r>
  <r>
    <s v="C0730"/>
    <x v="0"/>
    <d v="2020-11-28T00:00:00"/>
    <d v="2024-12-31T00:00:00"/>
    <n v="40"/>
    <s v="Active"/>
    <s v="LinkedIn"/>
    <s v="Nov-2020"/>
    <s v="Dec-2024"/>
    <x v="5"/>
    <x v="4"/>
    <s v="Enterprise"/>
    <n v="2020"/>
  </r>
  <r>
    <s v="C0731"/>
    <x v="2"/>
    <d v="2022-11-14T00:00:00"/>
    <d v="2024-01-22T00:00:00"/>
    <n v="25"/>
    <s v="Churned"/>
    <s v="Instagram"/>
    <s v="Nov-2022"/>
    <s v="Jan-2024"/>
    <x v="3"/>
    <x v="4"/>
    <s v="Small"/>
    <n v="2022"/>
  </r>
  <r>
    <s v="C0732"/>
    <x v="1"/>
    <d v="2021-08-18T00:00:00"/>
    <d v="2023-09-29T00:00:00"/>
    <n v="15"/>
    <s v="Churned"/>
    <s v="LinkedIn"/>
    <s v="Aug-2021"/>
    <s v="Sep-2023"/>
    <x v="4"/>
    <x v="1"/>
    <s v="Enterprise"/>
    <n v="2021"/>
  </r>
  <r>
    <s v="C0733"/>
    <x v="2"/>
    <d v="2021-01-07T00:00:00"/>
    <d v="2024-12-31T00:00:00"/>
    <n v="25"/>
    <s v="Active"/>
    <s v="Facebook"/>
    <s v="Jan-2021"/>
    <s v="Dec-2024"/>
    <x v="0"/>
    <x v="1"/>
    <s v="Small"/>
    <n v="2021"/>
  </r>
  <r>
    <s v="C0734"/>
    <x v="1"/>
    <d v="2021-04-07T00:00:00"/>
    <d v="2024-12-31T00:00:00"/>
    <n v="15"/>
    <s v="Active"/>
    <s v="Referral"/>
    <s v="Apr-2021"/>
    <s v="Dec-2024"/>
    <x v="2"/>
    <x v="2"/>
    <s v="Medium"/>
    <n v="2021"/>
  </r>
  <r>
    <s v="C0735"/>
    <x v="0"/>
    <d v="2020-08-04T00:00:00"/>
    <d v="2024-12-31T00:00:00"/>
    <n v="40"/>
    <s v="Active"/>
    <s v="Instagram"/>
    <s v="Aug-2020"/>
    <s v="Dec-2024"/>
    <x v="1"/>
    <x v="3"/>
    <s v="Medium"/>
    <n v="2020"/>
  </r>
  <r>
    <s v="C0736"/>
    <x v="1"/>
    <d v="2021-08-22T00:00:00"/>
    <d v="2024-12-31T00:00:00"/>
    <n v="15"/>
    <s v="Active"/>
    <s v="Referral"/>
    <s v="Aug-2021"/>
    <s v="Dec-2024"/>
    <x v="0"/>
    <x v="0"/>
    <s v="Small"/>
    <n v="2021"/>
  </r>
  <r>
    <s v="C0737"/>
    <x v="1"/>
    <d v="2022-02-12T00:00:00"/>
    <d v="2024-12-31T00:00:00"/>
    <n v="15"/>
    <s v="Active"/>
    <s v="Facebook"/>
    <s v="Feb-2022"/>
    <s v="Dec-2024"/>
    <x v="1"/>
    <x v="2"/>
    <s v="Small"/>
    <n v="2022"/>
  </r>
  <r>
    <s v="C0738"/>
    <x v="0"/>
    <d v="2022-10-17T00:00:00"/>
    <d v="2024-12-31T00:00:00"/>
    <n v="40"/>
    <s v="Active"/>
    <s v="Facebook"/>
    <s v="Oct-2022"/>
    <s v="Dec-2024"/>
    <x v="5"/>
    <x v="2"/>
    <s v="Medium"/>
    <n v="2022"/>
  </r>
  <r>
    <s v="C0739"/>
    <x v="2"/>
    <d v="2020-08-26T00:00:00"/>
    <d v="2024-12-31T00:00:00"/>
    <n v="25"/>
    <s v="Active"/>
    <s v="Instagram"/>
    <s v="Aug-2020"/>
    <s v="Dec-2024"/>
    <x v="1"/>
    <x v="3"/>
    <s v="Enterprise"/>
    <n v="2020"/>
  </r>
  <r>
    <s v="C0740"/>
    <x v="2"/>
    <d v="2023-01-16T00:00:00"/>
    <d v="2024-07-09T00:00:00"/>
    <n v="25"/>
    <s v="Churned"/>
    <s v="Referral"/>
    <s v="Jan-2023"/>
    <s v="Jul-2024"/>
    <x v="4"/>
    <x v="3"/>
    <s v="Medium"/>
    <n v="2023"/>
  </r>
  <r>
    <s v="C0741"/>
    <x v="2"/>
    <d v="2020-10-12T00:00:00"/>
    <d v="2024-12-31T00:00:00"/>
    <n v="25"/>
    <s v="Active"/>
    <s v="Facebook"/>
    <s v="Oct-2020"/>
    <s v="Dec-2024"/>
    <x v="2"/>
    <x v="2"/>
    <s v="Medium"/>
    <n v="2020"/>
  </r>
  <r>
    <s v="C0742"/>
    <x v="2"/>
    <d v="2020-03-04T00:00:00"/>
    <d v="2024-12-31T00:00:00"/>
    <n v="25"/>
    <s v="Active"/>
    <s v="Instagram"/>
    <s v="Mar-2020"/>
    <s v="Dec-2024"/>
    <x v="2"/>
    <x v="0"/>
    <s v="Medium"/>
    <n v="2020"/>
  </r>
  <r>
    <s v="C0743"/>
    <x v="2"/>
    <d v="2024-02-22T00:00:00"/>
    <d v="2024-12-31T00:00:00"/>
    <n v="25"/>
    <s v="Active"/>
    <s v="LinkedIn"/>
    <s v="Feb-2024"/>
    <s v="Dec-2024"/>
    <x v="4"/>
    <x v="0"/>
    <s v="Enterprise"/>
    <n v="2024"/>
  </r>
  <r>
    <s v="C0744"/>
    <x v="0"/>
    <d v="2023-04-26T00:00:00"/>
    <d v="2024-12-31T00:00:00"/>
    <n v="40"/>
    <s v="Active"/>
    <s v="Instagram"/>
    <s v="Apr-2023"/>
    <s v="Dec-2024"/>
    <x v="5"/>
    <x v="0"/>
    <s v="Medium"/>
    <n v="2023"/>
  </r>
  <r>
    <s v="C0745"/>
    <x v="0"/>
    <d v="2022-09-29T00:00:00"/>
    <d v="2024-12-31T00:00:00"/>
    <n v="40"/>
    <s v="Active"/>
    <s v="Google"/>
    <s v="Sep-2022"/>
    <s v="Dec-2024"/>
    <x v="2"/>
    <x v="2"/>
    <s v="Medium"/>
    <n v="2022"/>
  </r>
  <r>
    <s v="C0746"/>
    <x v="2"/>
    <d v="2020-02-24T00:00:00"/>
    <d v="2022-07-31T00:00:00"/>
    <n v="25"/>
    <s v="Churned"/>
    <s v="Referral"/>
    <s v="Feb-2020"/>
    <s v="Jul-2022"/>
    <x v="5"/>
    <x v="3"/>
    <s v="Enterprise"/>
    <n v="2020"/>
  </r>
  <r>
    <s v="C0747"/>
    <x v="1"/>
    <d v="2022-09-23T00:00:00"/>
    <d v="2024-12-31T00:00:00"/>
    <n v="15"/>
    <s v="Active"/>
    <s v="Facebook"/>
    <s v="Sep-2022"/>
    <s v="Dec-2024"/>
    <x v="1"/>
    <x v="1"/>
    <s v="Small"/>
    <n v="2022"/>
  </r>
  <r>
    <s v="C0748"/>
    <x v="2"/>
    <d v="2020-12-08T00:00:00"/>
    <d v="2024-12-31T00:00:00"/>
    <n v="25"/>
    <s v="Active"/>
    <s v="LinkedIn"/>
    <s v="Dec-2020"/>
    <s v="Dec-2024"/>
    <x v="3"/>
    <x v="3"/>
    <s v="Large"/>
    <n v="2020"/>
  </r>
  <r>
    <s v="C0749"/>
    <x v="0"/>
    <d v="2024-06-13T00:00:00"/>
    <d v="2024-12-31T00:00:00"/>
    <n v="40"/>
    <s v="Active"/>
    <s v="Instagram"/>
    <s v="Jun-2024"/>
    <s v="Dec-2024"/>
    <x v="2"/>
    <x v="1"/>
    <s v="Large"/>
    <n v="2024"/>
  </r>
  <r>
    <s v="C0750"/>
    <x v="0"/>
    <d v="2024-06-05T00:00:00"/>
    <d v="2024-12-31T00:00:00"/>
    <n v="40"/>
    <s v="Churned"/>
    <s v="Instagram"/>
    <s v="Jun-2024"/>
    <s v="Dec-2024"/>
    <x v="0"/>
    <x v="2"/>
    <s v="Small"/>
    <n v="2024"/>
  </r>
  <r>
    <s v="C0751"/>
    <x v="0"/>
    <d v="2022-03-02T00:00:00"/>
    <d v="2024-03-22T00:00:00"/>
    <n v="40"/>
    <s v="Churned"/>
    <s v="Referral"/>
    <s v="Mar-2022"/>
    <s v="Mar-2024"/>
    <x v="4"/>
    <x v="1"/>
    <s v="Medium"/>
    <n v="2022"/>
  </r>
  <r>
    <s v="C0752"/>
    <x v="1"/>
    <d v="2023-03-06T00:00:00"/>
    <d v="2024-12-31T00:00:00"/>
    <n v="15"/>
    <s v="Churned"/>
    <s v="Instagram"/>
    <s v="Mar-2023"/>
    <s v="Dec-2024"/>
    <x v="2"/>
    <x v="5"/>
    <s v="Large"/>
    <n v="2023"/>
  </r>
  <r>
    <s v="C0753"/>
    <x v="2"/>
    <d v="2020-07-26T00:00:00"/>
    <d v="2021-11-22T00:00:00"/>
    <n v="25"/>
    <s v="Churned"/>
    <s v="Google"/>
    <s v="Jul-2020"/>
    <s v="Nov-2021"/>
    <x v="2"/>
    <x v="3"/>
    <s v="Medium"/>
    <n v="2020"/>
  </r>
  <r>
    <s v="C0754"/>
    <x v="2"/>
    <d v="2023-07-15T00:00:00"/>
    <d v="2024-12-31T00:00:00"/>
    <n v="25"/>
    <s v="Active"/>
    <s v="Instagram"/>
    <s v="Jul-2023"/>
    <s v="Dec-2024"/>
    <x v="4"/>
    <x v="5"/>
    <s v="Small"/>
    <n v="2023"/>
  </r>
  <r>
    <s v="C0755"/>
    <x v="2"/>
    <d v="2021-03-14T00:00:00"/>
    <d v="2024-12-31T00:00:00"/>
    <n v="25"/>
    <s v="Active"/>
    <s v="Google"/>
    <s v="Mar-2021"/>
    <s v="Dec-2024"/>
    <x v="3"/>
    <x v="3"/>
    <s v="Medium"/>
    <n v="2021"/>
  </r>
  <r>
    <s v="C0756"/>
    <x v="1"/>
    <d v="2022-06-13T00:00:00"/>
    <d v="2024-12-31T00:00:00"/>
    <n v="15"/>
    <s v="Active"/>
    <s v="Facebook"/>
    <s v="Jun-2022"/>
    <s v="Dec-2024"/>
    <x v="0"/>
    <x v="3"/>
    <s v="Small"/>
    <n v="2022"/>
  </r>
  <r>
    <s v="C0757"/>
    <x v="0"/>
    <d v="2022-08-08T00:00:00"/>
    <d v="2023-09-30T00:00:00"/>
    <n v="40"/>
    <s v="Churned"/>
    <s v="Referral"/>
    <s v="Aug-2022"/>
    <s v="Sep-2023"/>
    <x v="1"/>
    <x v="0"/>
    <s v="Enterprise"/>
    <n v="2022"/>
  </r>
  <r>
    <s v="C0758"/>
    <x v="2"/>
    <d v="2022-12-26T00:00:00"/>
    <d v="2024-12-31T00:00:00"/>
    <n v="25"/>
    <s v="Active"/>
    <s v="Instagram"/>
    <s v="Dec-2022"/>
    <s v="Dec-2024"/>
    <x v="4"/>
    <x v="0"/>
    <s v="Large"/>
    <n v="2022"/>
  </r>
  <r>
    <s v="C0759"/>
    <x v="0"/>
    <d v="2023-03-28T00:00:00"/>
    <d v="2024-12-31T00:00:00"/>
    <n v="40"/>
    <s v="Churned"/>
    <s v="Facebook"/>
    <s v="Mar-2023"/>
    <s v="Dec-2024"/>
    <x v="2"/>
    <x v="2"/>
    <s v="Medium"/>
    <n v="2023"/>
  </r>
  <r>
    <s v="C0760"/>
    <x v="0"/>
    <d v="2021-03-30T00:00:00"/>
    <d v="2024-12-31T00:00:00"/>
    <n v="40"/>
    <s v="Active"/>
    <s v="Google"/>
    <s v="Mar-2021"/>
    <s v="Dec-2024"/>
    <x v="4"/>
    <x v="3"/>
    <s v="Medium"/>
    <n v="2021"/>
  </r>
  <r>
    <s v="C0761"/>
    <x v="1"/>
    <d v="2024-04-20T00:00:00"/>
    <d v="2024-12-31T00:00:00"/>
    <n v="15"/>
    <s v="Churned"/>
    <s v="Referral"/>
    <s v="Apr-2024"/>
    <s v="Dec-2024"/>
    <x v="4"/>
    <x v="1"/>
    <s v="Enterprise"/>
    <n v="2024"/>
  </r>
  <r>
    <s v="C0762"/>
    <x v="2"/>
    <d v="2023-09-07T00:00:00"/>
    <d v="2024-12-31T00:00:00"/>
    <n v="25"/>
    <s v="Active"/>
    <s v="Referral"/>
    <s v="Sep-2023"/>
    <s v="Dec-2024"/>
    <x v="5"/>
    <x v="1"/>
    <s v="Enterprise"/>
    <n v="2023"/>
  </r>
  <r>
    <s v="C0763"/>
    <x v="2"/>
    <d v="2020-11-02T00:00:00"/>
    <d v="2024-12-31T00:00:00"/>
    <n v="25"/>
    <s v="Active"/>
    <s v="Google"/>
    <s v="Nov-2020"/>
    <s v="Dec-2024"/>
    <x v="4"/>
    <x v="3"/>
    <s v="Small"/>
    <n v="2020"/>
  </r>
  <r>
    <s v="C0764"/>
    <x v="1"/>
    <d v="2021-04-08T00:00:00"/>
    <d v="2024-12-31T00:00:00"/>
    <n v="15"/>
    <s v="Active"/>
    <s v="Facebook"/>
    <s v="Apr-2021"/>
    <s v="Dec-2024"/>
    <x v="2"/>
    <x v="4"/>
    <s v="Large"/>
    <n v="2021"/>
  </r>
  <r>
    <s v="C0765"/>
    <x v="2"/>
    <d v="2020-01-26T00:00:00"/>
    <d v="2024-12-31T00:00:00"/>
    <n v="25"/>
    <s v="Active"/>
    <s v="Google"/>
    <s v="Jan-2020"/>
    <s v="Dec-2024"/>
    <x v="3"/>
    <x v="1"/>
    <s v="Medium"/>
    <n v="2020"/>
  </r>
  <r>
    <s v="C0766"/>
    <x v="1"/>
    <d v="2021-10-26T00:00:00"/>
    <d v="2024-12-31T00:00:00"/>
    <n v="15"/>
    <s v="Active"/>
    <s v="Instagram"/>
    <s v="Oct-2021"/>
    <s v="Dec-2024"/>
    <x v="2"/>
    <x v="1"/>
    <s v="Large"/>
    <n v="2021"/>
  </r>
  <r>
    <s v="C0767"/>
    <x v="0"/>
    <d v="2021-03-18T00:00:00"/>
    <d v="2023-04-22T00:00:00"/>
    <n v="40"/>
    <s v="Churned"/>
    <s v="Referral"/>
    <s v="Mar-2021"/>
    <s v="Apr-2023"/>
    <x v="2"/>
    <x v="3"/>
    <s v="Small"/>
    <n v="2021"/>
  </r>
  <r>
    <s v="C0768"/>
    <x v="2"/>
    <d v="2023-02-06T00:00:00"/>
    <d v="2024-12-31T00:00:00"/>
    <n v="25"/>
    <s v="Active"/>
    <s v="LinkedIn"/>
    <s v="Feb-2023"/>
    <s v="Dec-2024"/>
    <x v="3"/>
    <x v="3"/>
    <s v="Small"/>
    <n v="2023"/>
  </r>
  <r>
    <s v="C0769"/>
    <x v="0"/>
    <d v="2022-06-01T00:00:00"/>
    <d v="2024-12-31T00:00:00"/>
    <n v="40"/>
    <s v="Active"/>
    <s v="Referral"/>
    <s v="Jun-2022"/>
    <s v="Dec-2024"/>
    <x v="1"/>
    <x v="0"/>
    <s v="Small"/>
    <n v="2022"/>
  </r>
  <r>
    <s v="C0770"/>
    <x v="1"/>
    <d v="2024-06-27T00:00:00"/>
    <d v="2024-11-22T00:00:00"/>
    <n v="15"/>
    <s v="Churned"/>
    <s v="Instagram"/>
    <s v="Jun-2024"/>
    <s v="Nov-2024"/>
    <x v="2"/>
    <x v="0"/>
    <s v="Small"/>
    <n v="2024"/>
  </r>
  <r>
    <s v="C0771"/>
    <x v="0"/>
    <d v="2022-09-19T00:00:00"/>
    <d v="2024-12-31T00:00:00"/>
    <n v="40"/>
    <s v="Active"/>
    <s v="Google"/>
    <s v="Sep-2022"/>
    <s v="Dec-2024"/>
    <x v="5"/>
    <x v="5"/>
    <s v="Small"/>
    <n v="2022"/>
  </r>
  <r>
    <s v="C0772"/>
    <x v="2"/>
    <d v="2023-01-14T00:00:00"/>
    <d v="2024-12-31T00:00:00"/>
    <n v="25"/>
    <s v="Active"/>
    <s v="Google"/>
    <s v="Jan-2023"/>
    <s v="Dec-2024"/>
    <x v="5"/>
    <x v="3"/>
    <s v="Enterprise"/>
    <n v="2023"/>
  </r>
  <r>
    <s v="C0773"/>
    <x v="2"/>
    <d v="2024-01-25T00:00:00"/>
    <d v="2024-12-31T00:00:00"/>
    <n v="25"/>
    <s v="Churned"/>
    <s v="Facebook"/>
    <s v="Jan-2024"/>
    <s v="Dec-2024"/>
    <x v="1"/>
    <x v="0"/>
    <s v="Large"/>
    <n v="2024"/>
  </r>
  <r>
    <s v="C0774"/>
    <x v="2"/>
    <d v="2021-09-02T00:00:00"/>
    <d v="2022-02-22T00:00:00"/>
    <n v="25"/>
    <s v="Churned"/>
    <s v="Instagram"/>
    <s v="Sep-2021"/>
    <s v="Feb-2022"/>
    <x v="2"/>
    <x v="3"/>
    <s v="Large"/>
    <n v="2021"/>
  </r>
  <r>
    <s v="C0775"/>
    <x v="1"/>
    <d v="2022-12-20T00:00:00"/>
    <d v="2024-12-31T00:00:00"/>
    <n v="15"/>
    <s v="Active"/>
    <s v="LinkedIn"/>
    <s v="Dec-2022"/>
    <s v="Dec-2024"/>
    <x v="2"/>
    <x v="1"/>
    <s v="Medium"/>
    <n v="2022"/>
  </r>
  <r>
    <s v="C0776"/>
    <x v="2"/>
    <d v="2020-09-06T00:00:00"/>
    <d v="2023-01-23T00:00:00"/>
    <n v="25"/>
    <s v="Churned"/>
    <s v="Instagram"/>
    <s v="Sep-2020"/>
    <s v="Jan-2023"/>
    <x v="4"/>
    <x v="4"/>
    <s v="Small"/>
    <n v="2020"/>
  </r>
  <r>
    <s v="C0777"/>
    <x v="2"/>
    <d v="2022-07-28T00:00:00"/>
    <d v="2024-12-31T00:00:00"/>
    <n v="25"/>
    <s v="Active"/>
    <s v="Referral"/>
    <s v="Jul-2022"/>
    <s v="Dec-2024"/>
    <x v="2"/>
    <x v="2"/>
    <s v="Small"/>
    <n v="2022"/>
  </r>
  <r>
    <s v="C0778"/>
    <x v="0"/>
    <d v="2021-10-09T00:00:00"/>
    <d v="2024-12-31T00:00:00"/>
    <n v="40"/>
    <s v="Active"/>
    <s v="Referral"/>
    <s v="Oct-2021"/>
    <s v="Dec-2024"/>
    <x v="1"/>
    <x v="3"/>
    <s v="Small"/>
    <n v="2021"/>
  </r>
  <r>
    <s v="C0779"/>
    <x v="0"/>
    <d v="2021-01-13T00:00:00"/>
    <d v="2024-12-31T00:00:00"/>
    <n v="40"/>
    <s v="Active"/>
    <s v="LinkedIn"/>
    <s v="Jan-2021"/>
    <s v="Dec-2024"/>
    <x v="4"/>
    <x v="4"/>
    <s v="Large"/>
    <n v="2021"/>
  </r>
  <r>
    <s v="C0780"/>
    <x v="0"/>
    <d v="2020-05-20T00:00:00"/>
    <d v="2021-06-06T00:00:00"/>
    <n v="40"/>
    <s v="Churned"/>
    <s v="LinkedIn"/>
    <s v="May-2020"/>
    <s v="Jun-2021"/>
    <x v="5"/>
    <x v="5"/>
    <s v="Large"/>
    <n v="2020"/>
  </r>
  <r>
    <s v="C0781"/>
    <x v="1"/>
    <d v="2024-04-19T00:00:00"/>
    <d v="2024-12-31T00:00:00"/>
    <n v="15"/>
    <s v="Active"/>
    <s v="Facebook"/>
    <s v="Apr-2024"/>
    <s v="Dec-2024"/>
    <x v="4"/>
    <x v="1"/>
    <s v="Medium"/>
    <n v="2024"/>
  </r>
  <r>
    <s v="C0782"/>
    <x v="2"/>
    <d v="2020-09-03T00:00:00"/>
    <d v="2024-12-31T00:00:00"/>
    <n v="25"/>
    <s v="Active"/>
    <s v="Instagram"/>
    <s v="Sep-2020"/>
    <s v="Dec-2024"/>
    <x v="1"/>
    <x v="0"/>
    <s v="Medium"/>
    <n v="2020"/>
  </r>
  <r>
    <s v="C0783"/>
    <x v="0"/>
    <d v="2021-05-29T00:00:00"/>
    <d v="2024-12-31T00:00:00"/>
    <n v="40"/>
    <s v="Active"/>
    <s v="Facebook"/>
    <s v="May-2021"/>
    <s v="Dec-2024"/>
    <x v="5"/>
    <x v="4"/>
    <s v="Small"/>
    <n v="2021"/>
  </r>
  <r>
    <s v="C0784"/>
    <x v="0"/>
    <d v="2023-05-10T00:00:00"/>
    <d v="2024-12-31T00:00:00"/>
    <n v="40"/>
    <s v="Active"/>
    <s v="Referral"/>
    <s v="May-2023"/>
    <s v="Dec-2024"/>
    <x v="1"/>
    <x v="0"/>
    <s v="Enterprise"/>
    <n v="2023"/>
  </r>
  <r>
    <s v="C0785"/>
    <x v="1"/>
    <d v="2021-10-30T00:00:00"/>
    <d v="2024-12-31T00:00:00"/>
    <n v="15"/>
    <s v="Active"/>
    <s v="Referral"/>
    <s v="Oct-2021"/>
    <s v="Dec-2024"/>
    <x v="0"/>
    <x v="4"/>
    <s v="Small"/>
    <n v="2021"/>
  </r>
  <r>
    <s v="C0786"/>
    <x v="1"/>
    <d v="2021-02-28T00:00:00"/>
    <d v="2024-12-31T00:00:00"/>
    <n v="15"/>
    <s v="Active"/>
    <s v="Facebook"/>
    <s v="Feb-2021"/>
    <s v="Dec-2024"/>
    <x v="4"/>
    <x v="0"/>
    <s v="Small"/>
    <n v="2021"/>
  </r>
  <r>
    <s v="C0787"/>
    <x v="0"/>
    <d v="2020-12-14T00:00:00"/>
    <d v="2021-10-15T00:00:00"/>
    <n v="40"/>
    <s v="Churned"/>
    <s v="LinkedIn"/>
    <s v="Dec-2020"/>
    <s v="Oct-2021"/>
    <x v="5"/>
    <x v="1"/>
    <s v="Enterprise"/>
    <n v="2020"/>
  </r>
  <r>
    <s v="C0788"/>
    <x v="2"/>
    <d v="2020-07-22T00:00:00"/>
    <d v="2024-12-31T00:00:00"/>
    <n v="25"/>
    <s v="Active"/>
    <s v="Referral"/>
    <s v="Jul-2020"/>
    <s v="Dec-2024"/>
    <x v="5"/>
    <x v="3"/>
    <s v="Small"/>
    <n v="2020"/>
  </r>
  <r>
    <s v="C0789"/>
    <x v="1"/>
    <d v="2020-02-27T00:00:00"/>
    <d v="2024-12-31T00:00:00"/>
    <n v="15"/>
    <s v="Active"/>
    <s v="LinkedIn"/>
    <s v="Feb-2020"/>
    <s v="Dec-2024"/>
    <x v="5"/>
    <x v="3"/>
    <s v="Enterprise"/>
    <n v="2020"/>
  </r>
  <r>
    <s v="C0790"/>
    <x v="1"/>
    <d v="2021-06-18T00:00:00"/>
    <d v="2024-12-31T00:00:00"/>
    <n v="15"/>
    <s v="Active"/>
    <s v="Instagram"/>
    <s v="Jun-2021"/>
    <s v="Dec-2024"/>
    <x v="0"/>
    <x v="1"/>
    <s v="Enterprise"/>
    <n v="2021"/>
  </r>
  <r>
    <s v="C0791"/>
    <x v="1"/>
    <d v="2020-07-26T00:00:00"/>
    <d v="2024-12-31T00:00:00"/>
    <n v="15"/>
    <s v="Active"/>
    <s v="Google"/>
    <s v="Jul-2020"/>
    <s v="Dec-2024"/>
    <x v="2"/>
    <x v="0"/>
    <s v="Medium"/>
    <n v="2020"/>
  </r>
  <r>
    <s v="C0792"/>
    <x v="2"/>
    <d v="2020-08-29T00:00:00"/>
    <d v="2024-12-31T00:00:00"/>
    <n v="25"/>
    <s v="Active"/>
    <s v="LinkedIn"/>
    <s v="Aug-2020"/>
    <s v="Dec-2024"/>
    <x v="3"/>
    <x v="4"/>
    <s v="Medium"/>
    <n v="2020"/>
  </r>
  <r>
    <s v="C0793"/>
    <x v="1"/>
    <d v="2023-08-15T00:00:00"/>
    <d v="2024-12-31T00:00:00"/>
    <n v="15"/>
    <s v="Active"/>
    <s v="Facebook"/>
    <s v="Aug-2023"/>
    <s v="Dec-2024"/>
    <x v="4"/>
    <x v="4"/>
    <s v="Medium"/>
    <n v="2023"/>
  </r>
  <r>
    <s v="C0794"/>
    <x v="0"/>
    <d v="2021-09-26T00:00:00"/>
    <d v="2024-12-31T00:00:00"/>
    <n v="40"/>
    <s v="Active"/>
    <s v="Instagram"/>
    <s v="Sep-2021"/>
    <s v="Dec-2024"/>
    <x v="1"/>
    <x v="1"/>
    <s v="Large"/>
    <n v="2021"/>
  </r>
  <r>
    <s v="C0795"/>
    <x v="1"/>
    <d v="2022-05-30T00:00:00"/>
    <d v="2024-12-31T00:00:00"/>
    <n v="15"/>
    <s v="Active"/>
    <s v="Referral"/>
    <s v="May-2022"/>
    <s v="Dec-2024"/>
    <x v="2"/>
    <x v="5"/>
    <s v="Small"/>
    <n v="2022"/>
  </r>
  <r>
    <s v="C0796"/>
    <x v="1"/>
    <d v="2022-10-03T00:00:00"/>
    <d v="2024-12-31T00:00:00"/>
    <n v="15"/>
    <s v="Churned"/>
    <s v="LinkedIn"/>
    <s v="Oct-2022"/>
    <s v="Dec-2024"/>
    <x v="4"/>
    <x v="2"/>
    <s v="Small"/>
    <n v="2022"/>
  </r>
  <r>
    <s v="C0797"/>
    <x v="2"/>
    <d v="2021-09-01T00:00:00"/>
    <d v="2023-08-29T00:00:00"/>
    <n v="25"/>
    <s v="Churned"/>
    <s v="Google"/>
    <s v="Sep-2021"/>
    <s v="Aug-2023"/>
    <x v="0"/>
    <x v="4"/>
    <s v="Medium"/>
    <n v="2021"/>
  </r>
  <r>
    <s v="C0798"/>
    <x v="0"/>
    <d v="2022-12-26T00:00:00"/>
    <d v="2024-12-31T00:00:00"/>
    <n v="40"/>
    <s v="Active"/>
    <s v="Facebook"/>
    <s v="Dec-2022"/>
    <s v="Dec-2024"/>
    <x v="3"/>
    <x v="3"/>
    <s v="Large"/>
    <n v="2022"/>
  </r>
  <r>
    <s v="C0799"/>
    <x v="2"/>
    <d v="2022-11-24T00:00:00"/>
    <d v="2023-06-07T00:00:00"/>
    <n v="25"/>
    <s v="Churned"/>
    <s v="Referral"/>
    <s v="Nov-2022"/>
    <s v="Jun-2023"/>
    <x v="0"/>
    <x v="1"/>
    <s v="Small"/>
    <n v="2022"/>
  </r>
  <r>
    <s v="C0800"/>
    <x v="1"/>
    <d v="2024-04-07T00:00:00"/>
    <d v="2024-12-31T00:00:00"/>
    <n v="15"/>
    <s v="Churned"/>
    <s v="LinkedIn"/>
    <s v="Apr-2024"/>
    <s v="Dec-2024"/>
    <x v="1"/>
    <x v="0"/>
    <s v="Large"/>
    <n v="2024"/>
  </r>
</pivotCacheRecords>
</file>

<file path=xl/pivotCache/pivotCacheRecords2.xml><?xml version="1.0" encoding="utf-8"?>
<pivotCacheRecords xmlns="http://schemas.openxmlformats.org/spreadsheetml/2006/main" count="800">
  <r>
    <s v="C0001"/>
    <x v="0"/>
    <d v="2020-02-23T00:00:00"/>
    <d v="2024-12-31T00:00:00"/>
    <n v="40"/>
    <x v="0"/>
    <s v="LinkedIn"/>
    <s v="Feb-2020"/>
    <s v="Dec-2024"/>
    <x v="0"/>
    <x v="0"/>
    <s v="Large"/>
    <x v="0"/>
  </r>
  <r>
    <s v="C0002"/>
    <x v="1"/>
    <d v="2020-09-18T00:00:00"/>
    <d v="2024-12-31T00:00:00"/>
    <n v="15"/>
    <x v="0"/>
    <s v="Instagram"/>
    <s v="Sep-2020"/>
    <s v="Dec-2024"/>
    <x v="1"/>
    <x v="0"/>
    <s v="Enterprise"/>
    <x v="0"/>
  </r>
  <r>
    <s v="C0003"/>
    <x v="0"/>
    <d v="2021-08-13T00:00:00"/>
    <d v="2022-03-31T00:00:00"/>
    <n v="40"/>
    <x v="1"/>
    <s v="Facebook"/>
    <s v="Aug-2021"/>
    <s v="Mar-2022"/>
    <x v="2"/>
    <x v="1"/>
    <s v="Small"/>
    <x v="1"/>
  </r>
  <r>
    <s v="C0004"/>
    <x v="1"/>
    <d v="2021-12-17T00:00:00"/>
    <d v="2024-12-31T00:00:00"/>
    <n v="15"/>
    <x v="0"/>
    <s v="Instagram"/>
    <s v="Dec-2021"/>
    <s v="Dec-2024"/>
    <x v="3"/>
    <x v="2"/>
    <s v="Enterprise"/>
    <x v="1"/>
  </r>
  <r>
    <s v="C0005"/>
    <x v="2"/>
    <d v="2023-06-14T00:00:00"/>
    <d v="2024-12-31T00:00:00"/>
    <n v="25"/>
    <x v="0"/>
    <s v="Referral"/>
    <s v="Jun-2023"/>
    <s v="Dec-2024"/>
    <x v="4"/>
    <x v="3"/>
    <s v="Large"/>
    <x v="2"/>
  </r>
  <r>
    <s v="C0006"/>
    <x v="1"/>
    <d v="2024-05-13T00:00:00"/>
    <d v="2024-11-19T00:00:00"/>
    <n v="15"/>
    <x v="1"/>
    <s v="LinkedIn"/>
    <s v="May-2024"/>
    <s v="Nov-2024"/>
    <x v="3"/>
    <x v="1"/>
    <s v="Medium"/>
    <x v="3"/>
  </r>
  <r>
    <s v="C0007"/>
    <x v="2"/>
    <d v="2020-08-17T00:00:00"/>
    <d v="2024-12-31T00:00:00"/>
    <n v="25"/>
    <x v="0"/>
    <s v="Facebook"/>
    <s v="Aug-2020"/>
    <s v="Dec-2024"/>
    <x v="1"/>
    <x v="4"/>
    <s v="Enterprise"/>
    <x v="0"/>
  </r>
  <r>
    <s v="C0008"/>
    <x v="0"/>
    <d v="2024-01-06T00:00:00"/>
    <d v="2024-12-31T00:00:00"/>
    <n v="40"/>
    <x v="0"/>
    <s v="Google"/>
    <s v="Jan-2024"/>
    <s v="Dec-2024"/>
    <x v="4"/>
    <x v="1"/>
    <s v="Large"/>
    <x v="3"/>
  </r>
  <r>
    <s v="C0009"/>
    <x v="0"/>
    <d v="2021-07-26T00:00:00"/>
    <d v="2024-12-31T00:00:00"/>
    <n v="40"/>
    <x v="0"/>
    <s v="Referral"/>
    <s v="Jul-2021"/>
    <s v="Dec-2024"/>
    <x v="2"/>
    <x v="5"/>
    <s v="Small"/>
    <x v="1"/>
  </r>
  <r>
    <s v="C0010"/>
    <x v="0"/>
    <d v="2021-10-22T00:00:00"/>
    <d v="2022-02-15T00:00:00"/>
    <n v="40"/>
    <x v="1"/>
    <s v="Google"/>
    <s v="Oct-2021"/>
    <s v="Feb-2022"/>
    <x v="4"/>
    <x v="5"/>
    <s v="Large"/>
    <x v="1"/>
  </r>
  <r>
    <s v="C0011"/>
    <x v="2"/>
    <d v="2021-04-03T00:00:00"/>
    <d v="2024-12-31T00:00:00"/>
    <n v="25"/>
    <x v="0"/>
    <s v="Facebook"/>
    <s v="Apr-2021"/>
    <s v="Dec-2024"/>
    <x v="5"/>
    <x v="0"/>
    <s v="Small"/>
    <x v="1"/>
  </r>
  <r>
    <s v="C0012"/>
    <x v="1"/>
    <d v="2024-02-19T00:00:00"/>
    <d v="2024-12-31T00:00:00"/>
    <n v="15"/>
    <x v="0"/>
    <s v="Google"/>
    <s v="Feb-2024"/>
    <s v="Dec-2024"/>
    <x v="0"/>
    <x v="0"/>
    <s v="Enterprise"/>
    <x v="3"/>
  </r>
  <r>
    <s v="C0013"/>
    <x v="2"/>
    <d v="2020-04-02T00:00:00"/>
    <d v="2024-12-31T00:00:00"/>
    <n v="25"/>
    <x v="0"/>
    <s v="Referral"/>
    <s v="Apr-2020"/>
    <s v="Dec-2024"/>
    <x v="5"/>
    <x v="2"/>
    <s v="Enterprise"/>
    <x v="0"/>
  </r>
  <r>
    <s v="C0014"/>
    <x v="0"/>
    <d v="2021-02-02T00:00:00"/>
    <d v="2024-12-31T00:00:00"/>
    <n v="40"/>
    <x v="0"/>
    <s v="Referral"/>
    <s v="Feb-2021"/>
    <s v="Dec-2024"/>
    <x v="0"/>
    <x v="5"/>
    <s v="Small"/>
    <x v="1"/>
  </r>
  <r>
    <s v="C0015"/>
    <x v="1"/>
    <d v="2021-02-23T00:00:00"/>
    <d v="2024-12-31T00:00:00"/>
    <n v="15"/>
    <x v="0"/>
    <s v="Instagram"/>
    <s v="Feb-2021"/>
    <s v="Dec-2024"/>
    <x v="1"/>
    <x v="5"/>
    <s v="Large"/>
    <x v="1"/>
  </r>
  <r>
    <s v="C0016"/>
    <x v="1"/>
    <d v="2020-08-17T00:00:00"/>
    <d v="2024-12-31T00:00:00"/>
    <n v="15"/>
    <x v="0"/>
    <s v="LinkedIn"/>
    <s v="Aug-2020"/>
    <s v="Dec-2024"/>
    <x v="3"/>
    <x v="3"/>
    <s v="Small"/>
    <x v="0"/>
  </r>
  <r>
    <s v="C0017"/>
    <x v="1"/>
    <d v="2022-01-14T00:00:00"/>
    <d v="2024-01-28T00:00:00"/>
    <n v="15"/>
    <x v="1"/>
    <s v="Facebook"/>
    <s v="Jan-2022"/>
    <s v="Jan-2024"/>
    <x v="1"/>
    <x v="4"/>
    <s v="Enterprise"/>
    <x v="4"/>
  </r>
  <r>
    <s v="C0018"/>
    <x v="0"/>
    <d v="2024-04-09T00:00:00"/>
    <d v="2024-12-31T00:00:00"/>
    <n v="40"/>
    <x v="0"/>
    <s v="Referral"/>
    <s v="Apr-2024"/>
    <s v="Dec-2024"/>
    <x v="4"/>
    <x v="4"/>
    <s v="Small"/>
    <x v="3"/>
  </r>
  <r>
    <s v="C0019"/>
    <x v="1"/>
    <d v="2021-12-27T00:00:00"/>
    <d v="2024-12-31T00:00:00"/>
    <n v="15"/>
    <x v="0"/>
    <s v="Instagram"/>
    <s v="Dec-2021"/>
    <s v="Dec-2024"/>
    <x v="3"/>
    <x v="4"/>
    <s v="Enterprise"/>
    <x v="1"/>
  </r>
  <r>
    <s v="C0020"/>
    <x v="0"/>
    <d v="2024-02-03T00:00:00"/>
    <d v="2024-12-31T00:00:00"/>
    <n v="40"/>
    <x v="0"/>
    <s v="Referral"/>
    <s v="Feb-2024"/>
    <s v="Dec-2024"/>
    <x v="1"/>
    <x v="1"/>
    <s v="Large"/>
    <x v="3"/>
  </r>
  <r>
    <s v="C0021"/>
    <x v="1"/>
    <d v="2021-10-12T00:00:00"/>
    <d v="2023-09-29T00:00:00"/>
    <n v="15"/>
    <x v="1"/>
    <s v="Google"/>
    <s v="Oct-2021"/>
    <s v="Sep-2023"/>
    <x v="4"/>
    <x v="1"/>
    <s v="Small"/>
    <x v="1"/>
  </r>
  <r>
    <s v="C0022"/>
    <x v="2"/>
    <d v="2022-04-09T00:00:00"/>
    <d v="2022-07-26T00:00:00"/>
    <n v="25"/>
    <x v="1"/>
    <s v="LinkedIn"/>
    <s v="Apr-2022"/>
    <s v="Jul-2022"/>
    <x v="2"/>
    <x v="5"/>
    <s v="Large"/>
    <x v="4"/>
  </r>
  <r>
    <s v="C0023"/>
    <x v="2"/>
    <d v="2020-10-18T00:00:00"/>
    <d v="2024-12-31T00:00:00"/>
    <n v="25"/>
    <x v="0"/>
    <s v="Google"/>
    <s v="Oct-2020"/>
    <s v="Dec-2024"/>
    <x v="0"/>
    <x v="1"/>
    <s v="Large"/>
    <x v="0"/>
  </r>
  <r>
    <s v="C0024"/>
    <x v="1"/>
    <d v="2023-06-24T00:00:00"/>
    <d v="2024-12-31T00:00:00"/>
    <n v="15"/>
    <x v="0"/>
    <s v="LinkedIn"/>
    <s v="Jun-2023"/>
    <s v="Dec-2024"/>
    <x v="3"/>
    <x v="4"/>
    <s v="Large"/>
    <x v="2"/>
  </r>
  <r>
    <s v="C0025"/>
    <x v="0"/>
    <d v="2022-08-14T00:00:00"/>
    <d v="2024-12-31T00:00:00"/>
    <n v="40"/>
    <x v="0"/>
    <s v="Instagram"/>
    <s v="Aug-2022"/>
    <s v="Dec-2024"/>
    <x v="1"/>
    <x v="1"/>
    <s v="Enterprise"/>
    <x v="4"/>
  </r>
  <r>
    <s v="C0026"/>
    <x v="2"/>
    <d v="2020-02-23T00:00:00"/>
    <d v="2024-12-31T00:00:00"/>
    <n v="25"/>
    <x v="0"/>
    <s v="Google"/>
    <s v="Feb-2020"/>
    <s v="Dec-2024"/>
    <x v="1"/>
    <x v="1"/>
    <s v="Small"/>
    <x v="0"/>
  </r>
  <r>
    <s v="C0027"/>
    <x v="0"/>
    <d v="2022-10-14T00:00:00"/>
    <d v="2024-12-31T00:00:00"/>
    <n v="40"/>
    <x v="0"/>
    <s v="Google"/>
    <s v="Oct-2022"/>
    <s v="Dec-2024"/>
    <x v="2"/>
    <x v="5"/>
    <s v="Medium"/>
    <x v="4"/>
  </r>
  <r>
    <s v="C0028"/>
    <x v="1"/>
    <d v="2024-02-23T00:00:00"/>
    <d v="2024-12-31T00:00:00"/>
    <n v="15"/>
    <x v="0"/>
    <s v="Instagram"/>
    <s v="Feb-2024"/>
    <s v="Dec-2024"/>
    <x v="0"/>
    <x v="0"/>
    <s v="Medium"/>
    <x v="3"/>
  </r>
  <r>
    <s v="C0029"/>
    <x v="1"/>
    <d v="2023-02-10T00:00:00"/>
    <d v="2024-12-31T00:00:00"/>
    <n v="15"/>
    <x v="0"/>
    <s v="Instagram"/>
    <s v="Feb-2023"/>
    <s v="Dec-2024"/>
    <x v="1"/>
    <x v="4"/>
    <s v="Large"/>
    <x v="2"/>
  </r>
  <r>
    <s v="C0030"/>
    <x v="0"/>
    <d v="2023-02-01T00:00:00"/>
    <d v="2023-08-06T00:00:00"/>
    <n v="40"/>
    <x v="1"/>
    <s v="LinkedIn"/>
    <s v="Feb-2023"/>
    <s v="Aug-2023"/>
    <x v="4"/>
    <x v="2"/>
    <s v="Small"/>
    <x v="2"/>
  </r>
  <r>
    <s v="C0031"/>
    <x v="2"/>
    <d v="2020-02-29T00:00:00"/>
    <d v="2024-12-31T00:00:00"/>
    <n v="25"/>
    <x v="0"/>
    <s v="Google"/>
    <s v="Feb-2020"/>
    <s v="Dec-2024"/>
    <x v="0"/>
    <x v="4"/>
    <s v="Medium"/>
    <x v="0"/>
  </r>
  <r>
    <s v="C0032"/>
    <x v="2"/>
    <d v="2021-01-28T00:00:00"/>
    <d v="2024-12-31T00:00:00"/>
    <n v="25"/>
    <x v="0"/>
    <s v="LinkedIn"/>
    <s v="Jan-2021"/>
    <s v="Dec-2024"/>
    <x v="3"/>
    <x v="3"/>
    <s v="Large"/>
    <x v="1"/>
  </r>
  <r>
    <s v="C0033"/>
    <x v="1"/>
    <d v="2021-11-14T00:00:00"/>
    <d v="2022-07-16T00:00:00"/>
    <n v="15"/>
    <x v="1"/>
    <s v="LinkedIn"/>
    <s v="Nov-2021"/>
    <s v="Jul-2022"/>
    <x v="0"/>
    <x v="2"/>
    <s v="Large"/>
    <x v="1"/>
  </r>
  <r>
    <s v="C0034"/>
    <x v="1"/>
    <d v="2022-09-09T00:00:00"/>
    <d v="2024-12-31T00:00:00"/>
    <n v="15"/>
    <x v="0"/>
    <s v="LinkedIn"/>
    <s v="Sep-2022"/>
    <s v="Dec-2024"/>
    <x v="5"/>
    <x v="0"/>
    <s v="Large"/>
    <x v="4"/>
  </r>
  <r>
    <s v="C0035"/>
    <x v="2"/>
    <d v="2022-09-06T00:00:00"/>
    <d v="2024-12-31T00:00:00"/>
    <n v="25"/>
    <x v="0"/>
    <s v="Referral"/>
    <s v="Sep-2022"/>
    <s v="Dec-2024"/>
    <x v="4"/>
    <x v="3"/>
    <s v="Small"/>
    <x v="4"/>
  </r>
  <r>
    <s v="C0036"/>
    <x v="2"/>
    <d v="2020-08-28T00:00:00"/>
    <d v="2021-09-28T00:00:00"/>
    <n v="25"/>
    <x v="1"/>
    <s v="Referral"/>
    <s v="Aug-2020"/>
    <s v="Sep-2021"/>
    <x v="5"/>
    <x v="5"/>
    <s v="Small"/>
    <x v="0"/>
  </r>
  <r>
    <s v="C0037"/>
    <x v="0"/>
    <d v="2021-09-20T00:00:00"/>
    <d v="2024-12-31T00:00:00"/>
    <n v="40"/>
    <x v="0"/>
    <s v="Referral"/>
    <s v="Sep-2021"/>
    <s v="Dec-2024"/>
    <x v="4"/>
    <x v="1"/>
    <s v="Medium"/>
    <x v="1"/>
  </r>
  <r>
    <s v="C0038"/>
    <x v="0"/>
    <d v="2023-07-29T00:00:00"/>
    <d v="2024-12-31T00:00:00"/>
    <n v="40"/>
    <x v="1"/>
    <s v="Instagram"/>
    <s v="Jul-2023"/>
    <s v="Dec-2024"/>
    <x v="1"/>
    <x v="2"/>
    <s v="Enterprise"/>
    <x v="2"/>
  </r>
  <r>
    <s v="C0039"/>
    <x v="0"/>
    <d v="2020-11-22T00:00:00"/>
    <d v="2024-12-31T00:00:00"/>
    <n v="40"/>
    <x v="0"/>
    <s v="LinkedIn"/>
    <s v="Nov-2020"/>
    <s v="Dec-2024"/>
    <x v="4"/>
    <x v="5"/>
    <s v="Large"/>
    <x v="0"/>
  </r>
  <r>
    <s v="C0040"/>
    <x v="0"/>
    <d v="2020-06-03T00:00:00"/>
    <d v="2024-12-31T00:00:00"/>
    <n v="40"/>
    <x v="0"/>
    <s v="Instagram"/>
    <s v="Jun-2020"/>
    <s v="Dec-2024"/>
    <x v="1"/>
    <x v="3"/>
    <s v="Medium"/>
    <x v="0"/>
  </r>
  <r>
    <s v="C0041"/>
    <x v="1"/>
    <d v="2022-06-13T00:00:00"/>
    <d v="2024-03-19T00:00:00"/>
    <n v="15"/>
    <x v="1"/>
    <s v="LinkedIn"/>
    <s v="Jun-2022"/>
    <s v="Mar-2024"/>
    <x v="4"/>
    <x v="5"/>
    <s v="Small"/>
    <x v="4"/>
  </r>
  <r>
    <s v="C0042"/>
    <x v="2"/>
    <d v="2023-08-13T00:00:00"/>
    <d v="2024-12-31T00:00:00"/>
    <n v="25"/>
    <x v="1"/>
    <s v="Referral"/>
    <s v="Aug-2023"/>
    <s v="Dec-2024"/>
    <x v="5"/>
    <x v="4"/>
    <s v="Medium"/>
    <x v="2"/>
  </r>
  <r>
    <s v="C0043"/>
    <x v="0"/>
    <d v="2020-10-28T00:00:00"/>
    <d v="2022-06-09T00:00:00"/>
    <n v="40"/>
    <x v="1"/>
    <s v="Instagram"/>
    <s v="Oct-2020"/>
    <s v="Jun-2022"/>
    <x v="0"/>
    <x v="0"/>
    <s v="Large"/>
    <x v="0"/>
  </r>
  <r>
    <s v="C0044"/>
    <x v="0"/>
    <d v="2020-10-18T00:00:00"/>
    <d v="2022-06-01T00:00:00"/>
    <n v="40"/>
    <x v="1"/>
    <s v="Google"/>
    <s v="Oct-2020"/>
    <s v="Jun-2022"/>
    <x v="4"/>
    <x v="4"/>
    <s v="Medium"/>
    <x v="0"/>
  </r>
  <r>
    <s v="C0045"/>
    <x v="1"/>
    <d v="2022-11-12T00:00:00"/>
    <d v="2024-12-31T00:00:00"/>
    <n v="15"/>
    <x v="0"/>
    <s v="Referral"/>
    <s v="Nov-2022"/>
    <s v="Dec-2024"/>
    <x v="0"/>
    <x v="4"/>
    <s v="Small"/>
    <x v="4"/>
  </r>
  <r>
    <s v="C0046"/>
    <x v="2"/>
    <d v="2020-09-12T00:00:00"/>
    <d v="2021-11-01T00:00:00"/>
    <n v="25"/>
    <x v="1"/>
    <s v="LinkedIn"/>
    <s v="Sep-2020"/>
    <s v="Nov-2021"/>
    <x v="3"/>
    <x v="2"/>
    <s v="Large"/>
    <x v="0"/>
  </r>
  <r>
    <s v="C0047"/>
    <x v="2"/>
    <d v="2024-02-22T00:00:00"/>
    <d v="2024-12-31T00:00:00"/>
    <n v="25"/>
    <x v="0"/>
    <s v="LinkedIn"/>
    <s v="Feb-2024"/>
    <s v="Dec-2024"/>
    <x v="2"/>
    <x v="2"/>
    <s v="Medium"/>
    <x v="3"/>
  </r>
  <r>
    <s v="C0048"/>
    <x v="0"/>
    <d v="2022-11-02T00:00:00"/>
    <d v="2024-12-31T00:00:00"/>
    <n v="40"/>
    <x v="0"/>
    <s v="Facebook"/>
    <s v="Nov-2022"/>
    <s v="Dec-2024"/>
    <x v="1"/>
    <x v="0"/>
    <s v="Small"/>
    <x v="4"/>
  </r>
  <r>
    <s v="C0049"/>
    <x v="1"/>
    <d v="2022-06-10T00:00:00"/>
    <d v="2024-12-31T00:00:00"/>
    <n v="15"/>
    <x v="0"/>
    <s v="Instagram"/>
    <s v="Jun-2022"/>
    <s v="Dec-2024"/>
    <x v="4"/>
    <x v="4"/>
    <s v="Enterprise"/>
    <x v="4"/>
  </r>
  <r>
    <s v="C0050"/>
    <x v="2"/>
    <d v="2021-11-07T00:00:00"/>
    <d v="2024-12-31T00:00:00"/>
    <n v="25"/>
    <x v="0"/>
    <s v="Google"/>
    <s v="Nov-2021"/>
    <s v="Dec-2024"/>
    <x v="0"/>
    <x v="2"/>
    <s v="Small"/>
    <x v="1"/>
  </r>
  <r>
    <s v="C0051"/>
    <x v="1"/>
    <d v="2023-11-27T00:00:00"/>
    <d v="2024-12-31T00:00:00"/>
    <n v="15"/>
    <x v="0"/>
    <s v="Facebook"/>
    <s v="Nov-2023"/>
    <s v="Dec-2024"/>
    <x v="2"/>
    <x v="4"/>
    <s v="Small"/>
    <x v="2"/>
  </r>
  <r>
    <s v="C0052"/>
    <x v="1"/>
    <d v="2020-09-30T00:00:00"/>
    <d v="2022-08-08T00:00:00"/>
    <n v="15"/>
    <x v="1"/>
    <s v="Facebook"/>
    <s v="Sep-2020"/>
    <s v="Aug-2022"/>
    <x v="0"/>
    <x v="3"/>
    <s v="Large"/>
    <x v="0"/>
  </r>
  <r>
    <s v="C0053"/>
    <x v="0"/>
    <d v="2022-07-31T00:00:00"/>
    <d v="2023-12-30T00:00:00"/>
    <n v="40"/>
    <x v="1"/>
    <s v="Facebook"/>
    <s v="Jul-2022"/>
    <s v="Dec-2023"/>
    <x v="1"/>
    <x v="2"/>
    <s v="Medium"/>
    <x v="4"/>
  </r>
  <r>
    <s v="C0054"/>
    <x v="0"/>
    <d v="2021-12-29T00:00:00"/>
    <d v="2024-12-31T00:00:00"/>
    <n v="40"/>
    <x v="0"/>
    <s v="Facebook"/>
    <s v="Dec-2021"/>
    <s v="Dec-2024"/>
    <x v="2"/>
    <x v="5"/>
    <s v="Large"/>
    <x v="1"/>
  </r>
  <r>
    <s v="C0055"/>
    <x v="1"/>
    <d v="2024-04-12T00:00:00"/>
    <d v="2024-12-31T00:00:00"/>
    <n v="15"/>
    <x v="0"/>
    <s v="Referral"/>
    <s v="Apr-2024"/>
    <s v="Dec-2024"/>
    <x v="0"/>
    <x v="5"/>
    <s v="Large"/>
    <x v="3"/>
  </r>
  <r>
    <s v="C0056"/>
    <x v="2"/>
    <d v="2022-12-17T00:00:00"/>
    <d v="2024-12-31T00:00:00"/>
    <n v="25"/>
    <x v="0"/>
    <s v="Facebook"/>
    <s v="Dec-2022"/>
    <s v="Dec-2024"/>
    <x v="3"/>
    <x v="4"/>
    <s v="Medium"/>
    <x v="4"/>
  </r>
  <r>
    <s v="C0057"/>
    <x v="2"/>
    <d v="2024-05-29T00:00:00"/>
    <d v="2024-12-31T00:00:00"/>
    <n v="25"/>
    <x v="1"/>
    <s v="Google"/>
    <s v="May-2024"/>
    <s v="Dec-2024"/>
    <x v="2"/>
    <x v="0"/>
    <s v="Medium"/>
    <x v="3"/>
  </r>
  <r>
    <s v="C0058"/>
    <x v="1"/>
    <d v="2023-01-01T00:00:00"/>
    <d v="2024-12-31T00:00:00"/>
    <n v="15"/>
    <x v="1"/>
    <s v="Referral"/>
    <s v="Jan-2023"/>
    <s v="Dec-2024"/>
    <x v="5"/>
    <x v="3"/>
    <s v="Enterprise"/>
    <x v="2"/>
  </r>
  <r>
    <s v="C0059"/>
    <x v="0"/>
    <d v="2022-06-29T00:00:00"/>
    <d v="2024-02-16T00:00:00"/>
    <n v="40"/>
    <x v="1"/>
    <s v="LinkedIn"/>
    <s v="Jun-2022"/>
    <s v="Feb-2024"/>
    <x v="5"/>
    <x v="5"/>
    <s v="Enterprise"/>
    <x v="4"/>
  </r>
  <r>
    <s v="C0060"/>
    <x v="1"/>
    <d v="2022-04-24T00:00:00"/>
    <d v="2024-03-06T00:00:00"/>
    <n v="15"/>
    <x v="1"/>
    <s v="LinkedIn"/>
    <s v="Apr-2022"/>
    <s v="Mar-2024"/>
    <x v="5"/>
    <x v="0"/>
    <s v="Medium"/>
    <x v="4"/>
  </r>
  <r>
    <s v="C0061"/>
    <x v="0"/>
    <d v="2024-03-26T00:00:00"/>
    <d v="2024-12-31T00:00:00"/>
    <n v="40"/>
    <x v="0"/>
    <s v="Instagram"/>
    <s v="Mar-2024"/>
    <s v="Dec-2024"/>
    <x v="4"/>
    <x v="3"/>
    <s v="Enterprise"/>
    <x v="3"/>
  </r>
  <r>
    <s v="C0062"/>
    <x v="2"/>
    <d v="2021-03-24T00:00:00"/>
    <d v="2024-12-31T00:00:00"/>
    <n v="25"/>
    <x v="0"/>
    <s v="Facebook"/>
    <s v="Mar-2021"/>
    <s v="Dec-2024"/>
    <x v="3"/>
    <x v="5"/>
    <s v="Enterprise"/>
    <x v="1"/>
  </r>
  <r>
    <s v="C0063"/>
    <x v="1"/>
    <d v="2023-12-20T00:00:00"/>
    <d v="2024-12-31T00:00:00"/>
    <n v="15"/>
    <x v="1"/>
    <s v="Referral"/>
    <s v="Dec-2023"/>
    <s v="Dec-2024"/>
    <x v="0"/>
    <x v="4"/>
    <s v="Medium"/>
    <x v="2"/>
  </r>
  <r>
    <s v="C0064"/>
    <x v="2"/>
    <d v="2021-09-12T00:00:00"/>
    <d v="2024-12-31T00:00:00"/>
    <n v="25"/>
    <x v="0"/>
    <s v="Google"/>
    <s v="Sep-2021"/>
    <s v="Dec-2024"/>
    <x v="5"/>
    <x v="4"/>
    <s v="Enterprise"/>
    <x v="1"/>
  </r>
  <r>
    <s v="C0065"/>
    <x v="2"/>
    <d v="2024-04-01T00:00:00"/>
    <d v="2024-12-31T00:00:00"/>
    <n v="25"/>
    <x v="0"/>
    <s v="Google"/>
    <s v="Apr-2024"/>
    <s v="Dec-2024"/>
    <x v="3"/>
    <x v="2"/>
    <s v="Medium"/>
    <x v="3"/>
  </r>
  <r>
    <s v="C0066"/>
    <x v="0"/>
    <d v="2020-02-29T00:00:00"/>
    <d v="2024-12-31T00:00:00"/>
    <n v="40"/>
    <x v="0"/>
    <s v="Google"/>
    <s v="Feb-2020"/>
    <s v="Dec-2024"/>
    <x v="5"/>
    <x v="2"/>
    <s v="Large"/>
    <x v="0"/>
  </r>
  <r>
    <s v="C0067"/>
    <x v="1"/>
    <d v="2021-10-24T00:00:00"/>
    <d v="2024-12-31T00:00:00"/>
    <n v="15"/>
    <x v="0"/>
    <s v="Referral"/>
    <s v="Oct-2021"/>
    <s v="Dec-2024"/>
    <x v="0"/>
    <x v="3"/>
    <s v="Enterprise"/>
    <x v="1"/>
  </r>
  <r>
    <s v="C0068"/>
    <x v="1"/>
    <d v="2021-04-26T00:00:00"/>
    <d v="2024-12-31T00:00:00"/>
    <n v="15"/>
    <x v="0"/>
    <s v="Instagram"/>
    <s v="Apr-2021"/>
    <s v="Dec-2024"/>
    <x v="1"/>
    <x v="2"/>
    <s v="Small"/>
    <x v="1"/>
  </r>
  <r>
    <s v="C0069"/>
    <x v="2"/>
    <d v="2020-04-16T00:00:00"/>
    <d v="2024-12-31T00:00:00"/>
    <n v="25"/>
    <x v="0"/>
    <s v="Instagram"/>
    <s v="Apr-2020"/>
    <s v="Dec-2024"/>
    <x v="1"/>
    <x v="1"/>
    <s v="Medium"/>
    <x v="0"/>
  </r>
  <r>
    <s v="C0070"/>
    <x v="2"/>
    <d v="2021-08-09T00:00:00"/>
    <d v="2024-12-31T00:00:00"/>
    <n v="25"/>
    <x v="0"/>
    <s v="Instagram"/>
    <s v="Aug-2021"/>
    <s v="Dec-2024"/>
    <x v="5"/>
    <x v="4"/>
    <s v="Small"/>
    <x v="1"/>
  </r>
  <r>
    <s v="C0071"/>
    <x v="0"/>
    <d v="2023-03-16T00:00:00"/>
    <d v="2024-12-31T00:00:00"/>
    <n v="40"/>
    <x v="0"/>
    <s v="Facebook"/>
    <s v="Mar-2023"/>
    <s v="Dec-2024"/>
    <x v="0"/>
    <x v="2"/>
    <s v="Medium"/>
    <x v="2"/>
  </r>
  <r>
    <s v="C0072"/>
    <x v="2"/>
    <d v="2020-03-16T00:00:00"/>
    <d v="2024-12-31T00:00:00"/>
    <n v="25"/>
    <x v="0"/>
    <s v="Google"/>
    <s v="Mar-2020"/>
    <s v="Dec-2024"/>
    <x v="0"/>
    <x v="3"/>
    <s v="Small"/>
    <x v="0"/>
  </r>
  <r>
    <s v="C0073"/>
    <x v="2"/>
    <d v="2020-01-05T00:00:00"/>
    <d v="2024-12-31T00:00:00"/>
    <n v="25"/>
    <x v="0"/>
    <s v="Facebook"/>
    <s v="Jan-2020"/>
    <s v="Dec-2024"/>
    <x v="2"/>
    <x v="0"/>
    <s v="Large"/>
    <x v="0"/>
  </r>
  <r>
    <s v="C0074"/>
    <x v="0"/>
    <d v="2022-12-13T00:00:00"/>
    <d v="2024-12-31T00:00:00"/>
    <n v="40"/>
    <x v="0"/>
    <s v="Instagram"/>
    <s v="Dec-2022"/>
    <s v="Dec-2024"/>
    <x v="1"/>
    <x v="1"/>
    <s v="Small"/>
    <x v="4"/>
  </r>
  <r>
    <s v="C0075"/>
    <x v="0"/>
    <d v="2023-02-15T00:00:00"/>
    <d v="2024-12-31T00:00:00"/>
    <n v="40"/>
    <x v="0"/>
    <s v="Facebook"/>
    <s v="Feb-2023"/>
    <s v="Dec-2024"/>
    <x v="0"/>
    <x v="1"/>
    <s v="Large"/>
    <x v="2"/>
  </r>
  <r>
    <s v="C0076"/>
    <x v="2"/>
    <d v="2021-06-10T00:00:00"/>
    <d v="2024-12-31T00:00:00"/>
    <n v="25"/>
    <x v="0"/>
    <s v="Google"/>
    <s v="Jun-2021"/>
    <s v="Dec-2024"/>
    <x v="3"/>
    <x v="3"/>
    <s v="Large"/>
    <x v="1"/>
  </r>
  <r>
    <s v="C0077"/>
    <x v="0"/>
    <d v="2020-12-15T00:00:00"/>
    <d v="2024-12-31T00:00:00"/>
    <n v="40"/>
    <x v="0"/>
    <s v="Referral"/>
    <s v="Dec-2020"/>
    <s v="Dec-2024"/>
    <x v="1"/>
    <x v="3"/>
    <s v="Small"/>
    <x v="0"/>
  </r>
  <r>
    <s v="C0078"/>
    <x v="0"/>
    <d v="2021-11-22T00:00:00"/>
    <d v="2023-04-18T00:00:00"/>
    <n v="40"/>
    <x v="1"/>
    <s v="Facebook"/>
    <s v="Nov-2021"/>
    <s v="Apr-2023"/>
    <x v="0"/>
    <x v="5"/>
    <s v="Large"/>
    <x v="1"/>
  </r>
  <r>
    <s v="C0079"/>
    <x v="1"/>
    <d v="2020-01-25T00:00:00"/>
    <d v="2024-12-31T00:00:00"/>
    <n v="15"/>
    <x v="0"/>
    <s v="Instagram"/>
    <s v="Jan-2020"/>
    <s v="Dec-2024"/>
    <x v="0"/>
    <x v="2"/>
    <s v="Small"/>
    <x v="0"/>
  </r>
  <r>
    <s v="C0080"/>
    <x v="1"/>
    <d v="2024-01-02T00:00:00"/>
    <d v="2024-12-31T00:00:00"/>
    <n v="15"/>
    <x v="0"/>
    <s v="Google"/>
    <s v="Jan-2024"/>
    <s v="Dec-2024"/>
    <x v="5"/>
    <x v="2"/>
    <s v="Enterprise"/>
    <x v="3"/>
  </r>
  <r>
    <s v="C0081"/>
    <x v="0"/>
    <d v="2022-04-07T00:00:00"/>
    <d v="2024-12-31T00:00:00"/>
    <n v="40"/>
    <x v="0"/>
    <s v="Referral"/>
    <s v="Apr-2022"/>
    <s v="Dec-2024"/>
    <x v="4"/>
    <x v="1"/>
    <s v="Large"/>
    <x v="4"/>
  </r>
  <r>
    <s v="C0082"/>
    <x v="1"/>
    <d v="2020-07-11T00:00:00"/>
    <d v="2021-03-13T00:00:00"/>
    <n v="15"/>
    <x v="1"/>
    <s v="LinkedIn"/>
    <s v="Jul-2020"/>
    <s v="Mar-2021"/>
    <x v="3"/>
    <x v="2"/>
    <s v="Enterprise"/>
    <x v="0"/>
  </r>
  <r>
    <s v="C0083"/>
    <x v="1"/>
    <d v="2022-03-02T00:00:00"/>
    <d v="2024-12-31T00:00:00"/>
    <n v="15"/>
    <x v="0"/>
    <s v="Referral"/>
    <s v="Mar-2022"/>
    <s v="Dec-2024"/>
    <x v="2"/>
    <x v="0"/>
    <s v="Medium"/>
    <x v="4"/>
  </r>
  <r>
    <s v="C0084"/>
    <x v="1"/>
    <d v="2021-05-24T00:00:00"/>
    <d v="2021-09-09T00:00:00"/>
    <n v="15"/>
    <x v="1"/>
    <s v="Facebook"/>
    <s v="May-2021"/>
    <s v="Sep-2021"/>
    <x v="3"/>
    <x v="4"/>
    <s v="Medium"/>
    <x v="1"/>
  </r>
  <r>
    <s v="C0085"/>
    <x v="0"/>
    <d v="2021-07-01T00:00:00"/>
    <d v="2024-12-31T00:00:00"/>
    <n v="40"/>
    <x v="0"/>
    <s v="Instagram"/>
    <s v="Jul-2021"/>
    <s v="Dec-2024"/>
    <x v="3"/>
    <x v="2"/>
    <s v="Small"/>
    <x v="1"/>
  </r>
  <r>
    <s v="C0086"/>
    <x v="2"/>
    <d v="2021-10-18T00:00:00"/>
    <d v="2022-12-04T00:00:00"/>
    <n v="25"/>
    <x v="1"/>
    <s v="Google"/>
    <s v="Oct-2021"/>
    <s v="Dec-2022"/>
    <x v="3"/>
    <x v="0"/>
    <s v="Medium"/>
    <x v="1"/>
  </r>
  <r>
    <s v="C0087"/>
    <x v="0"/>
    <d v="2023-09-18T00:00:00"/>
    <d v="2024-12-31T00:00:00"/>
    <n v="40"/>
    <x v="0"/>
    <s v="Google"/>
    <s v="Sep-2023"/>
    <s v="Dec-2024"/>
    <x v="3"/>
    <x v="1"/>
    <s v="Large"/>
    <x v="2"/>
  </r>
  <r>
    <s v="C0088"/>
    <x v="0"/>
    <d v="2022-05-10T00:00:00"/>
    <d v="2024-06-09T00:00:00"/>
    <n v="40"/>
    <x v="1"/>
    <s v="Referral"/>
    <s v="May-2022"/>
    <s v="Jun-2024"/>
    <x v="1"/>
    <x v="2"/>
    <s v="Large"/>
    <x v="4"/>
  </r>
  <r>
    <s v="C0089"/>
    <x v="2"/>
    <d v="2020-11-08T00:00:00"/>
    <d v="2024-12-31T00:00:00"/>
    <n v="25"/>
    <x v="0"/>
    <s v="Google"/>
    <s v="Nov-2020"/>
    <s v="Dec-2024"/>
    <x v="2"/>
    <x v="1"/>
    <s v="Medium"/>
    <x v="0"/>
  </r>
  <r>
    <s v="C0090"/>
    <x v="2"/>
    <d v="2021-02-21T00:00:00"/>
    <d v="2021-11-06T00:00:00"/>
    <n v="25"/>
    <x v="1"/>
    <s v="Facebook"/>
    <s v="Feb-2021"/>
    <s v="Nov-2021"/>
    <x v="3"/>
    <x v="5"/>
    <s v="Enterprise"/>
    <x v="1"/>
  </r>
  <r>
    <s v="C0091"/>
    <x v="1"/>
    <d v="2022-03-23T00:00:00"/>
    <d v="2024-05-23T00:00:00"/>
    <n v="15"/>
    <x v="1"/>
    <s v="Facebook"/>
    <s v="Mar-2022"/>
    <s v="May-2024"/>
    <x v="1"/>
    <x v="1"/>
    <s v="Large"/>
    <x v="4"/>
  </r>
  <r>
    <s v="C0092"/>
    <x v="2"/>
    <d v="2024-01-13T00:00:00"/>
    <d v="2024-12-31T00:00:00"/>
    <n v="25"/>
    <x v="0"/>
    <s v="Facebook"/>
    <s v="Jan-2024"/>
    <s v="Dec-2024"/>
    <x v="3"/>
    <x v="1"/>
    <s v="Medium"/>
    <x v="3"/>
  </r>
  <r>
    <s v="C0093"/>
    <x v="0"/>
    <d v="2023-09-25T00:00:00"/>
    <d v="2024-12-31T00:00:00"/>
    <n v="40"/>
    <x v="0"/>
    <s v="Referral"/>
    <s v="Sep-2023"/>
    <s v="Dec-2024"/>
    <x v="5"/>
    <x v="2"/>
    <s v="Large"/>
    <x v="2"/>
  </r>
  <r>
    <s v="C0094"/>
    <x v="2"/>
    <d v="2020-08-14T00:00:00"/>
    <d v="2024-12-31T00:00:00"/>
    <n v="25"/>
    <x v="0"/>
    <s v="LinkedIn"/>
    <s v="Aug-2020"/>
    <s v="Dec-2024"/>
    <x v="5"/>
    <x v="1"/>
    <s v="Small"/>
    <x v="0"/>
  </r>
  <r>
    <s v="C0095"/>
    <x v="2"/>
    <d v="2020-03-14T00:00:00"/>
    <d v="2024-12-31T00:00:00"/>
    <n v="25"/>
    <x v="0"/>
    <s v="Instagram"/>
    <s v="Mar-2020"/>
    <s v="Dec-2024"/>
    <x v="5"/>
    <x v="4"/>
    <s v="Large"/>
    <x v="0"/>
  </r>
  <r>
    <s v="C0096"/>
    <x v="1"/>
    <d v="2021-02-23T00:00:00"/>
    <d v="2024-12-31T00:00:00"/>
    <n v="15"/>
    <x v="0"/>
    <s v="Facebook"/>
    <s v="Feb-2021"/>
    <s v="Dec-2024"/>
    <x v="1"/>
    <x v="3"/>
    <s v="Medium"/>
    <x v="1"/>
  </r>
  <r>
    <s v="C0097"/>
    <x v="2"/>
    <d v="2020-08-25T00:00:00"/>
    <d v="2024-12-31T00:00:00"/>
    <n v="25"/>
    <x v="0"/>
    <s v="Facebook"/>
    <s v="Aug-2020"/>
    <s v="Dec-2024"/>
    <x v="3"/>
    <x v="2"/>
    <s v="Medium"/>
    <x v="0"/>
  </r>
  <r>
    <s v="C0098"/>
    <x v="2"/>
    <d v="2024-05-03T00:00:00"/>
    <d v="2024-12-31T00:00:00"/>
    <n v="25"/>
    <x v="1"/>
    <s v="Facebook"/>
    <s v="May-2024"/>
    <s v="Dec-2024"/>
    <x v="1"/>
    <x v="1"/>
    <s v="Enterprise"/>
    <x v="3"/>
  </r>
  <r>
    <s v="C0099"/>
    <x v="1"/>
    <d v="2022-09-12T00:00:00"/>
    <d v="2024-12-31T00:00:00"/>
    <n v="15"/>
    <x v="0"/>
    <s v="Google"/>
    <s v="Sep-2022"/>
    <s v="Dec-2024"/>
    <x v="3"/>
    <x v="2"/>
    <s v="Enterprise"/>
    <x v="4"/>
  </r>
  <r>
    <s v="C0100"/>
    <x v="2"/>
    <d v="2020-08-14T00:00:00"/>
    <d v="2024-12-31T00:00:00"/>
    <n v="25"/>
    <x v="0"/>
    <s v="Instagram"/>
    <s v="Aug-2020"/>
    <s v="Dec-2024"/>
    <x v="0"/>
    <x v="4"/>
    <s v="Medium"/>
    <x v="0"/>
  </r>
  <r>
    <s v="C0101"/>
    <x v="0"/>
    <d v="2020-08-05T00:00:00"/>
    <d v="2024-12-31T00:00:00"/>
    <n v="40"/>
    <x v="0"/>
    <s v="Facebook"/>
    <s v="Aug-2020"/>
    <s v="Dec-2024"/>
    <x v="3"/>
    <x v="1"/>
    <s v="Medium"/>
    <x v="0"/>
  </r>
  <r>
    <s v="C0102"/>
    <x v="0"/>
    <d v="2023-12-18T00:00:00"/>
    <d v="2024-12-31T00:00:00"/>
    <n v="40"/>
    <x v="0"/>
    <s v="Referral"/>
    <s v="Dec-2023"/>
    <s v="Dec-2024"/>
    <x v="0"/>
    <x v="2"/>
    <s v="Enterprise"/>
    <x v="2"/>
  </r>
  <r>
    <s v="C0103"/>
    <x v="2"/>
    <d v="2021-03-10T00:00:00"/>
    <d v="2021-09-16T00:00:00"/>
    <n v="25"/>
    <x v="1"/>
    <s v="Google"/>
    <s v="Mar-2021"/>
    <s v="Sep-2021"/>
    <x v="4"/>
    <x v="1"/>
    <s v="Small"/>
    <x v="1"/>
  </r>
  <r>
    <s v="C0104"/>
    <x v="0"/>
    <d v="2024-03-20T00:00:00"/>
    <d v="2024-12-31T00:00:00"/>
    <n v="40"/>
    <x v="0"/>
    <s v="Facebook"/>
    <s v="Mar-2024"/>
    <s v="Dec-2024"/>
    <x v="3"/>
    <x v="2"/>
    <s v="Small"/>
    <x v="3"/>
  </r>
  <r>
    <s v="C0105"/>
    <x v="2"/>
    <d v="2020-05-04T00:00:00"/>
    <d v="2024-12-31T00:00:00"/>
    <n v="25"/>
    <x v="0"/>
    <s v="Facebook"/>
    <s v="May-2020"/>
    <s v="Dec-2024"/>
    <x v="3"/>
    <x v="4"/>
    <s v="Enterprise"/>
    <x v="0"/>
  </r>
  <r>
    <s v="C0106"/>
    <x v="2"/>
    <d v="2024-06-17T00:00:00"/>
    <d v="2024-12-31T00:00:00"/>
    <n v="25"/>
    <x v="1"/>
    <s v="Instagram"/>
    <s v="Jun-2024"/>
    <s v="Dec-2024"/>
    <x v="0"/>
    <x v="4"/>
    <s v="Medium"/>
    <x v="3"/>
  </r>
  <r>
    <s v="C0107"/>
    <x v="0"/>
    <d v="2020-11-11T00:00:00"/>
    <d v="2021-02-12T00:00:00"/>
    <n v="40"/>
    <x v="1"/>
    <s v="Google"/>
    <s v="Nov-2020"/>
    <s v="Feb-2021"/>
    <x v="1"/>
    <x v="5"/>
    <s v="Large"/>
    <x v="0"/>
  </r>
  <r>
    <s v="C0108"/>
    <x v="0"/>
    <d v="2022-01-25T00:00:00"/>
    <d v="2024-12-31T00:00:00"/>
    <n v="40"/>
    <x v="0"/>
    <s v="Referral"/>
    <s v="Jan-2022"/>
    <s v="Dec-2024"/>
    <x v="5"/>
    <x v="2"/>
    <s v="Enterprise"/>
    <x v="4"/>
  </r>
  <r>
    <s v="C0109"/>
    <x v="1"/>
    <d v="2021-11-21T00:00:00"/>
    <d v="2024-12-31T00:00:00"/>
    <n v="15"/>
    <x v="0"/>
    <s v="Facebook"/>
    <s v="Nov-2021"/>
    <s v="Dec-2024"/>
    <x v="0"/>
    <x v="1"/>
    <s v="Large"/>
    <x v="1"/>
  </r>
  <r>
    <s v="C0110"/>
    <x v="0"/>
    <d v="2023-04-15T00:00:00"/>
    <d v="2024-12-31T00:00:00"/>
    <n v="40"/>
    <x v="0"/>
    <s v="Instagram"/>
    <s v="Apr-2023"/>
    <s v="Dec-2024"/>
    <x v="5"/>
    <x v="2"/>
    <s v="Large"/>
    <x v="2"/>
  </r>
  <r>
    <s v="C0111"/>
    <x v="2"/>
    <d v="2022-12-11T00:00:00"/>
    <d v="2023-08-31T00:00:00"/>
    <n v="25"/>
    <x v="1"/>
    <s v="Instagram"/>
    <s v="Dec-2022"/>
    <s v="Aug-2023"/>
    <x v="5"/>
    <x v="0"/>
    <s v="Enterprise"/>
    <x v="4"/>
  </r>
  <r>
    <s v="C0112"/>
    <x v="1"/>
    <d v="2023-08-25T00:00:00"/>
    <d v="2024-09-18T00:00:00"/>
    <n v="15"/>
    <x v="1"/>
    <s v="Referral"/>
    <s v="Aug-2023"/>
    <s v="Sep-2024"/>
    <x v="2"/>
    <x v="1"/>
    <s v="Medium"/>
    <x v="2"/>
  </r>
  <r>
    <s v="C0113"/>
    <x v="2"/>
    <d v="2024-04-08T00:00:00"/>
    <d v="2024-12-31T00:00:00"/>
    <n v="25"/>
    <x v="1"/>
    <s v="Google"/>
    <s v="Apr-2024"/>
    <s v="Dec-2024"/>
    <x v="4"/>
    <x v="0"/>
    <s v="Enterprise"/>
    <x v="3"/>
  </r>
  <r>
    <s v="C0114"/>
    <x v="2"/>
    <d v="2020-04-10T00:00:00"/>
    <d v="2024-12-31T00:00:00"/>
    <n v="25"/>
    <x v="0"/>
    <s v="Facebook"/>
    <s v="Apr-2020"/>
    <s v="Dec-2024"/>
    <x v="0"/>
    <x v="4"/>
    <s v="Small"/>
    <x v="0"/>
  </r>
  <r>
    <s v="C0115"/>
    <x v="0"/>
    <d v="2020-11-06T00:00:00"/>
    <d v="2024-12-31T00:00:00"/>
    <n v="40"/>
    <x v="0"/>
    <s v="Referral"/>
    <s v="Nov-2020"/>
    <s v="Dec-2024"/>
    <x v="1"/>
    <x v="4"/>
    <s v="Enterprise"/>
    <x v="0"/>
  </r>
  <r>
    <s v="C0116"/>
    <x v="0"/>
    <d v="2021-08-05T00:00:00"/>
    <d v="2024-12-31T00:00:00"/>
    <n v="40"/>
    <x v="0"/>
    <s v="Facebook"/>
    <s v="Aug-2021"/>
    <s v="Dec-2024"/>
    <x v="0"/>
    <x v="1"/>
    <s v="Medium"/>
    <x v="1"/>
  </r>
  <r>
    <s v="C0117"/>
    <x v="2"/>
    <d v="2024-03-19T00:00:00"/>
    <d v="2024-12-31T00:00:00"/>
    <n v="25"/>
    <x v="1"/>
    <s v="Google"/>
    <s v="Mar-2024"/>
    <s v="Dec-2024"/>
    <x v="2"/>
    <x v="4"/>
    <s v="Small"/>
    <x v="3"/>
  </r>
  <r>
    <s v="C0118"/>
    <x v="2"/>
    <d v="2024-04-13T00:00:00"/>
    <d v="2024-12-31T00:00:00"/>
    <n v="25"/>
    <x v="1"/>
    <s v="Instagram"/>
    <s v="Apr-2024"/>
    <s v="Dec-2024"/>
    <x v="1"/>
    <x v="3"/>
    <s v="Medium"/>
    <x v="3"/>
  </r>
  <r>
    <s v="C0119"/>
    <x v="2"/>
    <d v="2023-12-03T00:00:00"/>
    <d v="2024-12-31T00:00:00"/>
    <n v="25"/>
    <x v="0"/>
    <s v="Instagram"/>
    <s v="Dec-2023"/>
    <s v="Dec-2024"/>
    <x v="2"/>
    <x v="3"/>
    <s v="Large"/>
    <x v="2"/>
  </r>
  <r>
    <s v="C0120"/>
    <x v="2"/>
    <d v="2023-02-14T00:00:00"/>
    <d v="2024-12-31T00:00:00"/>
    <n v="25"/>
    <x v="0"/>
    <s v="Referral"/>
    <s v="Feb-2023"/>
    <s v="Dec-2024"/>
    <x v="5"/>
    <x v="5"/>
    <s v="Medium"/>
    <x v="2"/>
  </r>
  <r>
    <s v="C0121"/>
    <x v="0"/>
    <d v="2021-06-06T00:00:00"/>
    <d v="2024-12-31T00:00:00"/>
    <n v="40"/>
    <x v="0"/>
    <s v="Facebook"/>
    <s v="Jun-2021"/>
    <s v="Dec-2024"/>
    <x v="3"/>
    <x v="1"/>
    <s v="Enterprise"/>
    <x v="1"/>
  </r>
  <r>
    <s v="C0122"/>
    <x v="0"/>
    <d v="2023-05-06T00:00:00"/>
    <d v="2024-12-31T00:00:00"/>
    <n v="40"/>
    <x v="0"/>
    <s v="Google"/>
    <s v="May-2023"/>
    <s v="Dec-2024"/>
    <x v="1"/>
    <x v="1"/>
    <s v="Small"/>
    <x v="2"/>
  </r>
  <r>
    <s v="C0123"/>
    <x v="0"/>
    <d v="2024-04-07T00:00:00"/>
    <d v="2024-12-31T00:00:00"/>
    <n v="40"/>
    <x v="1"/>
    <s v="Google"/>
    <s v="Apr-2024"/>
    <s v="Dec-2024"/>
    <x v="3"/>
    <x v="5"/>
    <s v="Small"/>
    <x v="3"/>
  </r>
  <r>
    <s v="C0124"/>
    <x v="0"/>
    <d v="2024-04-13T00:00:00"/>
    <d v="2024-12-31T00:00:00"/>
    <n v="40"/>
    <x v="0"/>
    <s v="Facebook"/>
    <s v="Apr-2024"/>
    <s v="Dec-2024"/>
    <x v="5"/>
    <x v="0"/>
    <s v="Enterprise"/>
    <x v="3"/>
  </r>
  <r>
    <s v="C0125"/>
    <x v="0"/>
    <d v="2023-12-19T00:00:00"/>
    <d v="2024-12-31T00:00:00"/>
    <n v="40"/>
    <x v="0"/>
    <s v="Referral"/>
    <s v="Dec-2023"/>
    <s v="Dec-2024"/>
    <x v="0"/>
    <x v="3"/>
    <s v="Small"/>
    <x v="2"/>
  </r>
  <r>
    <s v="C0126"/>
    <x v="0"/>
    <d v="2022-03-26T00:00:00"/>
    <d v="2024-12-31T00:00:00"/>
    <n v="40"/>
    <x v="0"/>
    <s v="Instagram"/>
    <s v="Mar-2022"/>
    <s v="Dec-2024"/>
    <x v="4"/>
    <x v="3"/>
    <s v="Small"/>
    <x v="4"/>
  </r>
  <r>
    <s v="C0127"/>
    <x v="2"/>
    <d v="2021-03-16T00:00:00"/>
    <d v="2022-11-01T00:00:00"/>
    <n v="25"/>
    <x v="1"/>
    <s v="Google"/>
    <s v="Mar-2021"/>
    <s v="Nov-2022"/>
    <x v="3"/>
    <x v="5"/>
    <s v="Large"/>
    <x v="1"/>
  </r>
  <r>
    <s v="C0128"/>
    <x v="1"/>
    <d v="2022-04-02T00:00:00"/>
    <d v="2024-12-31T00:00:00"/>
    <n v="15"/>
    <x v="0"/>
    <s v="Facebook"/>
    <s v="Apr-2022"/>
    <s v="Dec-2024"/>
    <x v="0"/>
    <x v="3"/>
    <s v="Medium"/>
    <x v="4"/>
  </r>
  <r>
    <s v="C0129"/>
    <x v="2"/>
    <d v="2022-11-30T00:00:00"/>
    <d v="2024-12-31T00:00:00"/>
    <n v="25"/>
    <x v="1"/>
    <s v="LinkedIn"/>
    <s v="Nov-2022"/>
    <s v="Dec-2024"/>
    <x v="4"/>
    <x v="1"/>
    <s v="Small"/>
    <x v="4"/>
  </r>
  <r>
    <s v="C0130"/>
    <x v="0"/>
    <d v="2023-08-16T00:00:00"/>
    <d v="2024-12-31T00:00:00"/>
    <n v="40"/>
    <x v="0"/>
    <s v="Instagram"/>
    <s v="Aug-2023"/>
    <s v="Dec-2024"/>
    <x v="4"/>
    <x v="3"/>
    <s v="Enterprise"/>
    <x v="2"/>
  </r>
  <r>
    <s v="C0131"/>
    <x v="0"/>
    <d v="2023-02-04T00:00:00"/>
    <d v="2024-12-31T00:00:00"/>
    <n v="40"/>
    <x v="0"/>
    <s v="Google"/>
    <s v="Feb-2023"/>
    <s v="Dec-2024"/>
    <x v="3"/>
    <x v="5"/>
    <s v="Medium"/>
    <x v="2"/>
  </r>
  <r>
    <s v="C0132"/>
    <x v="0"/>
    <d v="2021-05-22T00:00:00"/>
    <d v="2024-12-31T00:00:00"/>
    <n v="40"/>
    <x v="0"/>
    <s v="Google"/>
    <s v="May-2021"/>
    <s v="Dec-2024"/>
    <x v="1"/>
    <x v="5"/>
    <s v="Enterprise"/>
    <x v="1"/>
  </r>
  <r>
    <s v="C0133"/>
    <x v="1"/>
    <d v="2023-03-06T00:00:00"/>
    <d v="2024-12-31T00:00:00"/>
    <n v="15"/>
    <x v="1"/>
    <s v="LinkedIn"/>
    <s v="Mar-2023"/>
    <s v="Dec-2024"/>
    <x v="3"/>
    <x v="0"/>
    <s v="Medium"/>
    <x v="2"/>
  </r>
  <r>
    <s v="C0134"/>
    <x v="1"/>
    <d v="2023-07-08T00:00:00"/>
    <d v="2024-12-31T00:00:00"/>
    <n v="15"/>
    <x v="0"/>
    <s v="Google"/>
    <s v="Jul-2023"/>
    <s v="Dec-2024"/>
    <x v="2"/>
    <x v="0"/>
    <s v="Medium"/>
    <x v="2"/>
  </r>
  <r>
    <s v="C0135"/>
    <x v="1"/>
    <d v="2022-08-28T00:00:00"/>
    <d v="2024-12-31T00:00:00"/>
    <n v="15"/>
    <x v="0"/>
    <s v="Instagram"/>
    <s v="Aug-2022"/>
    <s v="Dec-2024"/>
    <x v="1"/>
    <x v="3"/>
    <s v="Enterprise"/>
    <x v="4"/>
  </r>
  <r>
    <s v="C0136"/>
    <x v="0"/>
    <d v="2024-06-10T00:00:00"/>
    <d v="2024-12-31T00:00:00"/>
    <n v="40"/>
    <x v="0"/>
    <s v="Facebook"/>
    <s v="Jun-2024"/>
    <s v="Dec-2024"/>
    <x v="0"/>
    <x v="3"/>
    <s v="Small"/>
    <x v="3"/>
  </r>
  <r>
    <s v="C0137"/>
    <x v="0"/>
    <d v="2022-05-11T00:00:00"/>
    <d v="2024-12-31T00:00:00"/>
    <n v="40"/>
    <x v="0"/>
    <s v="Google"/>
    <s v="May-2022"/>
    <s v="Dec-2024"/>
    <x v="1"/>
    <x v="4"/>
    <s v="Enterprise"/>
    <x v="4"/>
  </r>
  <r>
    <s v="C0138"/>
    <x v="0"/>
    <d v="2020-06-18T00:00:00"/>
    <d v="2021-10-11T00:00:00"/>
    <n v="40"/>
    <x v="1"/>
    <s v="Referral"/>
    <s v="Jun-2020"/>
    <s v="Oct-2021"/>
    <x v="0"/>
    <x v="4"/>
    <s v="Medium"/>
    <x v="0"/>
  </r>
  <r>
    <s v="C0139"/>
    <x v="0"/>
    <d v="2020-08-26T00:00:00"/>
    <d v="2024-12-31T00:00:00"/>
    <n v="40"/>
    <x v="0"/>
    <s v="Facebook"/>
    <s v="Aug-2020"/>
    <s v="Dec-2024"/>
    <x v="1"/>
    <x v="2"/>
    <s v="Small"/>
    <x v="0"/>
  </r>
  <r>
    <s v="C0140"/>
    <x v="0"/>
    <d v="2021-11-01T00:00:00"/>
    <d v="2024-01-01T00:00:00"/>
    <n v="40"/>
    <x v="1"/>
    <s v="Referral"/>
    <s v="Nov-2021"/>
    <s v="Jan-2024"/>
    <x v="1"/>
    <x v="5"/>
    <s v="Large"/>
    <x v="1"/>
  </r>
  <r>
    <s v="C0141"/>
    <x v="2"/>
    <d v="2023-09-10T00:00:00"/>
    <d v="2024-12-31T00:00:00"/>
    <n v="25"/>
    <x v="0"/>
    <s v="Referral"/>
    <s v="Sep-2023"/>
    <s v="Dec-2024"/>
    <x v="3"/>
    <x v="0"/>
    <s v="Medium"/>
    <x v="2"/>
  </r>
  <r>
    <s v="C0142"/>
    <x v="0"/>
    <d v="2022-07-19T00:00:00"/>
    <d v="2024-09-26T00:00:00"/>
    <n v="40"/>
    <x v="1"/>
    <s v="Google"/>
    <s v="Jul-2022"/>
    <s v="Sep-2024"/>
    <x v="4"/>
    <x v="2"/>
    <s v="Large"/>
    <x v="4"/>
  </r>
  <r>
    <s v="C0143"/>
    <x v="2"/>
    <d v="2021-03-06T00:00:00"/>
    <d v="2024-12-31T00:00:00"/>
    <n v="25"/>
    <x v="0"/>
    <s v="LinkedIn"/>
    <s v="Mar-2021"/>
    <s v="Dec-2024"/>
    <x v="2"/>
    <x v="1"/>
    <s v="Small"/>
    <x v="1"/>
  </r>
  <r>
    <s v="C0144"/>
    <x v="0"/>
    <d v="2022-06-11T00:00:00"/>
    <d v="2024-05-29T00:00:00"/>
    <n v="40"/>
    <x v="1"/>
    <s v="Facebook"/>
    <s v="Jun-2022"/>
    <s v="May-2024"/>
    <x v="0"/>
    <x v="3"/>
    <s v="Enterprise"/>
    <x v="4"/>
  </r>
  <r>
    <s v="C0145"/>
    <x v="2"/>
    <d v="2021-01-13T00:00:00"/>
    <d v="2022-08-06T00:00:00"/>
    <n v="25"/>
    <x v="1"/>
    <s v="LinkedIn"/>
    <s v="Jan-2021"/>
    <s v="Aug-2022"/>
    <x v="4"/>
    <x v="1"/>
    <s v="Medium"/>
    <x v="1"/>
  </r>
  <r>
    <s v="C0146"/>
    <x v="2"/>
    <d v="2024-06-13T00:00:00"/>
    <d v="2024-12-31T00:00:00"/>
    <n v="25"/>
    <x v="1"/>
    <s v="Facebook"/>
    <s v="Jun-2024"/>
    <s v="Dec-2024"/>
    <x v="4"/>
    <x v="4"/>
    <s v="Large"/>
    <x v="3"/>
  </r>
  <r>
    <s v="C0147"/>
    <x v="2"/>
    <d v="2024-04-02T00:00:00"/>
    <d v="2024-12-31T00:00:00"/>
    <n v="25"/>
    <x v="0"/>
    <s v="LinkedIn"/>
    <s v="Apr-2024"/>
    <s v="Dec-2024"/>
    <x v="0"/>
    <x v="0"/>
    <s v="Medium"/>
    <x v="3"/>
  </r>
  <r>
    <s v="C0148"/>
    <x v="1"/>
    <d v="2024-05-23T00:00:00"/>
    <d v="2024-12-31T00:00:00"/>
    <n v="15"/>
    <x v="0"/>
    <s v="Referral"/>
    <s v="May-2024"/>
    <s v="Dec-2024"/>
    <x v="3"/>
    <x v="3"/>
    <s v="Small"/>
    <x v="3"/>
  </r>
  <r>
    <s v="C0149"/>
    <x v="0"/>
    <d v="2021-08-24T00:00:00"/>
    <d v="2024-12-31T00:00:00"/>
    <n v="40"/>
    <x v="0"/>
    <s v="LinkedIn"/>
    <s v="Aug-2021"/>
    <s v="Dec-2024"/>
    <x v="1"/>
    <x v="3"/>
    <s v="Enterprise"/>
    <x v="1"/>
  </r>
  <r>
    <s v="C0150"/>
    <x v="0"/>
    <d v="2021-02-23T00:00:00"/>
    <d v="2024-12-31T00:00:00"/>
    <n v="40"/>
    <x v="0"/>
    <s v="LinkedIn"/>
    <s v="Feb-2021"/>
    <s v="Dec-2024"/>
    <x v="2"/>
    <x v="0"/>
    <s v="Enterprise"/>
    <x v="1"/>
  </r>
  <r>
    <s v="C0151"/>
    <x v="2"/>
    <d v="2022-11-01T00:00:00"/>
    <d v="2024-12-31T00:00:00"/>
    <n v="25"/>
    <x v="0"/>
    <s v="Referral"/>
    <s v="Nov-2022"/>
    <s v="Dec-2024"/>
    <x v="1"/>
    <x v="0"/>
    <s v="Medium"/>
    <x v="4"/>
  </r>
  <r>
    <s v="C0152"/>
    <x v="1"/>
    <d v="2021-11-24T00:00:00"/>
    <d v="2023-04-24T00:00:00"/>
    <n v="15"/>
    <x v="1"/>
    <s v="LinkedIn"/>
    <s v="Nov-2021"/>
    <s v="Apr-2023"/>
    <x v="2"/>
    <x v="2"/>
    <s v="Enterprise"/>
    <x v="1"/>
  </r>
  <r>
    <s v="C0153"/>
    <x v="2"/>
    <d v="2023-01-29T00:00:00"/>
    <d v="2024-12-31T00:00:00"/>
    <n v="25"/>
    <x v="0"/>
    <s v="Google"/>
    <s v="Jan-2023"/>
    <s v="Dec-2024"/>
    <x v="3"/>
    <x v="5"/>
    <s v="Enterprise"/>
    <x v="2"/>
  </r>
  <r>
    <s v="C0154"/>
    <x v="2"/>
    <d v="2021-12-08T00:00:00"/>
    <d v="2024-12-31T00:00:00"/>
    <n v="25"/>
    <x v="0"/>
    <s v="Referral"/>
    <s v="Dec-2021"/>
    <s v="Dec-2024"/>
    <x v="3"/>
    <x v="1"/>
    <s v="Enterprise"/>
    <x v="1"/>
  </r>
  <r>
    <s v="C0155"/>
    <x v="0"/>
    <d v="2024-04-07T00:00:00"/>
    <d v="2024-12-31T00:00:00"/>
    <n v="40"/>
    <x v="0"/>
    <s v="LinkedIn"/>
    <s v="Apr-2024"/>
    <s v="Dec-2024"/>
    <x v="5"/>
    <x v="5"/>
    <s v="Enterprise"/>
    <x v="3"/>
  </r>
  <r>
    <s v="C0156"/>
    <x v="2"/>
    <d v="2021-01-23T00:00:00"/>
    <d v="2021-06-24T00:00:00"/>
    <n v="25"/>
    <x v="1"/>
    <s v="Google"/>
    <s v="Jan-2021"/>
    <s v="Jun-2021"/>
    <x v="4"/>
    <x v="1"/>
    <s v="Small"/>
    <x v="1"/>
  </r>
  <r>
    <s v="C0157"/>
    <x v="1"/>
    <d v="2022-07-23T00:00:00"/>
    <d v="2024-12-31T00:00:00"/>
    <n v="15"/>
    <x v="0"/>
    <s v="LinkedIn"/>
    <s v="Jul-2022"/>
    <s v="Dec-2024"/>
    <x v="4"/>
    <x v="2"/>
    <s v="Medium"/>
    <x v="4"/>
  </r>
  <r>
    <s v="C0158"/>
    <x v="1"/>
    <d v="2021-07-18T00:00:00"/>
    <d v="2024-12-31T00:00:00"/>
    <n v="15"/>
    <x v="0"/>
    <s v="Google"/>
    <s v="Jul-2021"/>
    <s v="Dec-2024"/>
    <x v="1"/>
    <x v="2"/>
    <s v="Small"/>
    <x v="1"/>
  </r>
  <r>
    <s v="C0159"/>
    <x v="2"/>
    <d v="2023-05-30T00:00:00"/>
    <d v="2024-12-31T00:00:00"/>
    <n v="25"/>
    <x v="1"/>
    <s v="Google"/>
    <s v="May-2023"/>
    <s v="Dec-2024"/>
    <x v="2"/>
    <x v="4"/>
    <s v="Large"/>
    <x v="2"/>
  </r>
  <r>
    <s v="C0160"/>
    <x v="0"/>
    <d v="2020-01-29T00:00:00"/>
    <d v="2024-12-31T00:00:00"/>
    <n v="40"/>
    <x v="0"/>
    <s v="LinkedIn"/>
    <s v="Jan-2020"/>
    <s v="Dec-2024"/>
    <x v="2"/>
    <x v="0"/>
    <s v="Enterprise"/>
    <x v="0"/>
  </r>
  <r>
    <s v="C0161"/>
    <x v="2"/>
    <d v="2023-04-18T00:00:00"/>
    <d v="2024-12-31T00:00:00"/>
    <n v="25"/>
    <x v="0"/>
    <s v="Facebook"/>
    <s v="Apr-2023"/>
    <s v="Dec-2024"/>
    <x v="2"/>
    <x v="2"/>
    <s v="Small"/>
    <x v="2"/>
  </r>
  <r>
    <s v="C0162"/>
    <x v="2"/>
    <d v="2023-11-24T00:00:00"/>
    <d v="2024-12-31T00:00:00"/>
    <n v="25"/>
    <x v="0"/>
    <s v="Facebook"/>
    <s v="Nov-2023"/>
    <s v="Dec-2024"/>
    <x v="5"/>
    <x v="3"/>
    <s v="Medium"/>
    <x v="2"/>
  </r>
  <r>
    <s v="C0163"/>
    <x v="0"/>
    <d v="2021-12-02T00:00:00"/>
    <d v="2024-12-31T00:00:00"/>
    <n v="40"/>
    <x v="0"/>
    <s v="Instagram"/>
    <s v="Dec-2021"/>
    <s v="Dec-2024"/>
    <x v="2"/>
    <x v="4"/>
    <s v="Small"/>
    <x v="1"/>
  </r>
  <r>
    <s v="C0164"/>
    <x v="2"/>
    <d v="2023-10-23T00:00:00"/>
    <d v="2024-12-31T00:00:00"/>
    <n v="25"/>
    <x v="0"/>
    <s v="Google"/>
    <s v="Oct-2023"/>
    <s v="Dec-2024"/>
    <x v="1"/>
    <x v="4"/>
    <s v="Enterprise"/>
    <x v="2"/>
  </r>
  <r>
    <s v="C0165"/>
    <x v="0"/>
    <d v="2024-05-08T00:00:00"/>
    <d v="2024-12-31T00:00:00"/>
    <n v="40"/>
    <x v="0"/>
    <s v="Instagram"/>
    <s v="May-2024"/>
    <s v="Dec-2024"/>
    <x v="1"/>
    <x v="1"/>
    <s v="Small"/>
    <x v="3"/>
  </r>
  <r>
    <s v="C0166"/>
    <x v="0"/>
    <d v="2023-04-08T00:00:00"/>
    <d v="2024-12-31T00:00:00"/>
    <n v="40"/>
    <x v="0"/>
    <s v="Referral"/>
    <s v="Apr-2023"/>
    <s v="Dec-2024"/>
    <x v="2"/>
    <x v="5"/>
    <s v="Large"/>
    <x v="2"/>
  </r>
  <r>
    <s v="C0167"/>
    <x v="1"/>
    <d v="2023-11-23T00:00:00"/>
    <d v="2024-12-31T00:00:00"/>
    <n v="15"/>
    <x v="0"/>
    <s v="Facebook"/>
    <s v="Nov-2023"/>
    <s v="Dec-2024"/>
    <x v="1"/>
    <x v="5"/>
    <s v="Small"/>
    <x v="2"/>
  </r>
  <r>
    <s v="C0168"/>
    <x v="0"/>
    <d v="2023-09-08T00:00:00"/>
    <d v="2024-12-31T00:00:00"/>
    <n v="40"/>
    <x v="0"/>
    <s v="Google"/>
    <s v="Sep-2023"/>
    <s v="Dec-2024"/>
    <x v="5"/>
    <x v="3"/>
    <s v="Medium"/>
    <x v="2"/>
  </r>
  <r>
    <s v="C0169"/>
    <x v="2"/>
    <d v="2021-07-08T00:00:00"/>
    <d v="2023-04-11T00:00:00"/>
    <n v="25"/>
    <x v="1"/>
    <s v="Facebook"/>
    <s v="Jul-2021"/>
    <s v="Apr-2023"/>
    <x v="0"/>
    <x v="1"/>
    <s v="Large"/>
    <x v="1"/>
  </r>
  <r>
    <s v="C0170"/>
    <x v="0"/>
    <d v="2020-05-21T00:00:00"/>
    <d v="2024-12-31T00:00:00"/>
    <n v="40"/>
    <x v="0"/>
    <s v="Facebook"/>
    <s v="May-2020"/>
    <s v="Dec-2024"/>
    <x v="2"/>
    <x v="4"/>
    <s v="Medium"/>
    <x v="0"/>
  </r>
  <r>
    <s v="C0171"/>
    <x v="1"/>
    <d v="2023-06-05T00:00:00"/>
    <d v="2024-12-31T00:00:00"/>
    <n v="15"/>
    <x v="1"/>
    <s v="LinkedIn"/>
    <s v="Jun-2023"/>
    <s v="Dec-2024"/>
    <x v="3"/>
    <x v="0"/>
    <s v="Medium"/>
    <x v="2"/>
  </r>
  <r>
    <s v="C0172"/>
    <x v="1"/>
    <d v="2022-05-18T00:00:00"/>
    <d v="2024-12-31T00:00:00"/>
    <n v="15"/>
    <x v="0"/>
    <s v="Google"/>
    <s v="May-2022"/>
    <s v="Dec-2024"/>
    <x v="1"/>
    <x v="1"/>
    <s v="Large"/>
    <x v="4"/>
  </r>
  <r>
    <s v="C0173"/>
    <x v="0"/>
    <d v="2020-11-10T00:00:00"/>
    <d v="2024-12-31T00:00:00"/>
    <n v="40"/>
    <x v="0"/>
    <s v="LinkedIn"/>
    <s v="Nov-2020"/>
    <s v="Dec-2024"/>
    <x v="3"/>
    <x v="0"/>
    <s v="Medium"/>
    <x v="0"/>
  </r>
  <r>
    <s v="C0174"/>
    <x v="2"/>
    <d v="2021-03-17T00:00:00"/>
    <d v="2021-07-10T00:00:00"/>
    <n v="25"/>
    <x v="1"/>
    <s v="LinkedIn"/>
    <s v="Mar-2021"/>
    <s v="Jul-2021"/>
    <x v="5"/>
    <x v="1"/>
    <s v="Enterprise"/>
    <x v="1"/>
  </r>
  <r>
    <s v="C0175"/>
    <x v="0"/>
    <d v="2023-12-13T00:00:00"/>
    <d v="2024-12-31T00:00:00"/>
    <n v="40"/>
    <x v="0"/>
    <s v="LinkedIn"/>
    <s v="Dec-2023"/>
    <s v="Dec-2024"/>
    <x v="5"/>
    <x v="2"/>
    <s v="Medium"/>
    <x v="2"/>
  </r>
  <r>
    <s v="C0176"/>
    <x v="0"/>
    <d v="2021-07-14T00:00:00"/>
    <d v="2024-12-31T00:00:00"/>
    <n v="40"/>
    <x v="0"/>
    <s v="Instagram"/>
    <s v="Jul-2021"/>
    <s v="Dec-2024"/>
    <x v="0"/>
    <x v="5"/>
    <s v="Large"/>
    <x v="1"/>
  </r>
  <r>
    <s v="C0177"/>
    <x v="1"/>
    <d v="2020-12-03T00:00:00"/>
    <d v="2024-12-31T00:00:00"/>
    <n v="15"/>
    <x v="0"/>
    <s v="Referral"/>
    <s v="Dec-2020"/>
    <s v="Dec-2024"/>
    <x v="5"/>
    <x v="5"/>
    <s v="Medium"/>
    <x v="0"/>
  </r>
  <r>
    <s v="C0178"/>
    <x v="0"/>
    <d v="2023-10-04T00:00:00"/>
    <d v="2024-12-31T00:00:00"/>
    <n v="40"/>
    <x v="0"/>
    <s v="Instagram"/>
    <s v="Oct-2023"/>
    <s v="Dec-2024"/>
    <x v="4"/>
    <x v="0"/>
    <s v="Medium"/>
    <x v="2"/>
  </r>
  <r>
    <s v="C0179"/>
    <x v="0"/>
    <d v="2021-05-05T00:00:00"/>
    <d v="2024-12-31T00:00:00"/>
    <n v="40"/>
    <x v="0"/>
    <s v="Referral"/>
    <s v="May-2021"/>
    <s v="Dec-2024"/>
    <x v="4"/>
    <x v="0"/>
    <s v="Enterprise"/>
    <x v="1"/>
  </r>
  <r>
    <s v="C0180"/>
    <x v="1"/>
    <d v="2021-01-03T00:00:00"/>
    <d v="2023-01-20T00:00:00"/>
    <n v="15"/>
    <x v="1"/>
    <s v="Referral"/>
    <s v="Jan-2021"/>
    <s v="Jan-2023"/>
    <x v="4"/>
    <x v="0"/>
    <s v="Large"/>
    <x v="1"/>
  </r>
  <r>
    <s v="C0181"/>
    <x v="2"/>
    <d v="2020-10-19T00:00:00"/>
    <d v="2024-12-31T00:00:00"/>
    <n v="25"/>
    <x v="0"/>
    <s v="Instagram"/>
    <s v="Oct-2020"/>
    <s v="Dec-2024"/>
    <x v="3"/>
    <x v="1"/>
    <s v="Large"/>
    <x v="0"/>
  </r>
  <r>
    <s v="C0182"/>
    <x v="2"/>
    <d v="2020-03-12T00:00:00"/>
    <d v="2024-12-31T00:00:00"/>
    <n v="25"/>
    <x v="0"/>
    <s v="Facebook"/>
    <s v="Mar-2020"/>
    <s v="Dec-2024"/>
    <x v="0"/>
    <x v="1"/>
    <s v="Medium"/>
    <x v="0"/>
  </r>
  <r>
    <s v="C0183"/>
    <x v="1"/>
    <d v="2024-03-31T00:00:00"/>
    <d v="2024-12-31T00:00:00"/>
    <n v="15"/>
    <x v="1"/>
    <s v="Facebook"/>
    <s v="Mar-2024"/>
    <s v="Dec-2024"/>
    <x v="3"/>
    <x v="0"/>
    <s v="Medium"/>
    <x v="3"/>
  </r>
  <r>
    <s v="C0184"/>
    <x v="0"/>
    <d v="2021-05-25T00:00:00"/>
    <d v="2024-12-31T00:00:00"/>
    <n v="40"/>
    <x v="0"/>
    <s v="Google"/>
    <s v="May-2021"/>
    <s v="Dec-2024"/>
    <x v="4"/>
    <x v="1"/>
    <s v="Enterprise"/>
    <x v="1"/>
  </r>
  <r>
    <s v="C0185"/>
    <x v="2"/>
    <d v="2020-06-08T00:00:00"/>
    <d v="2024-12-31T00:00:00"/>
    <n v="25"/>
    <x v="0"/>
    <s v="Google"/>
    <s v="Jun-2020"/>
    <s v="Dec-2024"/>
    <x v="5"/>
    <x v="5"/>
    <s v="Medium"/>
    <x v="0"/>
  </r>
  <r>
    <s v="C0186"/>
    <x v="0"/>
    <d v="2023-01-29T00:00:00"/>
    <d v="2024-12-31T00:00:00"/>
    <n v="40"/>
    <x v="0"/>
    <s v="LinkedIn"/>
    <s v="Jan-2023"/>
    <s v="Dec-2024"/>
    <x v="2"/>
    <x v="3"/>
    <s v="Medium"/>
    <x v="2"/>
  </r>
  <r>
    <s v="C0187"/>
    <x v="2"/>
    <d v="2022-01-19T00:00:00"/>
    <d v="2024-12-31T00:00:00"/>
    <n v="25"/>
    <x v="0"/>
    <s v="LinkedIn"/>
    <s v="Jan-2022"/>
    <s v="Dec-2024"/>
    <x v="5"/>
    <x v="3"/>
    <s v="Large"/>
    <x v="4"/>
  </r>
  <r>
    <s v="C0188"/>
    <x v="2"/>
    <d v="2020-11-24T00:00:00"/>
    <d v="2022-11-02T00:00:00"/>
    <n v="25"/>
    <x v="1"/>
    <s v="Facebook"/>
    <s v="Nov-2020"/>
    <s v="Nov-2022"/>
    <x v="5"/>
    <x v="1"/>
    <s v="Large"/>
    <x v="0"/>
  </r>
  <r>
    <s v="C0189"/>
    <x v="1"/>
    <d v="2023-08-24T00:00:00"/>
    <d v="2024-12-31T00:00:00"/>
    <n v="15"/>
    <x v="1"/>
    <s v="LinkedIn"/>
    <s v="Aug-2023"/>
    <s v="Dec-2024"/>
    <x v="3"/>
    <x v="1"/>
    <s v="Large"/>
    <x v="2"/>
  </r>
  <r>
    <s v="C0190"/>
    <x v="1"/>
    <d v="2021-03-02T00:00:00"/>
    <d v="2024-12-31T00:00:00"/>
    <n v="15"/>
    <x v="0"/>
    <s v="Instagram"/>
    <s v="Mar-2021"/>
    <s v="Dec-2024"/>
    <x v="1"/>
    <x v="3"/>
    <s v="Enterprise"/>
    <x v="1"/>
  </r>
  <r>
    <s v="C0191"/>
    <x v="2"/>
    <d v="2020-01-05T00:00:00"/>
    <d v="2024-12-31T00:00:00"/>
    <n v="25"/>
    <x v="0"/>
    <s v="Google"/>
    <s v="Jan-2020"/>
    <s v="Dec-2024"/>
    <x v="5"/>
    <x v="3"/>
    <s v="Small"/>
    <x v="0"/>
  </r>
  <r>
    <s v="C0192"/>
    <x v="0"/>
    <d v="2021-02-22T00:00:00"/>
    <d v="2024-12-31T00:00:00"/>
    <n v="40"/>
    <x v="0"/>
    <s v="Referral"/>
    <s v="Feb-2021"/>
    <s v="Dec-2024"/>
    <x v="3"/>
    <x v="4"/>
    <s v="Enterprise"/>
    <x v="1"/>
  </r>
  <r>
    <s v="C0193"/>
    <x v="0"/>
    <d v="2024-03-27T00:00:00"/>
    <d v="2024-12-31T00:00:00"/>
    <n v="40"/>
    <x v="0"/>
    <s v="Instagram"/>
    <s v="Mar-2024"/>
    <s v="Dec-2024"/>
    <x v="4"/>
    <x v="4"/>
    <s v="Small"/>
    <x v="3"/>
  </r>
  <r>
    <s v="C0194"/>
    <x v="0"/>
    <d v="2021-07-19T00:00:00"/>
    <d v="2024-12-31T00:00:00"/>
    <n v="40"/>
    <x v="0"/>
    <s v="Facebook"/>
    <s v="Jul-2021"/>
    <s v="Dec-2024"/>
    <x v="1"/>
    <x v="4"/>
    <s v="Enterprise"/>
    <x v="1"/>
  </r>
  <r>
    <s v="C0195"/>
    <x v="0"/>
    <d v="2020-06-02T00:00:00"/>
    <d v="2024-12-31T00:00:00"/>
    <n v="40"/>
    <x v="0"/>
    <s v="Google"/>
    <s v="Jun-2020"/>
    <s v="Dec-2024"/>
    <x v="2"/>
    <x v="4"/>
    <s v="Medium"/>
    <x v="0"/>
  </r>
  <r>
    <s v="C0196"/>
    <x v="2"/>
    <d v="2024-01-13T00:00:00"/>
    <d v="2024-12-31T00:00:00"/>
    <n v="25"/>
    <x v="0"/>
    <s v="Facebook"/>
    <s v="Jan-2024"/>
    <s v="Dec-2024"/>
    <x v="2"/>
    <x v="1"/>
    <s v="Small"/>
    <x v="3"/>
  </r>
  <r>
    <s v="C0197"/>
    <x v="2"/>
    <d v="2022-04-27T00:00:00"/>
    <d v="2024-12-31T00:00:00"/>
    <n v="25"/>
    <x v="0"/>
    <s v="Referral"/>
    <s v="Apr-2022"/>
    <s v="Dec-2024"/>
    <x v="4"/>
    <x v="1"/>
    <s v="Enterprise"/>
    <x v="4"/>
  </r>
  <r>
    <s v="C0198"/>
    <x v="0"/>
    <d v="2024-05-02T00:00:00"/>
    <d v="2024-12-31T00:00:00"/>
    <n v="40"/>
    <x v="1"/>
    <s v="LinkedIn"/>
    <s v="May-2024"/>
    <s v="Dec-2024"/>
    <x v="1"/>
    <x v="3"/>
    <s v="Large"/>
    <x v="3"/>
  </r>
  <r>
    <s v="C0199"/>
    <x v="1"/>
    <d v="2022-05-25T00:00:00"/>
    <d v="2024-12-31T00:00:00"/>
    <n v="15"/>
    <x v="0"/>
    <s v="LinkedIn"/>
    <s v="May-2022"/>
    <s v="Dec-2024"/>
    <x v="1"/>
    <x v="3"/>
    <s v="Enterprise"/>
    <x v="4"/>
  </r>
  <r>
    <s v="C0200"/>
    <x v="0"/>
    <d v="2022-01-28T00:00:00"/>
    <d v="2023-03-28T00:00:00"/>
    <n v="40"/>
    <x v="1"/>
    <s v="Facebook"/>
    <s v="Jan-2022"/>
    <s v="Mar-2023"/>
    <x v="3"/>
    <x v="5"/>
    <s v="Large"/>
    <x v="4"/>
  </r>
  <r>
    <s v="C0201"/>
    <x v="0"/>
    <d v="2021-06-01T00:00:00"/>
    <d v="2024-12-31T00:00:00"/>
    <n v="40"/>
    <x v="0"/>
    <s v="Google"/>
    <s v="Jun-2021"/>
    <s v="Dec-2024"/>
    <x v="3"/>
    <x v="5"/>
    <s v="Enterprise"/>
    <x v="1"/>
  </r>
  <r>
    <s v="C0202"/>
    <x v="2"/>
    <d v="2020-02-16T00:00:00"/>
    <d v="2024-12-31T00:00:00"/>
    <n v="25"/>
    <x v="0"/>
    <s v="Referral"/>
    <s v="Feb-2020"/>
    <s v="Dec-2024"/>
    <x v="3"/>
    <x v="4"/>
    <s v="Small"/>
    <x v="0"/>
  </r>
  <r>
    <s v="C0203"/>
    <x v="0"/>
    <d v="2021-12-15T00:00:00"/>
    <d v="2024-12-31T00:00:00"/>
    <n v="40"/>
    <x v="0"/>
    <s v="Referral"/>
    <s v="Dec-2021"/>
    <s v="Dec-2024"/>
    <x v="1"/>
    <x v="3"/>
    <s v="Medium"/>
    <x v="1"/>
  </r>
  <r>
    <s v="C0204"/>
    <x v="1"/>
    <d v="2021-03-07T00:00:00"/>
    <d v="2022-07-30T00:00:00"/>
    <n v="15"/>
    <x v="1"/>
    <s v="Facebook"/>
    <s v="Mar-2021"/>
    <s v="Jul-2022"/>
    <x v="1"/>
    <x v="4"/>
    <s v="Enterprise"/>
    <x v="1"/>
  </r>
  <r>
    <s v="C0205"/>
    <x v="2"/>
    <d v="2023-07-14T00:00:00"/>
    <d v="2024-12-31T00:00:00"/>
    <n v="25"/>
    <x v="1"/>
    <s v="LinkedIn"/>
    <s v="Jul-2023"/>
    <s v="Dec-2024"/>
    <x v="3"/>
    <x v="4"/>
    <s v="Medium"/>
    <x v="2"/>
  </r>
  <r>
    <s v="C0206"/>
    <x v="2"/>
    <d v="2024-05-20T00:00:00"/>
    <d v="2024-12-31T00:00:00"/>
    <n v="25"/>
    <x v="0"/>
    <s v="Referral"/>
    <s v="May-2024"/>
    <s v="Dec-2024"/>
    <x v="5"/>
    <x v="4"/>
    <s v="Enterprise"/>
    <x v="3"/>
  </r>
  <r>
    <s v="C0207"/>
    <x v="0"/>
    <d v="2021-10-28T00:00:00"/>
    <d v="2022-09-25T00:00:00"/>
    <n v="40"/>
    <x v="1"/>
    <s v="Google"/>
    <s v="Oct-2021"/>
    <s v="Sep-2022"/>
    <x v="5"/>
    <x v="2"/>
    <s v="Large"/>
    <x v="1"/>
  </r>
  <r>
    <s v="C0208"/>
    <x v="1"/>
    <d v="2023-02-18T00:00:00"/>
    <d v="2023-08-19T00:00:00"/>
    <n v="15"/>
    <x v="1"/>
    <s v="LinkedIn"/>
    <s v="Feb-2023"/>
    <s v="Aug-2023"/>
    <x v="5"/>
    <x v="0"/>
    <s v="Large"/>
    <x v="2"/>
  </r>
  <r>
    <s v="C0209"/>
    <x v="0"/>
    <d v="2022-05-26T00:00:00"/>
    <d v="2024-12-31T00:00:00"/>
    <n v="40"/>
    <x v="0"/>
    <s v="Instagram"/>
    <s v="May-2022"/>
    <s v="Dec-2024"/>
    <x v="4"/>
    <x v="3"/>
    <s v="Medium"/>
    <x v="4"/>
  </r>
  <r>
    <s v="C0210"/>
    <x v="1"/>
    <d v="2023-11-16T00:00:00"/>
    <d v="2024-12-31T00:00:00"/>
    <n v="15"/>
    <x v="0"/>
    <s v="Instagram"/>
    <s v="Nov-2023"/>
    <s v="Dec-2024"/>
    <x v="0"/>
    <x v="3"/>
    <s v="Large"/>
    <x v="2"/>
  </r>
  <r>
    <s v="C0211"/>
    <x v="2"/>
    <d v="2022-12-21T00:00:00"/>
    <d v="2024-12-31T00:00:00"/>
    <n v="25"/>
    <x v="0"/>
    <s v="Facebook"/>
    <s v="Dec-2022"/>
    <s v="Dec-2024"/>
    <x v="5"/>
    <x v="2"/>
    <s v="Small"/>
    <x v="4"/>
  </r>
  <r>
    <s v="C0212"/>
    <x v="0"/>
    <d v="2020-08-24T00:00:00"/>
    <d v="2021-12-17T00:00:00"/>
    <n v="40"/>
    <x v="1"/>
    <s v="Instagram"/>
    <s v="Aug-2020"/>
    <s v="Dec-2021"/>
    <x v="3"/>
    <x v="0"/>
    <s v="Large"/>
    <x v="0"/>
  </r>
  <r>
    <s v="C0213"/>
    <x v="2"/>
    <d v="2022-02-28T00:00:00"/>
    <d v="2024-12-31T00:00:00"/>
    <n v="25"/>
    <x v="0"/>
    <s v="Google"/>
    <s v="Feb-2022"/>
    <s v="Dec-2024"/>
    <x v="4"/>
    <x v="1"/>
    <s v="Enterprise"/>
    <x v="4"/>
  </r>
  <r>
    <s v="C0214"/>
    <x v="1"/>
    <d v="2022-05-25T00:00:00"/>
    <d v="2024-12-31T00:00:00"/>
    <n v="15"/>
    <x v="0"/>
    <s v="Google"/>
    <s v="May-2022"/>
    <s v="Dec-2024"/>
    <x v="3"/>
    <x v="3"/>
    <s v="Large"/>
    <x v="4"/>
  </r>
  <r>
    <s v="C0215"/>
    <x v="1"/>
    <d v="2022-07-15T00:00:00"/>
    <d v="2024-12-31T00:00:00"/>
    <n v="15"/>
    <x v="0"/>
    <s v="Facebook"/>
    <s v="Jul-2022"/>
    <s v="Dec-2024"/>
    <x v="0"/>
    <x v="4"/>
    <s v="Large"/>
    <x v="4"/>
  </r>
  <r>
    <s v="C0216"/>
    <x v="1"/>
    <d v="2020-11-01T00:00:00"/>
    <d v="2024-12-31T00:00:00"/>
    <n v="15"/>
    <x v="0"/>
    <s v="LinkedIn"/>
    <s v="Nov-2020"/>
    <s v="Dec-2024"/>
    <x v="5"/>
    <x v="0"/>
    <s v="Medium"/>
    <x v="0"/>
  </r>
  <r>
    <s v="C0217"/>
    <x v="0"/>
    <d v="2023-09-08T00:00:00"/>
    <d v="2024-04-20T00:00:00"/>
    <n v="40"/>
    <x v="1"/>
    <s v="LinkedIn"/>
    <s v="Sep-2023"/>
    <s v="Apr-2024"/>
    <x v="3"/>
    <x v="4"/>
    <s v="Large"/>
    <x v="2"/>
  </r>
  <r>
    <s v="C0218"/>
    <x v="2"/>
    <d v="2023-12-11T00:00:00"/>
    <d v="2024-12-31T00:00:00"/>
    <n v="25"/>
    <x v="0"/>
    <s v="Referral"/>
    <s v="Dec-2023"/>
    <s v="Dec-2024"/>
    <x v="1"/>
    <x v="2"/>
    <s v="Medium"/>
    <x v="2"/>
  </r>
  <r>
    <s v="C0219"/>
    <x v="2"/>
    <d v="2022-02-20T00:00:00"/>
    <d v="2024-12-31T00:00:00"/>
    <n v="25"/>
    <x v="0"/>
    <s v="Facebook"/>
    <s v="Feb-2022"/>
    <s v="Dec-2024"/>
    <x v="4"/>
    <x v="3"/>
    <s v="Enterprise"/>
    <x v="4"/>
  </r>
  <r>
    <s v="C0220"/>
    <x v="1"/>
    <d v="2023-08-04T00:00:00"/>
    <d v="2024-11-08T00:00:00"/>
    <n v="15"/>
    <x v="1"/>
    <s v="Instagram"/>
    <s v="Aug-2023"/>
    <s v="Nov-2024"/>
    <x v="5"/>
    <x v="4"/>
    <s v="Enterprise"/>
    <x v="2"/>
  </r>
  <r>
    <s v="C0221"/>
    <x v="2"/>
    <d v="2021-07-22T00:00:00"/>
    <d v="2024-12-31T00:00:00"/>
    <n v="25"/>
    <x v="0"/>
    <s v="Instagram"/>
    <s v="Jul-2021"/>
    <s v="Dec-2024"/>
    <x v="4"/>
    <x v="4"/>
    <s v="Large"/>
    <x v="1"/>
  </r>
  <r>
    <s v="C0222"/>
    <x v="0"/>
    <d v="2021-09-04T00:00:00"/>
    <d v="2023-04-03T00:00:00"/>
    <n v="40"/>
    <x v="1"/>
    <s v="Facebook"/>
    <s v="Sep-2021"/>
    <s v="Apr-2023"/>
    <x v="1"/>
    <x v="2"/>
    <s v="Large"/>
    <x v="1"/>
  </r>
  <r>
    <s v="C0223"/>
    <x v="1"/>
    <d v="2024-04-05T00:00:00"/>
    <d v="2024-10-08T00:00:00"/>
    <n v="15"/>
    <x v="1"/>
    <s v="Facebook"/>
    <s v="Apr-2024"/>
    <s v="Oct-2024"/>
    <x v="5"/>
    <x v="5"/>
    <s v="Enterprise"/>
    <x v="3"/>
  </r>
  <r>
    <s v="C0224"/>
    <x v="1"/>
    <d v="2022-08-07T00:00:00"/>
    <d v="2024-12-31T00:00:00"/>
    <n v="15"/>
    <x v="0"/>
    <s v="Facebook"/>
    <s v="Aug-2022"/>
    <s v="Dec-2024"/>
    <x v="3"/>
    <x v="4"/>
    <s v="Small"/>
    <x v="4"/>
  </r>
  <r>
    <s v="C0225"/>
    <x v="0"/>
    <d v="2020-03-21T00:00:00"/>
    <d v="2021-12-05T00:00:00"/>
    <n v="40"/>
    <x v="1"/>
    <s v="Facebook"/>
    <s v="Mar-2020"/>
    <s v="Dec-2021"/>
    <x v="3"/>
    <x v="0"/>
    <s v="Medium"/>
    <x v="0"/>
  </r>
  <r>
    <s v="C0226"/>
    <x v="0"/>
    <d v="2023-12-23T00:00:00"/>
    <d v="2024-12-31T00:00:00"/>
    <n v="40"/>
    <x v="0"/>
    <s v="LinkedIn"/>
    <s v="Dec-2023"/>
    <s v="Dec-2024"/>
    <x v="2"/>
    <x v="3"/>
    <s v="Medium"/>
    <x v="2"/>
  </r>
  <r>
    <s v="C0227"/>
    <x v="2"/>
    <d v="2022-05-10T00:00:00"/>
    <d v="2024-12-31T00:00:00"/>
    <n v="25"/>
    <x v="0"/>
    <s v="Instagram"/>
    <s v="May-2022"/>
    <s v="Dec-2024"/>
    <x v="5"/>
    <x v="2"/>
    <s v="Enterprise"/>
    <x v="4"/>
  </r>
  <r>
    <s v="C0228"/>
    <x v="2"/>
    <d v="2020-02-29T00:00:00"/>
    <d v="2024-12-31T00:00:00"/>
    <n v="25"/>
    <x v="0"/>
    <s v="Facebook"/>
    <s v="Feb-2020"/>
    <s v="Dec-2024"/>
    <x v="4"/>
    <x v="2"/>
    <s v="Small"/>
    <x v="0"/>
  </r>
  <r>
    <s v="C0229"/>
    <x v="2"/>
    <d v="2022-11-30T00:00:00"/>
    <d v="2023-04-27T00:00:00"/>
    <n v="25"/>
    <x v="1"/>
    <s v="LinkedIn"/>
    <s v="Nov-2022"/>
    <s v="Apr-2023"/>
    <x v="0"/>
    <x v="5"/>
    <s v="Small"/>
    <x v="4"/>
  </r>
  <r>
    <s v="C0230"/>
    <x v="0"/>
    <d v="2022-07-26T00:00:00"/>
    <d v="2024-12-31T00:00:00"/>
    <n v="40"/>
    <x v="0"/>
    <s v="Facebook"/>
    <s v="Jul-2022"/>
    <s v="Dec-2024"/>
    <x v="2"/>
    <x v="4"/>
    <s v="Small"/>
    <x v="4"/>
  </r>
  <r>
    <s v="C0231"/>
    <x v="1"/>
    <d v="2022-10-16T00:00:00"/>
    <d v="2024-12-31T00:00:00"/>
    <n v="15"/>
    <x v="0"/>
    <s v="Google"/>
    <s v="Oct-2022"/>
    <s v="Dec-2024"/>
    <x v="5"/>
    <x v="0"/>
    <s v="Enterprise"/>
    <x v="4"/>
  </r>
  <r>
    <s v="C0232"/>
    <x v="2"/>
    <d v="2022-05-16T00:00:00"/>
    <d v="2024-12-31T00:00:00"/>
    <n v="25"/>
    <x v="0"/>
    <s v="Instagram"/>
    <s v="May-2022"/>
    <s v="Dec-2024"/>
    <x v="1"/>
    <x v="0"/>
    <s v="Medium"/>
    <x v="4"/>
  </r>
  <r>
    <s v="C0233"/>
    <x v="0"/>
    <d v="2020-01-24T00:00:00"/>
    <d v="2024-12-31T00:00:00"/>
    <n v="40"/>
    <x v="0"/>
    <s v="Referral"/>
    <s v="Jan-2020"/>
    <s v="Dec-2024"/>
    <x v="5"/>
    <x v="2"/>
    <s v="Small"/>
    <x v="0"/>
  </r>
  <r>
    <s v="C0234"/>
    <x v="0"/>
    <d v="2023-07-06T00:00:00"/>
    <d v="2024-12-31T00:00:00"/>
    <n v="40"/>
    <x v="0"/>
    <s v="LinkedIn"/>
    <s v="Jul-2023"/>
    <s v="Dec-2024"/>
    <x v="0"/>
    <x v="5"/>
    <s v="Small"/>
    <x v="2"/>
  </r>
  <r>
    <s v="C0235"/>
    <x v="1"/>
    <d v="2021-10-01T00:00:00"/>
    <d v="2024-12-31T00:00:00"/>
    <n v="15"/>
    <x v="0"/>
    <s v="Instagram"/>
    <s v="Oct-2021"/>
    <s v="Dec-2024"/>
    <x v="3"/>
    <x v="3"/>
    <s v="Small"/>
    <x v="1"/>
  </r>
  <r>
    <s v="C0236"/>
    <x v="1"/>
    <d v="2020-08-20T00:00:00"/>
    <d v="2024-12-31T00:00:00"/>
    <n v="15"/>
    <x v="0"/>
    <s v="Instagram"/>
    <s v="Aug-2020"/>
    <s v="Dec-2024"/>
    <x v="0"/>
    <x v="2"/>
    <s v="Medium"/>
    <x v="0"/>
  </r>
  <r>
    <s v="C0237"/>
    <x v="2"/>
    <d v="2023-06-13T00:00:00"/>
    <d v="2024-12-31T00:00:00"/>
    <n v="25"/>
    <x v="0"/>
    <s v="Instagram"/>
    <s v="Jun-2023"/>
    <s v="Dec-2024"/>
    <x v="2"/>
    <x v="3"/>
    <s v="Medium"/>
    <x v="2"/>
  </r>
  <r>
    <s v="C0238"/>
    <x v="2"/>
    <d v="2022-12-31T00:00:00"/>
    <d v="2024-08-17T00:00:00"/>
    <n v="25"/>
    <x v="1"/>
    <s v="Google"/>
    <s v="Dec-2022"/>
    <s v="Aug-2024"/>
    <x v="4"/>
    <x v="0"/>
    <s v="Enterprise"/>
    <x v="4"/>
  </r>
  <r>
    <s v="C0239"/>
    <x v="2"/>
    <d v="2022-05-22T00:00:00"/>
    <d v="2024-12-31T00:00:00"/>
    <n v="25"/>
    <x v="0"/>
    <s v="LinkedIn"/>
    <s v="May-2022"/>
    <s v="Dec-2024"/>
    <x v="1"/>
    <x v="4"/>
    <s v="Small"/>
    <x v="4"/>
  </r>
  <r>
    <s v="C0240"/>
    <x v="1"/>
    <d v="2021-05-24T00:00:00"/>
    <d v="2022-07-08T00:00:00"/>
    <n v="15"/>
    <x v="1"/>
    <s v="Facebook"/>
    <s v="May-2021"/>
    <s v="Jul-2022"/>
    <x v="5"/>
    <x v="3"/>
    <s v="Medium"/>
    <x v="1"/>
  </r>
  <r>
    <s v="C0241"/>
    <x v="0"/>
    <d v="2021-03-29T00:00:00"/>
    <d v="2024-12-31T00:00:00"/>
    <n v="40"/>
    <x v="0"/>
    <s v="LinkedIn"/>
    <s v="Mar-2021"/>
    <s v="Dec-2024"/>
    <x v="3"/>
    <x v="5"/>
    <s v="Medium"/>
    <x v="1"/>
  </r>
  <r>
    <s v="C0242"/>
    <x v="0"/>
    <d v="2021-08-29T00:00:00"/>
    <d v="2023-04-11T00:00:00"/>
    <n v="40"/>
    <x v="1"/>
    <s v="Referral"/>
    <s v="Aug-2021"/>
    <s v="Apr-2023"/>
    <x v="2"/>
    <x v="3"/>
    <s v="Enterprise"/>
    <x v="1"/>
  </r>
  <r>
    <s v="C0243"/>
    <x v="0"/>
    <d v="2020-08-03T00:00:00"/>
    <d v="2022-01-12T00:00:00"/>
    <n v="40"/>
    <x v="1"/>
    <s v="Google"/>
    <s v="Aug-2020"/>
    <s v="Jan-2022"/>
    <x v="5"/>
    <x v="0"/>
    <s v="Large"/>
    <x v="0"/>
  </r>
  <r>
    <s v="C0244"/>
    <x v="0"/>
    <d v="2023-08-31T00:00:00"/>
    <d v="2024-12-31T00:00:00"/>
    <n v="40"/>
    <x v="0"/>
    <s v="Referral"/>
    <s v="Aug-2023"/>
    <s v="Dec-2024"/>
    <x v="1"/>
    <x v="5"/>
    <s v="Medium"/>
    <x v="2"/>
  </r>
  <r>
    <s v="C0245"/>
    <x v="2"/>
    <d v="2022-04-01T00:00:00"/>
    <d v="2024-12-31T00:00:00"/>
    <n v="25"/>
    <x v="0"/>
    <s v="Google"/>
    <s v="Apr-2022"/>
    <s v="Dec-2024"/>
    <x v="1"/>
    <x v="2"/>
    <s v="Enterprise"/>
    <x v="4"/>
  </r>
  <r>
    <s v="C0246"/>
    <x v="2"/>
    <d v="2024-01-22T00:00:00"/>
    <d v="2024-12-31T00:00:00"/>
    <n v="25"/>
    <x v="0"/>
    <s v="LinkedIn"/>
    <s v="Jan-2024"/>
    <s v="Dec-2024"/>
    <x v="4"/>
    <x v="4"/>
    <s v="Large"/>
    <x v="3"/>
  </r>
  <r>
    <s v="C0247"/>
    <x v="0"/>
    <d v="2020-02-27T00:00:00"/>
    <d v="2024-12-31T00:00:00"/>
    <n v="40"/>
    <x v="0"/>
    <s v="LinkedIn"/>
    <s v="Feb-2020"/>
    <s v="Dec-2024"/>
    <x v="0"/>
    <x v="1"/>
    <s v="Medium"/>
    <x v="0"/>
  </r>
  <r>
    <s v="C0248"/>
    <x v="1"/>
    <d v="2021-10-26T00:00:00"/>
    <d v="2024-12-31T00:00:00"/>
    <n v="15"/>
    <x v="0"/>
    <s v="Instagram"/>
    <s v="Oct-2021"/>
    <s v="Dec-2024"/>
    <x v="5"/>
    <x v="3"/>
    <s v="Enterprise"/>
    <x v="1"/>
  </r>
  <r>
    <s v="C0249"/>
    <x v="1"/>
    <d v="2020-02-04T00:00:00"/>
    <d v="2024-12-31T00:00:00"/>
    <n v="15"/>
    <x v="0"/>
    <s v="Instagram"/>
    <s v="Feb-2020"/>
    <s v="Dec-2024"/>
    <x v="3"/>
    <x v="5"/>
    <s v="Enterprise"/>
    <x v="0"/>
  </r>
  <r>
    <s v="C0250"/>
    <x v="2"/>
    <d v="2020-03-28T00:00:00"/>
    <d v="2024-12-31T00:00:00"/>
    <n v="25"/>
    <x v="0"/>
    <s v="Facebook"/>
    <s v="Mar-2020"/>
    <s v="Dec-2024"/>
    <x v="4"/>
    <x v="4"/>
    <s v="Enterprise"/>
    <x v="0"/>
  </r>
  <r>
    <s v="C0251"/>
    <x v="1"/>
    <d v="2021-09-06T00:00:00"/>
    <d v="2023-04-10T00:00:00"/>
    <n v="15"/>
    <x v="1"/>
    <s v="Facebook"/>
    <s v="Sep-2021"/>
    <s v="Apr-2023"/>
    <x v="2"/>
    <x v="2"/>
    <s v="Large"/>
    <x v="1"/>
  </r>
  <r>
    <s v="C0252"/>
    <x v="0"/>
    <d v="2022-06-21T00:00:00"/>
    <d v="2023-11-23T00:00:00"/>
    <n v="40"/>
    <x v="1"/>
    <s v="Facebook"/>
    <s v="Jun-2022"/>
    <s v="Nov-2023"/>
    <x v="1"/>
    <x v="0"/>
    <s v="Medium"/>
    <x v="4"/>
  </r>
  <r>
    <s v="C0253"/>
    <x v="0"/>
    <d v="2024-03-15T00:00:00"/>
    <d v="2024-12-31T00:00:00"/>
    <n v="40"/>
    <x v="1"/>
    <s v="Instagram"/>
    <s v="Mar-2024"/>
    <s v="Dec-2024"/>
    <x v="4"/>
    <x v="1"/>
    <s v="Small"/>
    <x v="3"/>
  </r>
  <r>
    <s v="C0254"/>
    <x v="2"/>
    <d v="2020-10-24T00:00:00"/>
    <d v="2024-12-31T00:00:00"/>
    <n v="25"/>
    <x v="0"/>
    <s v="Instagram"/>
    <s v="Oct-2020"/>
    <s v="Dec-2024"/>
    <x v="3"/>
    <x v="2"/>
    <s v="Medium"/>
    <x v="0"/>
  </r>
  <r>
    <s v="C0255"/>
    <x v="2"/>
    <d v="2021-01-07T00:00:00"/>
    <d v="2024-12-31T00:00:00"/>
    <n v="25"/>
    <x v="0"/>
    <s v="Facebook"/>
    <s v="Jan-2021"/>
    <s v="Dec-2024"/>
    <x v="1"/>
    <x v="2"/>
    <s v="Large"/>
    <x v="1"/>
  </r>
  <r>
    <s v="C0256"/>
    <x v="0"/>
    <d v="2020-06-06T00:00:00"/>
    <d v="2021-07-11T00:00:00"/>
    <n v="40"/>
    <x v="1"/>
    <s v="LinkedIn"/>
    <s v="Jun-2020"/>
    <s v="Jul-2021"/>
    <x v="3"/>
    <x v="1"/>
    <s v="Large"/>
    <x v="0"/>
  </r>
  <r>
    <s v="C0257"/>
    <x v="2"/>
    <d v="2022-09-19T00:00:00"/>
    <d v="2024-12-31T00:00:00"/>
    <n v="25"/>
    <x v="0"/>
    <s v="Facebook"/>
    <s v="Sep-2022"/>
    <s v="Dec-2024"/>
    <x v="5"/>
    <x v="1"/>
    <s v="Enterprise"/>
    <x v="4"/>
  </r>
  <r>
    <s v="C0258"/>
    <x v="2"/>
    <d v="2023-01-19T00:00:00"/>
    <d v="2024-12-31T00:00:00"/>
    <n v="25"/>
    <x v="0"/>
    <s v="Referral"/>
    <s v="Jan-2023"/>
    <s v="Dec-2024"/>
    <x v="1"/>
    <x v="3"/>
    <s v="Enterprise"/>
    <x v="2"/>
  </r>
  <r>
    <s v="C0259"/>
    <x v="2"/>
    <d v="2020-08-19T00:00:00"/>
    <d v="2022-11-04T00:00:00"/>
    <n v="25"/>
    <x v="1"/>
    <s v="Facebook"/>
    <s v="Aug-2020"/>
    <s v="Nov-2022"/>
    <x v="0"/>
    <x v="4"/>
    <s v="Medium"/>
    <x v="0"/>
  </r>
  <r>
    <s v="C0260"/>
    <x v="1"/>
    <d v="2020-03-07T00:00:00"/>
    <d v="2024-12-31T00:00:00"/>
    <n v="15"/>
    <x v="0"/>
    <s v="Instagram"/>
    <s v="Mar-2020"/>
    <s v="Dec-2024"/>
    <x v="4"/>
    <x v="0"/>
    <s v="Small"/>
    <x v="0"/>
  </r>
  <r>
    <s v="C0261"/>
    <x v="1"/>
    <d v="2022-04-19T00:00:00"/>
    <d v="2024-12-31T00:00:00"/>
    <n v="15"/>
    <x v="0"/>
    <s v="Referral"/>
    <s v="Apr-2022"/>
    <s v="Dec-2024"/>
    <x v="2"/>
    <x v="1"/>
    <s v="Large"/>
    <x v="4"/>
  </r>
  <r>
    <s v="C0262"/>
    <x v="0"/>
    <d v="2021-09-03T00:00:00"/>
    <d v="2022-03-15T00:00:00"/>
    <n v="40"/>
    <x v="1"/>
    <s v="Google"/>
    <s v="Sep-2021"/>
    <s v="Mar-2022"/>
    <x v="1"/>
    <x v="0"/>
    <s v="Medium"/>
    <x v="1"/>
  </r>
  <r>
    <s v="C0263"/>
    <x v="1"/>
    <d v="2022-09-15T00:00:00"/>
    <d v="2024-12-31T00:00:00"/>
    <n v="15"/>
    <x v="0"/>
    <s v="Referral"/>
    <s v="Sep-2022"/>
    <s v="Dec-2024"/>
    <x v="1"/>
    <x v="0"/>
    <s v="Enterprise"/>
    <x v="4"/>
  </r>
  <r>
    <s v="C0264"/>
    <x v="0"/>
    <d v="2022-10-08T00:00:00"/>
    <d v="2024-12-31T00:00:00"/>
    <n v="40"/>
    <x v="0"/>
    <s v="LinkedIn"/>
    <s v="Oct-2022"/>
    <s v="Dec-2024"/>
    <x v="1"/>
    <x v="0"/>
    <s v="Enterprise"/>
    <x v="4"/>
  </r>
  <r>
    <s v="C0265"/>
    <x v="0"/>
    <d v="2020-07-04T00:00:00"/>
    <d v="2022-05-05T00:00:00"/>
    <n v="40"/>
    <x v="1"/>
    <s v="Referral"/>
    <s v="Jul-2020"/>
    <s v="May-2022"/>
    <x v="3"/>
    <x v="1"/>
    <s v="Enterprise"/>
    <x v="0"/>
  </r>
  <r>
    <s v="C0266"/>
    <x v="2"/>
    <d v="2021-05-07T00:00:00"/>
    <d v="2024-12-31T00:00:00"/>
    <n v="25"/>
    <x v="0"/>
    <s v="Facebook"/>
    <s v="May-2021"/>
    <s v="Dec-2024"/>
    <x v="2"/>
    <x v="1"/>
    <s v="Small"/>
    <x v="1"/>
  </r>
  <r>
    <s v="C0267"/>
    <x v="2"/>
    <d v="2021-10-02T00:00:00"/>
    <d v="2024-12-31T00:00:00"/>
    <n v="25"/>
    <x v="0"/>
    <s v="Referral"/>
    <s v="Oct-2021"/>
    <s v="Dec-2024"/>
    <x v="3"/>
    <x v="5"/>
    <s v="Enterprise"/>
    <x v="1"/>
  </r>
  <r>
    <s v="C0268"/>
    <x v="1"/>
    <d v="2022-01-04T00:00:00"/>
    <d v="2024-12-31T00:00:00"/>
    <n v="15"/>
    <x v="0"/>
    <s v="Instagram"/>
    <s v="Jan-2022"/>
    <s v="Dec-2024"/>
    <x v="0"/>
    <x v="5"/>
    <s v="Small"/>
    <x v="4"/>
  </r>
  <r>
    <s v="C0269"/>
    <x v="1"/>
    <d v="2022-09-17T00:00:00"/>
    <d v="2024-12-31T00:00:00"/>
    <n v="15"/>
    <x v="0"/>
    <s v="Facebook"/>
    <s v="Sep-2022"/>
    <s v="Dec-2024"/>
    <x v="1"/>
    <x v="3"/>
    <s v="Enterprise"/>
    <x v="4"/>
  </r>
  <r>
    <s v="C0270"/>
    <x v="2"/>
    <d v="2020-03-10T00:00:00"/>
    <d v="2024-12-31T00:00:00"/>
    <n v="25"/>
    <x v="0"/>
    <s v="Instagram"/>
    <s v="Mar-2020"/>
    <s v="Dec-2024"/>
    <x v="1"/>
    <x v="2"/>
    <s v="Enterprise"/>
    <x v="0"/>
  </r>
  <r>
    <s v="C0271"/>
    <x v="2"/>
    <d v="2022-10-28T00:00:00"/>
    <d v="2024-12-01T00:00:00"/>
    <n v="25"/>
    <x v="1"/>
    <s v="Google"/>
    <s v="Oct-2022"/>
    <s v="Dec-2024"/>
    <x v="4"/>
    <x v="4"/>
    <s v="Enterprise"/>
    <x v="4"/>
  </r>
  <r>
    <s v="C0272"/>
    <x v="2"/>
    <d v="2024-01-20T00:00:00"/>
    <d v="2024-12-31T00:00:00"/>
    <n v="25"/>
    <x v="0"/>
    <s v="Referral"/>
    <s v="Jan-2024"/>
    <s v="Dec-2024"/>
    <x v="1"/>
    <x v="2"/>
    <s v="Enterprise"/>
    <x v="3"/>
  </r>
  <r>
    <s v="C0273"/>
    <x v="0"/>
    <d v="2020-10-25T00:00:00"/>
    <d v="2021-02-26T00:00:00"/>
    <n v="40"/>
    <x v="1"/>
    <s v="Instagram"/>
    <s v="Oct-2020"/>
    <s v="Feb-2021"/>
    <x v="4"/>
    <x v="3"/>
    <s v="Large"/>
    <x v="0"/>
  </r>
  <r>
    <s v="C0274"/>
    <x v="0"/>
    <d v="2021-10-21T00:00:00"/>
    <d v="2024-12-31T00:00:00"/>
    <n v="40"/>
    <x v="0"/>
    <s v="Referral"/>
    <s v="Oct-2021"/>
    <s v="Dec-2024"/>
    <x v="0"/>
    <x v="0"/>
    <s v="Enterprise"/>
    <x v="1"/>
  </r>
  <r>
    <s v="C0275"/>
    <x v="1"/>
    <d v="2022-07-13T00:00:00"/>
    <d v="2024-12-31T00:00:00"/>
    <n v="15"/>
    <x v="0"/>
    <s v="LinkedIn"/>
    <s v="Jul-2022"/>
    <s v="Dec-2024"/>
    <x v="4"/>
    <x v="2"/>
    <s v="Small"/>
    <x v="4"/>
  </r>
  <r>
    <s v="C0276"/>
    <x v="2"/>
    <d v="2023-12-18T00:00:00"/>
    <d v="2024-04-28T00:00:00"/>
    <n v="25"/>
    <x v="1"/>
    <s v="Instagram"/>
    <s v="Dec-2023"/>
    <s v="Apr-2024"/>
    <x v="5"/>
    <x v="5"/>
    <s v="Large"/>
    <x v="2"/>
  </r>
  <r>
    <s v="C0277"/>
    <x v="2"/>
    <d v="2022-06-04T00:00:00"/>
    <d v="2024-12-31T00:00:00"/>
    <n v="25"/>
    <x v="0"/>
    <s v="Google"/>
    <s v="Jun-2022"/>
    <s v="Dec-2024"/>
    <x v="1"/>
    <x v="2"/>
    <s v="Enterprise"/>
    <x v="4"/>
  </r>
  <r>
    <s v="C0278"/>
    <x v="0"/>
    <d v="2020-01-19T00:00:00"/>
    <d v="2021-04-26T00:00:00"/>
    <n v="40"/>
    <x v="1"/>
    <s v="Facebook"/>
    <s v="Jan-2020"/>
    <s v="Apr-2021"/>
    <x v="5"/>
    <x v="5"/>
    <s v="Large"/>
    <x v="0"/>
  </r>
  <r>
    <s v="C0279"/>
    <x v="1"/>
    <d v="2023-04-25T00:00:00"/>
    <d v="2024-12-31T00:00:00"/>
    <n v="15"/>
    <x v="0"/>
    <s v="Facebook"/>
    <s v="Apr-2023"/>
    <s v="Dec-2024"/>
    <x v="2"/>
    <x v="1"/>
    <s v="Medium"/>
    <x v="2"/>
  </r>
  <r>
    <s v="C0280"/>
    <x v="1"/>
    <d v="2023-07-03T00:00:00"/>
    <d v="2024-12-31T00:00:00"/>
    <n v="15"/>
    <x v="1"/>
    <s v="Google"/>
    <s v="Jul-2023"/>
    <s v="Dec-2024"/>
    <x v="0"/>
    <x v="3"/>
    <s v="Small"/>
    <x v="2"/>
  </r>
  <r>
    <s v="C0281"/>
    <x v="1"/>
    <d v="2024-02-05T00:00:00"/>
    <d v="2024-12-31T00:00:00"/>
    <n v="15"/>
    <x v="0"/>
    <s v="Google"/>
    <s v="Feb-2024"/>
    <s v="Dec-2024"/>
    <x v="3"/>
    <x v="4"/>
    <s v="Small"/>
    <x v="3"/>
  </r>
  <r>
    <s v="C0282"/>
    <x v="0"/>
    <d v="2020-11-28T00:00:00"/>
    <d v="2022-11-19T00:00:00"/>
    <n v="40"/>
    <x v="1"/>
    <s v="LinkedIn"/>
    <s v="Nov-2020"/>
    <s v="Nov-2022"/>
    <x v="5"/>
    <x v="5"/>
    <s v="Small"/>
    <x v="0"/>
  </r>
  <r>
    <s v="C0283"/>
    <x v="2"/>
    <d v="2020-04-18T00:00:00"/>
    <d v="2022-05-20T00:00:00"/>
    <n v="25"/>
    <x v="1"/>
    <s v="Referral"/>
    <s v="Apr-2020"/>
    <s v="May-2022"/>
    <x v="3"/>
    <x v="3"/>
    <s v="Medium"/>
    <x v="0"/>
  </r>
  <r>
    <s v="C0284"/>
    <x v="2"/>
    <d v="2021-10-15T00:00:00"/>
    <d v="2023-09-29T00:00:00"/>
    <n v="25"/>
    <x v="1"/>
    <s v="Facebook"/>
    <s v="Oct-2021"/>
    <s v="Sep-2023"/>
    <x v="3"/>
    <x v="4"/>
    <s v="Medium"/>
    <x v="1"/>
  </r>
  <r>
    <s v="C0285"/>
    <x v="2"/>
    <d v="2023-08-08T00:00:00"/>
    <d v="2024-12-31T00:00:00"/>
    <n v="25"/>
    <x v="0"/>
    <s v="Facebook"/>
    <s v="Aug-2023"/>
    <s v="Dec-2024"/>
    <x v="5"/>
    <x v="0"/>
    <s v="Large"/>
    <x v="2"/>
  </r>
  <r>
    <s v="C0286"/>
    <x v="1"/>
    <d v="2024-07-02T00:00:00"/>
    <d v="2024-12-31T00:00:00"/>
    <n v="15"/>
    <x v="0"/>
    <s v="Referral"/>
    <s v="Jul-2024"/>
    <s v="Dec-2024"/>
    <x v="3"/>
    <x v="1"/>
    <s v="Large"/>
    <x v="3"/>
  </r>
  <r>
    <s v="C0287"/>
    <x v="1"/>
    <d v="2021-06-27T00:00:00"/>
    <d v="2023-02-20T00:00:00"/>
    <n v="15"/>
    <x v="1"/>
    <s v="Referral"/>
    <s v="Jun-2021"/>
    <s v="Feb-2023"/>
    <x v="5"/>
    <x v="4"/>
    <s v="Medium"/>
    <x v="1"/>
  </r>
  <r>
    <s v="C0288"/>
    <x v="1"/>
    <d v="2021-08-14T00:00:00"/>
    <d v="2024-12-31T00:00:00"/>
    <n v="15"/>
    <x v="0"/>
    <s v="Facebook"/>
    <s v="Aug-2021"/>
    <s v="Dec-2024"/>
    <x v="1"/>
    <x v="4"/>
    <s v="Enterprise"/>
    <x v="1"/>
  </r>
  <r>
    <s v="C0289"/>
    <x v="2"/>
    <d v="2024-01-08T00:00:00"/>
    <d v="2024-12-31T00:00:00"/>
    <n v="25"/>
    <x v="0"/>
    <s v="Instagram"/>
    <s v="Jan-2024"/>
    <s v="Dec-2024"/>
    <x v="2"/>
    <x v="3"/>
    <s v="Small"/>
    <x v="3"/>
  </r>
  <r>
    <s v="C0290"/>
    <x v="1"/>
    <d v="2023-04-07T00:00:00"/>
    <d v="2024-12-31T00:00:00"/>
    <n v="15"/>
    <x v="0"/>
    <s v="LinkedIn"/>
    <s v="Apr-2023"/>
    <s v="Dec-2024"/>
    <x v="3"/>
    <x v="3"/>
    <s v="Medium"/>
    <x v="2"/>
  </r>
  <r>
    <s v="C0291"/>
    <x v="0"/>
    <d v="2024-02-08T00:00:00"/>
    <d v="2024-05-10T00:00:00"/>
    <n v="40"/>
    <x v="1"/>
    <s v="Google"/>
    <s v="Feb-2024"/>
    <s v="May-2024"/>
    <x v="0"/>
    <x v="4"/>
    <s v="Small"/>
    <x v="3"/>
  </r>
  <r>
    <s v="C0292"/>
    <x v="2"/>
    <d v="2021-05-24T00:00:00"/>
    <d v="2024-12-31T00:00:00"/>
    <n v="25"/>
    <x v="0"/>
    <s v="Referral"/>
    <s v="May-2021"/>
    <s v="Dec-2024"/>
    <x v="0"/>
    <x v="3"/>
    <s v="Large"/>
    <x v="1"/>
  </r>
  <r>
    <s v="C0293"/>
    <x v="1"/>
    <d v="2023-03-21T00:00:00"/>
    <d v="2024-12-31T00:00:00"/>
    <n v="15"/>
    <x v="0"/>
    <s v="Referral"/>
    <s v="Mar-2023"/>
    <s v="Dec-2024"/>
    <x v="3"/>
    <x v="5"/>
    <s v="Enterprise"/>
    <x v="2"/>
  </r>
  <r>
    <s v="C0294"/>
    <x v="0"/>
    <d v="2021-12-24T00:00:00"/>
    <d v="2024-12-31T00:00:00"/>
    <n v="40"/>
    <x v="0"/>
    <s v="Referral"/>
    <s v="Dec-2021"/>
    <s v="Dec-2024"/>
    <x v="2"/>
    <x v="2"/>
    <s v="Medium"/>
    <x v="1"/>
  </r>
  <r>
    <s v="C0295"/>
    <x v="1"/>
    <d v="2022-09-07T00:00:00"/>
    <d v="2024-12-31T00:00:00"/>
    <n v="15"/>
    <x v="0"/>
    <s v="Facebook"/>
    <s v="Sep-2022"/>
    <s v="Dec-2024"/>
    <x v="5"/>
    <x v="2"/>
    <s v="Small"/>
    <x v="4"/>
  </r>
  <r>
    <s v="C0296"/>
    <x v="1"/>
    <d v="2023-07-03T00:00:00"/>
    <d v="2024-12-31T00:00:00"/>
    <n v="15"/>
    <x v="1"/>
    <s v="LinkedIn"/>
    <s v="Jul-2023"/>
    <s v="Dec-2024"/>
    <x v="1"/>
    <x v="2"/>
    <s v="Small"/>
    <x v="2"/>
  </r>
  <r>
    <s v="C0297"/>
    <x v="0"/>
    <d v="2021-08-13T00:00:00"/>
    <d v="2024-12-31T00:00:00"/>
    <n v="40"/>
    <x v="0"/>
    <s v="Instagram"/>
    <s v="Aug-2021"/>
    <s v="Dec-2024"/>
    <x v="4"/>
    <x v="5"/>
    <s v="Medium"/>
    <x v="1"/>
  </r>
  <r>
    <s v="C0298"/>
    <x v="1"/>
    <d v="2020-05-22T00:00:00"/>
    <d v="2024-12-31T00:00:00"/>
    <n v="15"/>
    <x v="0"/>
    <s v="Instagram"/>
    <s v="May-2020"/>
    <s v="Dec-2024"/>
    <x v="0"/>
    <x v="1"/>
    <s v="Large"/>
    <x v="0"/>
  </r>
  <r>
    <s v="C0299"/>
    <x v="2"/>
    <d v="2020-11-26T00:00:00"/>
    <d v="2022-07-19T00:00:00"/>
    <n v="25"/>
    <x v="1"/>
    <s v="Google"/>
    <s v="Nov-2020"/>
    <s v="Jul-2022"/>
    <x v="3"/>
    <x v="2"/>
    <s v="Enterprise"/>
    <x v="0"/>
  </r>
  <r>
    <s v="C0300"/>
    <x v="2"/>
    <d v="2020-06-25T00:00:00"/>
    <d v="2022-06-15T00:00:00"/>
    <n v="25"/>
    <x v="1"/>
    <s v="LinkedIn"/>
    <s v="Jun-2020"/>
    <s v="Jun-2022"/>
    <x v="2"/>
    <x v="5"/>
    <s v="Small"/>
    <x v="0"/>
  </r>
  <r>
    <s v="C0301"/>
    <x v="1"/>
    <d v="2020-09-14T00:00:00"/>
    <d v="2024-12-31T00:00:00"/>
    <n v="15"/>
    <x v="0"/>
    <s v="LinkedIn"/>
    <s v="Sep-2020"/>
    <s v="Dec-2024"/>
    <x v="2"/>
    <x v="4"/>
    <s v="Small"/>
    <x v="0"/>
  </r>
  <r>
    <s v="C0302"/>
    <x v="1"/>
    <d v="2021-04-03T00:00:00"/>
    <d v="2024-12-31T00:00:00"/>
    <n v="15"/>
    <x v="0"/>
    <s v="Facebook"/>
    <s v="Apr-2021"/>
    <s v="Dec-2024"/>
    <x v="0"/>
    <x v="1"/>
    <s v="Large"/>
    <x v="1"/>
  </r>
  <r>
    <s v="C0303"/>
    <x v="0"/>
    <d v="2024-03-27T00:00:00"/>
    <d v="2024-12-31T00:00:00"/>
    <n v="40"/>
    <x v="0"/>
    <s v="Google"/>
    <s v="Mar-2024"/>
    <s v="Dec-2024"/>
    <x v="3"/>
    <x v="2"/>
    <s v="Small"/>
    <x v="3"/>
  </r>
  <r>
    <s v="C0304"/>
    <x v="2"/>
    <d v="2021-06-24T00:00:00"/>
    <d v="2024-12-31T00:00:00"/>
    <n v="25"/>
    <x v="0"/>
    <s v="Facebook"/>
    <s v="Jun-2021"/>
    <s v="Dec-2024"/>
    <x v="4"/>
    <x v="5"/>
    <s v="Medium"/>
    <x v="1"/>
  </r>
  <r>
    <s v="C0305"/>
    <x v="2"/>
    <d v="2023-03-13T00:00:00"/>
    <d v="2024-12-31T00:00:00"/>
    <n v="25"/>
    <x v="0"/>
    <s v="LinkedIn"/>
    <s v="Mar-2023"/>
    <s v="Dec-2024"/>
    <x v="5"/>
    <x v="1"/>
    <s v="Small"/>
    <x v="2"/>
  </r>
  <r>
    <s v="C0306"/>
    <x v="0"/>
    <d v="2020-03-20T00:00:00"/>
    <d v="2024-12-31T00:00:00"/>
    <n v="40"/>
    <x v="0"/>
    <s v="Referral"/>
    <s v="Mar-2020"/>
    <s v="Dec-2024"/>
    <x v="0"/>
    <x v="2"/>
    <s v="Small"/>
    <x v="0"/>
  </r>
  <r>
    <s v="C0307"/>
    <x v="0"/>
    <d v="2021-03-08T00:00:00"/>
    <d v="2022-12-08T00:00:00"/>
    <n v="40"/>
    <x v="1"/>
    <s v="Google"/>
    <s v="Mar-2021"/>
    <s v="Dec-2022"/>
    <x v="5"/>
    <x v="1"/>
    <s v="Large"/>
    <x v="1"/>
  </r>
  <r>
    <s v="C0308"/>
    <x v="0"/>
    <d v="2022-11-27T00:00:00"/>
    <d v="2024-12-31T00:00:00"/>
    <n v="40"/>
    <x v="0"/>
    <s v="Facebook"/>
    <s v="Nov-2022"/>
    <s v="Dec-2024"/>
    <x v="1"/>
    <x v="2"/>
    <s v="Enterprise"/>
    <x v="4"/>
  </r>
  <r>
    <s v="C0309"/>
    <x v="1"/>
    <d v="2024-05-28T00:00:00"/>
    <d v="2024-12-31T00:00:00"/>
    <n v="15"/>
    <x v="0"/>
    <s v="Referral"/>
    <s v="May-2024"/>
    <s v="Dec-2024"/>
    <x v="5"/>
    <x v="3"/>
    <s v="Medium"/>
    <x v="3"/>
  </r>
  <r>
    <s v="C0310"/>
    <x v="1"/>
    <d v="2022-01-13T00:00:00"/>
    <d v="2024-12-31T00:00:00"/>
    <n v="15"/>
    <x v="0"/>
    <s v="Facebook"/>
    <s v="Jan-2022"/>
    <s v="Dec-2024"/>
    <x v="2"/>
    <x v="3"/>
    <s v="Large"/>
    <x v="4"/>
  </r>
  <r>
    <s v="C0311"/>
    <x v="2"/>
    <d v="2023-05-16T00:00:00"/>
    <d v="2024-12-31T00:00:00"/>
    <n v="25"/>
    <x v="0"/>
    <s v="Referral"/>
    <s v="May-2023"/>
    <s v="Dec-2024"/>
    <x v="5"/>
    <x v="0"/>
    <s v="Small"/>
    <x v="2"/>
  </r>
  <r>
    <s v="C0312"/>
    <x v="1"/>
    <d v="2021-01-16T00:00:00"/>
    <d v="2024-12-31T00:00:00"/>
    <n v="15"/>
    <x v="0"/>
    <s v="Instagram"/>
    <s v="Jan-2021"/>
    <s v="Dec-2024"/>
    <x v="4"/>
    <x v="3"/>
    <s v="Large"/>
    <x v="1"/>
  </r>
  <r>
    <s v="C0313"/>
    <x v="0"/>
    <d v="2021-05-31T00:00:00"/>
    <d v="2024-12-31T00:00:00"/>
    <n v="40"/>
    <x v="0"/>
    <s v="Google"/>
    <s v="May-2021"/>
    <s v="Dec-2024"/>
    <x v="0"/>
    <x v="5"/>
    <s v="Enterprise"/>
    <x v="1"/>
  </r>
  <r>
    <s v="C0314"/>
    <x v="1"/>
    <d v="2024-02-18T00:00:00"/>
    <d v="2024-12-31T00:00:00"/>
    <n v="15"/>
    <x v="0"/>
    <s v="Facebook"/>
    <s v="Feb-2024"/>
    <s v="Dec-2024"/>
    <x v="3"/>
    <x v="0"/>
    <s v="Small"/>
    <x v="3"/>
  </r>
  <r>
    <s v="C0315"/>
    <x v="1"/>
    <d v="2020-01-29T00:00:00"/>
    <d v="2024-12-31T00:00:00"/>
    <n v="15"/>
    <x v="0"/>
    <s v="Instagram"/>
    <s v="Jan-2020"/>
    <s v="Dec-2024"/>
    <x v="5"/>
    <x v="3"/>
    <s v="Medium"/>
    <x v="0"/>
  </r>
  <r>
    <s v="C0316"/>
    <x v="0"/>
    <d v="2021-01-27T00:00:00"/>
    <d v="2022-04-28T00:00:00"/>
    <n v="40"/>
    <x v="1"/>
    <s v="Google"/>
    <s v="Jan-2021"/>
    <s v="Apr-2022"/>
    <x v="5"/>
    <x v="5"/>
    <s v="Small"/>
    <x v="1"/>
  </r>
  <r>
    <s v="C0317"/>
    <x v="2"/>
    <d v="2020-02-15T00:00:00"/>
    <d v="2024-12-31T00:00:00"/>
    <n v="25"/>
    <x v="0"/>
    <s v="LinkedIn"/>
    <s v="Feb-2020"/>
    <s v="Dec-2024"/>
    <x v="1"/>
    <x v="5"/>
    <s v="Enterprise"/>
    <x v="0"/>
  </r>
  <r>
    <s v="C0318"/>
    <x v="1"/>
    <d v="2024-02-19T00:00:00"/>
    <d v="2024-12-31T00:00:00"/>
    <n v="15"/>
    <x v="0"/>
    <s v="Facebook"/>
    <s v="Feb-2024"/>
    <s v="Dec-2024"/>
    <x v="3"/>
    <x v="3"/>
    <s v="Large"/>
    <x v="3"/>
  </r>
  <r>
    <s v="C0319"/>
    <x v="0"/>
    <d v="2020-01-16T00:00:00"/>
    <d v="2024-12-31T00:00:00"/>
    <n v="40"/>
    <x v="0"/>
    <s v="Google"/>
    <s v="Jan-2020"/>
    <s v="Dec-2024"/>
    <x v="3"/>
    <x v="1"/>
    <s v="Small"/>
    <x v="0"/>
  </r>
  <r>
    <s v="C0320"/>
    <x v="0"/>
    <d v="2023-03-10T00:00:00"/>
    <d v="2024-12-31T00:00:00"/>
    <n v="40"/>
    <x v="0"/>
    <s v="LinkedIn"/>
    <s v="Mar-2023"/>
    <s v="Dec-2024"/>
    <x v="4"/>
    <x v="0"/>
    <s v="Small"/>
    <x v="2"/>
  </r>
  <r>
    <s v="C0321"/>
    <x v="1"/>
    <d v="2024-02-17T00:00:00"/>
    <d v="2024-12-31T00:00:00"/>
    <n v="15"/>
    <x v="0"/>
    <s v="Google"/>
    <s v="Feb-2024"/>
    <s v="Dec-2024"/>
    <x v="3"/>
    <x v="0"/>
    <s v="Small"/>
    <x v="3"/>
  </r>
  <r>
    <s v="C0322"/>
    <x v="2"/>
    <d v="2020-11-27T00:00:00"/>
    <d v="2024-12-31T00:00:00"/>
    <n v="25"/>
    <x v="0"/>
    <s v="Instagram"/>
    <s v="Nov-2020"/>
    <s v="Dec-2024"/>
    <x v="1"/>
    <x v="2"/>
    <s v="Medium"/>
    <x v="0"/>
  </r>
  <r>
    <s v="C0323"/>
    <x v="1"/>
    <d v="2021-03-03T00:00:00"/>
    <d v="2021-06-16T00:00:00"/>
    <n v="15"/>
    <x v="1"/>
    <s v="Google"/>
    <s v="Mar-2021"/>
    <s v="Jun-2021"/>
    <x v="3"/>
    <x v="1"/>
    <s v="Small"/>
    <x v="1"/>
  </r>
  <r>
    <s v="C0324"/>
    <x v="2"/>
    <d v="2021-05-28T00:00:00"/>
    <d v="2024-12-31T00:00:00"/>
    <n v="25"/>
    <x v="0"/>
    <s v="LinkedIn"/>
    <s v="May-2021"/>
    <s v="Dec-2024"/>
    <x v="5"/>
    <x v="4"/>
    <s v="Small"/>
    <x v="1"/>
  </r>
  <r>
    <s v="C0325"/>
    <x v="1"/>
    <d v="2022-01-14T00:00:00"/>
    <d v="2023-10-29T00:00:00"/>
    <n v="15"/>
    <x v="1"/>
    <s v="Instagram"/>
    <s v="Jan-2022"/>
    <s v="Oct-2023"/>
    <x v="0"/>
    <x v="1"/>
    <s v="Enterprise"/>
    <x v="4"/>
  </r>
  <r>
    <s v="C0326"/>
    <x v="2"/>
    <d v="2021-06-13T00:00:00"/>
    <d v="2024-12-31T00:00:00"/>
    <n v="25"/>
    <x v="0"/>
    <s v="Facebook"/>
    <s v="Jun-2021"/>
    <s v="Dec-2024"/>
    <x v="5"/>
    <x v="5"/>
    <s v="Medium"/>
    <x v="1"/>
  </r>
  <r>
    <s v="C0327"/>
    <x v="1"/>
    <d v="2022-01-26T00:00:00"/>
    <d v="2024-12-31T00:00:00"/>
    <n v="15"/>
    <x v="0"/>
    <s v="Referral"/>
    <s v="Jan-2022"/>
    <s v="Dec-2024"/>
    <x v="2"/>
    <x v="0"/>
    <s v="Enterprise"/>
    <x v="4"/>
  </r>
  <r>
    <s v="C0328"/>
    <x v="1"/>
    <d v="2020-09-13T00:00:00"/>
    <d v="2024-12-31T00:00:00"/>
    <n v="15"/>
    <x v="0"/>
    <s v="Google"/>
    <s v="Sep-2020"/>
    <s v="Dec-2024"/>
    <x v="3"/>
    <x v="5"/>
    <s v="Medium"/>
    <x v="0"/>
  </r>
  <r>
    <s v="C0329"/>
    <x v="0"/>
    <d v="2024-02-16T00:00:00"/>
    <d v="2024-12-31T00:00:00"/>
    <n v="40"/>
    <x v="1"/>
    <s v="Referral"/>
    <s v="Feb-2024"/>
    <s v="Dec-2024"/>
    <x v="4"/>
    <x v="0"/>
    <s v="Medium"/>
    <x v="3"/>
  </r>
  <r>
    <s v="C0330"/>
    <x v="0"/>
    <d v="2022-04-11T00:00:00"/>
    <d v="2024-12-31T00:00:00"/>
    <n v="40"/>
    <x v="0"/>
    <s v="Instagram"/>
    <s v="Apr-2022"/>
    <s v="Dec-2024"/>
    <x v="2"/>
    <x v="2"/>
    <s v="Medium"/>
    <x v="4"/>
  </r>
  <r>
    <s v="C0331"/>
    <x v="1"/>
    <d v="2021-03-28T00:00:00"/>
    <d v="2024-12-31T00:00:00"/>
    <n v="15"/>
    <x v="0"/>
    <s v="Facebook"/>
    <s v="Mar-2021"/>
    <s v="Dec-2024"/>
    <x v="4"/>
    <x v="5"/>
    <s v="Medium"/>
    <x v="1"/>
  </r>
  <r>
    <s v="C0332"/>
    <x v="0"/>
    <d v="2022-09-07T00:00:00"/>
    <d v="2024-08-25T00:00:00"/>
    <n v="40"/>
    <x v="1"/>
    <s v="LinkedIn"/>
    <s v="Sep-2022"/>
    <s v="Aug-2024"/>
    <x v="2"/>
    <x v="4"/>
    <s v="Medium"/>
    <x v="4"/>
  </r>
  <r>
    <s v="C0333"/>
    <x v="2"/>
    <d v="2020-10-10T00:00:00"/>
    <d v="2024-12-31T00:00:00"/>
    <n v="25"/>
    <x v="0"/>
    <s v="Google"/>
    <s v="Oct-2020"/>
    <s v="Dec-2024"/>
    <x v="3"/>
    <x v="2"/>
    <s v="Medium"/>
    <x v="0"/>
  </r>
  <r>
    <s v="C0334"/>
    <x v="1"/>
    <d v="2020-08-26T00:00:00"/>
    <d v="2021-03-11T00:00:00"/>
    <n v="15"/>
    <x v="1"/>
    <s v="Facebook"/>
    <s v="Aug-2020"/>
    <s v="Mar-2021"/>
    <x v="5"/>
    <x v="2"/>
    <s v="Large"/>
    <x v="0"/>
  </r>
  <r>
    <s v="C0335"/>
    <x v="2"/>
    <d v="2023-11-19T00:00:00"/>
    <d v="2024-09-21T00:00:00"/>
    <n v="25"/>
    <x v="1"/>
    <s v="Instagram"/>
    <s v="Nov-2023"/>
    <s v="Sep-2024"/>
    <x v="5"/>
    <x v="2"/>
    <s v="Medium"/>
    <x v="2"/>
  </r>
  <r>
    <s v="C0336"/>
    <x v="2"/>
    <d v="2021-11-15T00:00:00"/>
    <d v="2024-12-31T00:00:00"/>
    <n v="25"/>
    <x v="0"/>
    <s v="Instagram"/>
    <s v="Nov-2021"/>
    <s v="Dec-2024"/>
    <x v="3"/>
    <x v="4"/>
    <s v="Enterprise"/>
    <x v="1"/>
  </r>
  <r>
    <s v="C0337"/>
    <x v="1"/>
    <d v="2023-10-15T00:00:00"/>
    <d v="2024-12-31T00:00:00"/>
    <n v="15"/>
    <x v="0"/>
    <s v="LinkedIn"/>
    <s v="Oct-2023"/>
    <s v="Dec-2024"/>
    <x v="5"/>
    <x v="4"/>
    <s v="Medium"/>
    <x v="2"/>
  </r>
  <r>
    <s v="C0338"/>
    <x v="0"/>
    <d v="2023-11-13T00:00:00"/>
    <d v="2024-12-31T00:00:00"/>
    <n v="40"/>
    <x v="0"/>
    <s v="Google"/>
    <s v="Nov-2023"/>
    <s v="Dec-2024"/>
    <x v="0"/>
    <x v="0"/>
    <s v="Large"/>
    <x v="2"/>
  </r>
  <r>
    <s v="C0339"/>
    <x v="2"/>
    <d v="2024-06-29T00:00:00"/>
    <d v="2024-12-31T00:00:00"/>
    <n v="25"/>
    <x v="0"/>
    <s v="LinkedIn"/>
    <s v="Jun-2024"/>
    <s v="Dec-2024"/>
    <x v="2"/>
    <x v="2"/>
    <s v="Small"/>
    <x v="3"/>
  </r>
  <r>
    <s v="C0340"/>
    <x v="1"/>
    <d v="2022-10-17T00:00:00"/>
    <d v="2024-05-12T00:00:00"/>
    <n v="15"/>
    <x v="1"/>
    <s v="Google"/>
    <s v="Oct-2022"/>
    <s v="May-2024"/>
    <x v="5"/>
    <x v="4"/>
    <s v="Large"/>
    <x v="4"/>
  </r>
  <r>
    <s v="C0341"/>
    <x v="1"/>
    <d v="2022-08-10T00:00:00"/>
    <d v="2024-12-31T00:00:00"/>
    <n v="15"/>
    <x v="0"/>
    <s v="Referral"/>
    <s v="Aug-2022"/>
    <s v="Dec-2024"/>
    <x v="1"/>
    <x v="2"/>
    <s v="Medium"/>
    <x v="4"/>
  </r>
  <r>
    <s v="C0342"/>
    <x v="1"/>
    <d v="2022-11-01T00:00:00"/>
    <d v="2024-12-31T00:00:00"/>
    <n v="15"/>
    <x v="0"/>
    <s v="Facebook"/>
    <s v="Nov-2022"/>
    <s v="Dec-2024"/>
    <x v="2"/>
    <x v="1"/>
    <s v="Large"/>
    <x v="4"/>
  </r>
  <r>
    <s v="C0343"/>
    <x v="1"/>
    <d v="2021-11-18T00:00:00"/>
    <d v="2022-01-22T00:00:00"/>
    <n v="15"/>
    <x v="1"/>
    <s v="Google"/>
    <s v="Nov-2021"/>
    <s v="Jan-2022"/>
    <x v="2"/>
    <x v="1"/>
    <s v="Large"/>
    <x v="1"/>
  </r>
  <r>
    <s v="C0344"/>
    <x v="1"/>
    <d v="2021-07-15T00:00:00"/>
    <d v="2022-07-09T00:00:00"/>
    <n v="15"/>
    <x v="1"/>
    <s v="LinkedIn"/>
    <s v="Jul-2021"/>
    <s v="Jul-2022"/>
    <x v="3"/>
    <x v="5"/>
    <s v="Small"/>
    <x v="1"/>
  </r>
  <r>
    <s v="C0345"/>
    <x v="1"/>
    <d v="2022-10-24T00:00:00"/>
    <d v="2023-04-03T00:00:00"/>
    <n v="15"/>
    <x v="1"/>
    <s v="Facebook"/>
    <s v="Oct-2022"/>
    <s v="Apr-2023"/>
    <x v="3"/>
    <x v="4"/>
    <s v="Enterprise"/>
    <x v="4"/>
  </r>
  <r>
    <s v="C0346"/>
    <x v="0"/>
    <d v="2022-11-24T00:00:00"/>
    <d v="2024-12-31T00:00:00"/>
    <n v="40"/>
    <x v="0"/>
    <s v="Referral"/>
    <s v="Nov-2022"/>
    <s v="Dec-2024"/>
    <x v="4"/>
    <x v="2"/>
    <s v="Large"/>
    <x v="4"/>
  </r>
  <r>
    <s v="C0347"/>
    <x v="2"/>
    <d v="2023-05-05T00:00:00"/>
    <d v="2024-12-26T00:00:00"/>
    <n v="25"/>
    <x v="1"/>
    <s v="LinkedIn"/>
    <s v="May-2023"/>
    <s v="Dec-2024"/>
    <x v="2"/>
    <x v="2"/>
    <s v="Large"/>
    <x v="2"/>
  </r>
  <r>
    <s v="C0348"/>
    <x v="1"/>
    <d v="2020-07-17T00:00:00"/>
    <d v="2021-02-18T00:00:00"/>
    <n v="15"/>
    <x v="1"/>
    <s v="Instagram"/>
    <s v="Jul-2020"/>
    <s v="Feb-2021"/>
    <x v="2"/>
    <x v="5"/>
    <s v="Enterprise"/>
    <x v="0"/>
  </r>
  <r>
    <s v="C0349"/>
    <x v="1"/>
    <d v="2021-12-05T00:00:00"/>
    <d v="2022-04-01T00:00:00"/>
    <n v="15"/>
    <x v="1"/>
    <s v="Facebook"/>
    <s v="Dec-2021"/>
    <s v="Apr-2022"/>
    <x v="1"/>
    <x v="3"/>
    <s v="Medium"/>
    <x v="1"/>
  </r>
  <r>
    <s v="C0350"/>
    <x v="1"/>
    <d v="2020-04-29T00:00:00"/>
    <d v="2024-12-31T00:00:00"/>
    <n v="15"/>
    <x v="0"/>
    <s v="LinkedIn"/>
    <s v="Apr-2020"/>
    <s v="Dec-2024"/>
    <x v="0"/>
    <x v="2"/>
    <s v="Small"/>
    <x v="0"/>
  </r>
  <r>
    <s v="C0351"/>
    <x v="2"/>
    <d v="2020-03-13T00:00:00"/>
    <d v="2024-12-31T00:00:00"/>
    <n v="25"/>
    <x v="0"/>
    <s v="Referral"/>
    <s v="Mar-2020"/>
    <s v="Dec-2024"/>
    <x v="0"/>
    <x v="3"/>
    <s v="Enterprise"/>
    <x v="0"/>
  </r>
  <r>
    <s v="C0352"/>
    <x v="1"/>
    <d v="2023-06-13T00:00:00"/>
    <d v="2024-12-31T00:00:00"/>
    <n v="15"/>
    <x v="0"/>
    <s v="Instagram"/>
    <s v="Jun-2023"/>
    <s v="Dec-2024"/>
    <x v="3"/>
    <x v="5"/>
    <s v="Small"/>
    <x v="2"/>
  </r>
  <r>
    <s v="C0353"/>
    <x v="0"/>
    <d v="2021-05-09T00:00:00"/>
    <d v="2024-12-31T00:00:00"/>
    <n v="40"/>
    <x v="0"/>
    <s v="Google"/>
    <s v="May-2021"/>
    <s v="Dec-2024"/>
    <x v="3"/>
    <x v="1"/>
    <s v="Medium"/>
    <x v="1"/>
  </r>
  <r>
    <s v="C0354"/>
    <x v="0"/>
    <d v="2020-02-03T00:00:00"/>
    <d v="2024-12-31T00:00:00"/>
    <n v="40"/>
    <x v="0"/>
    <s v="Instagram"/>
    <s v="Feb-2020"/>
    <s v="Dec-2024"/>
    <x v="5"/>
    <x v="2"/>
    <s v="Medium"/>
    <x v="0"/>
  </r>
  <r>
    <s v="C0355"/>
    <x v="2"/>
    <d v="2022-12-16T00:00:00"/>
    <d v="2024-10-22T00:00:00"/>
    <n v="25"/>
    <x v="1"/>
    <s v="LinkedIn"/>
    <s v="Dec-2022"/>
    <s v="Oct-2024"/>
    <x v="0"/>
    <x v="1"/>
    <s v="Medium"/>
    <x v="4"/>
  </r>
  <r>
    <s v="C0356"/>
    <x v="1"/>
    <d v="2020-10-30T00:00:00"/>
    <d v="2021-03-10T00:00:00"/>
    <n v="15"/>
    <x v="1"/>
    <s v="Instagram"/>
    <s v="Oct-2020"/>
    <s v="Mar-2021"/>
    <x v="2"/>
    <x v="5"/>
    <s v="Large"/>
    <x v="0"/>
  </r>
  <r>
    <s v="C0357"/>
    <x v="0"/>
    <d v="2020-05-09T00:00:00"/>
    <d v="2021-05-30T00:00:00"/>
    <n v="40"/>
    <x v="1"/>
    <s v="Instagram"/>
    <s v="May-2020"/>
    <s v="May-2021"/>
    <x v="0"/>
    <x v="3"/>
    <s v="Medium"/>
    <x v="0"/>
  </r>
  <r>
    <s v="C0358"/>
    <x v="0"/>
    <d v="2023-10-09T00:00:00"/>
    <d v="2024-12-31T00:00:00"/>
    <n v="40"/>
    <x v="1"/>
    <s v="Referral"/>
    <s v="Oct-2023"/>
    <s v="Dec-2024"/>
    <x v="3"/>
    <x v="3"/>
    <s v="Small"/>
    <x v="2"/>
  </r>
  <r>
    <s v="C0359"/>
    <x v="0"/>
    <d v="2024-01-03T00:00:00"/>
    <d v="2024-12-31T00:00:00"/>
    <n v="40"/>
    <x v="0"/>
    <s v="Facebook"/>
    <s v="Jan-2024"/>
    <s v="Dec-2024"/>
    <x v="4"/>
    <x v="5"/>
    <s v="Enterprise"/>
    <x v="3"/>
  </r>
  <r>
    <s v="C0360"/>
    <x v="0"/>
    <d v="2020-03-03T00:00:00"/>
    <d v="2024-12-31T00:00:00"/>
    <n v="40"/>
    <x v="0"/>
    <s v="Referral"/>
    <s v="Mar-2020"/>
    <s v="Dec-2024"/>
    <x v="3"/>
    <x v="4"/>
    <s v="Small"/>
    <x v="0"/>
  </r>
  <r>
    <s v="C0361"/>
    <x v="0"/>
    <d v="2020-09-06T00:00:00"/>
    <d v="2024-12-31T00:00:00"/>
    <n v="40"/>
    <x v="0"/>
    <s v="Facebook"/>
    <s v="Sep-2020"/>
    <s v="Dec-2024"/>
    <x v="3"/>
    <x v="4"/>
    <s v="Small"/>
    <x v="0"/>
  </r>
  <r>
    <s v="C0362"/>
    <x v="0"/>
    <d v="2020-02-02T00:00:00"/>
    <d v="2024-12-31T00:00:00"/>
    <n v="40"/>
    <x v="0"/>
    <s v="LinkedIn"/>
    <s v="Feb-2020"/>
    <s v="Dec-2024"/>
    <x v="0"/>
    <x v="1"/>
    <s v="Enterprise"/>
    <x v="0"/>
  </r>
  <r>
    <s v="C0363"/>
    <x v="1"/>
    <d v="2020-11-06T00:00:00"/>
    <d v="2024-12-31T00:00:00"/>
    <n v="15"/>
    <x v="0"/>
    <s v="Referral"/>
    <s v="Nov-2020"/>
    <s v="Dec-2024"/>
    <x v="4"/>
    <x v="2"/>
    <s v="Large"/>
    <x v="0"/>
  </r>
  <r>
    <s v="C0364"/>
    <x v="1"/>
    <d v="2023-09-17T00:00:00"/>
    <d v="2024-12-31T00:00:00"/>
    <n v="15"/>
    <x v="0"/>
    <s v="Google"/>
    <s v="Sep-2023"/>
    <s v="Dec-2024"/>
    <x v="0"/>
    <x v="5"/>
    <s v="Large"/>
    <x v="2"/>
  </r>
  <r>
    <s v="C0365"/>
    <x v="2"/>
    <d v="2023-09-30T00:00:00"/>
    <d v="2024-12-31T00:00:00"/>
    <n v="25"/>
    <x v="0"/>
    <s v="Google"/>
    <s v="Sep-2023"/>
    <s v="Dec-2024"/>
    <x v="0"/>
    <x v="3"/>
    <s v="Enterprise"/>
    <x v="2"/>
  </r>
  <r>
    <s v="C0366"/>
    <x v="2"/>
    <d v="2024-04-11T00:00:00"/>
    <d v="2024-12-31T00:00:00"/>
    <n v="25"/>
    <x v="0"/>
    <s v="Referral"/>
    <s v="Apr-2024"/>
    <s v="Dec-2024"/>
    <x v="0"/>
    <x v="4"/>
    <s v="Small"/>
    <x v="3"/>
  </r>
  <r>
    <s v="C0367"/>
    <x v="0"/>
    <d v="2021-08-30T00:00:00"/>
    <d v="2024-12-31T00:00:00"/>
    <n v="40"/>
    <x v="0"/>
    <s v="Referral"/>
    <s v="Aug-2021"/>
    <s v="Dec-2024"/>
    <x v="5"/>
    <x v="5"/>
    <s v="Enterprise"/>
    <x v="1"/>
  </r>
  <r>
    <s v="C0368"/>
    <x v="0"/>
    <d v="2021-10-17T00:00:00"/>
    <d v="2024-12-31T00:00:00"/>
    <n v="40"/>
    <x v="0"/>
    <s v="Facebook"/>
    <s v="Oct-2021"/>
    <s v="Dec-2024"/>
    <x v="5"/>
    <x v="2"/>
    <s v="Large"/>
    <x v="1"/>
  </r>
  <r>
    <s v="C0369"/>
    <x v="2"/>
    <d v="2021-02-22T00:00:00"/>
    <d v="2024-12-31T00:00:00"/>
    <n v="25"/>
    <x v="0"/>
    <s v="Instagram"/>
    <s v="Feb-2021"/>
    <s v="Dec-2024"/>
    <x v="5"/>
    <x v="4"/>
    <s v="Large"/>
    <x v="1"/>
  </r>
  <r>
    <s v="C0370"/>
    <x v="0"/>
    <d v="2021-06-27T00:00:00"/>
    <d v="2022-05-31T00:00:00"/>
    <n v="40"/>
    <x v="1"/>
    <s v="Facebook"/>
    <s v="Jun-2021"/>
    <s v="May-2022"/>
    <x v="4"/>
    <x v="0"/>
    <s v="Enterprise"/>
    <x v="1"/>
  </r>
  <r>
    <s v="C0371"/>
    <x v="1"/>
    <d v="2023-12-21T00:00:00"/>
    <d v="2024-05-02T00:00:00"/>
    <n v="15"/>
    <x v="1"/>
    <s v="Facebook"/>
    <s v="Dec-2023"/>
    <s v="May-2024"/>
    <x v="3"/>
    <x v="0"/>
    <s v="Medium"/>
    <x v="2"/>
  </r>
  <r>
    <s v="C0372"/>
    <x v="0"/>
    <d v="2022-12-14T00:00:00"/>
    <d v="2024-12-31T00:00:00"/>
    <n v="40"/>
    <x v="0"/>
    <s v="Facebook"/>
    <s v="Dec-2022"/>
    <s v="Dec-2024"/>
    <x v="5"/>
    <x v="3"/>
    <s v="Enterprise"/>
    <x v="4"/>
  </r>
  <r>
    <s v="C0373"/>
    <x v="0"/>
    <d v="2023-09-06T00:00:00"/>
    <d v="2024-12-31T00:00:00"/>
    <n v="40"/>
    <x v="1"/>
    <s v="Referral"/>
    <s v="Sep-2023"/>
    <s v="Dec-2024"/>
    <x v="4"/>
    <x v="0"/>
    <s v="Medium"/>
    <x v="2"/>
  </r>
  <r>
    <s v="C0374"/>
    <x v="2"/>
    <d v="2020-05-12T00:00:00"/>
    <d v="2021-03-13T00:00:00"/>
    <n v="25"/>
    <x v="1"/>
    <s v="LinkedIn"/>
    <s v="May-2020"/>
    <s v="Mar-2021"/>
    <x v="1"/>
    <x v="3"/>
    <s v="Small"/>
    <x v="0"/>
  </r>
  <r>
    <s v="C0375"/>
    <x v="1"/>
    <d v="2022-07-03T00:00:00"/>
    <d v="2023-11-20T00:00:00"/>
    <n v="15"/>
    <x v="1"/>
    <s v="Instagram"/>
    <s v="Jul-2022"/>
    <s v="Nov-2023"/>
    <x v="3"/>
    <x v="2"/>
    <s v="Large"/>
    <x v="4"/>
  </r>
  <r>
    <s v="C0376"/>
    <x v="0"/>
    <d v="2023-04-28T00:00:00"/>
    <d v="2024-12-31T00:00:00"/>
    <n v="40"/>
    <x v="0"/>
    <s v="Referral"/>
    <s v="Apr-2023"/>
    <s v="Dec-2024"/>
    <x v="1"/>
    <x v="0"/>
    <s v="Enterprise"/>
    <x v="2"/>
  </r>
  <r>
    <s v="C0377"/>
    <x v="1"/>
    <d v="2021-04-25T00:00:00"/>
    <d v="2024-12-31T00:00:00"/>
    <n v="15"/>
    <x v="0"/>
    <s v="Instagram"/>
    <s v="Apr-2021"/>
    <s v="Dec-2024"/>
    <x v="4"/>
    <x v="2"/>
    <s v="Small"/>
    <x v="1"/>
  </r>
  <r>
    <s v="C0378"/>
    <x v="0"/>
    <d v="2021-05-24T00:00:00"/>
    <d v="2024-12-31T00:00:00"/>
    <n v="40"/>
    <x v="0"/>
    <s v="Instagram"/>
    <s v="May-2021"/>
    <s v="Dec-2024"/>
    <x v="2"/>
    <x v="3"/>
    <s v="Medium"/>
    <x v="1"/>
  </r>
  <r>
    <s v="C0379"/>
    <x v="0"/>
    <d v="2022-05-18T00:00:00"/>
    <d v="2024-07-27T00:00:00"/>
    <n v="40"/>
    <x v="1"/>
    <s v="Instagram"/>
    <s v="May-2022"/>
    <s v="Jul-2024"/>
    <x v="4"/>
    <x v="4"/>
    <s v="Medium"/>
    <x v="4"/>
  </r>
  <r>
    <s v="C0380"/>
    <x v="1"/>
    <d v="2021-11-15T00:00:00"/>
    <d v="2024-12-31T00:00:00"/>
    <n v="15"/>
    <x v="0"/>
    <s v="LinkedIn"/>
    <s v="Nov-2021"/>
    <s v="Dec-2024"/>
    <x v="0"/>
    <x v="2"/>
    <s v="Enterprise"/>
    <x v="1"/>
  </r>
  <r>
    <s v="C0381"/>
    <x v="2"/>
    <d v="2022-01-28T00:00:00"/>
    <d v="2024-12-31T00:00:00"/>
    <n v="25"/>
    <x v="0"/>
    <s v="LinkedIn"/>
    <s v="Jan-2022"/>
    <s v="Dec-2024"/>
    <x v="0"/>
    <x v="3"/>
    <s v="Enterprise"/>
    <x v="4"/>
  </r>
  <r>
    <s v="C0382"/>
    <x v="0"/>
    <d v="2021-08-06T00:00:00"/>
    <d v="2024-12-31T00:00:00"/>
    <n v="40"/>
    <x v="0"/>
    <s v="Instagram"/>
    <s v="Aug-2021"/>
    <s v="Dec-2024"/>
    <x v="3"/>
    <x v="5"/>
    <s v="Small"/>
    <x v="1"/>
  </r>
  <r>
    <s v="C0383"/>
    <x v="1"/>
    <d v="2021-04-06T00:00:00"/>
    <d v="2023-05-02T00:00:00"/>
    <n v="15"/>
    <x v="1"/>
    <s v="LinkedIn"/>
    <s v="Apr-2021"/>
    <s v="May-2023"/>
    <x v="5"/>
    <x v="4"/>
    <s v="Enterprise"/>
    <x v="1"/>
  </r>
  <r>
    <s v="C0384"/>
    <x v="2"/>
    <d v="2021-03-28T00:00:00"/>
    <d v="2024-12-31T00:00:00"/>
    <n v="25"/>
    <x v="0"/>
    <s v="Google"/>
    <s v="Mar-2021"/>
    <s v="Dec-2024"/>
    <x v="1"/>
    <x v="4"/>
    <s v="Medium"/>
    <x v="1"/>
  </r>
  <r>
    <s v="C0385"/>
    <x v="0"/>
    <d v="2021-07-08T00:00:00"/>
    <d v="2024-12-31T00:00:00"/>
    <n v="40"/>
    <x v="0"/>
    <s v="Google"/>
    <s v="Jul-2021"/>
    <s v="Dec-2024"/>
    <x v="1"/>
    <x v="0"/>
    <s v="Large"/>
    <x v="1"/>
  </r>
  <r>
    <s v="C0386"/>
    <x v="1"/>
    <d v="2024-01-19T00:00:00"/>
    <d v="2024-12-31T00:00:00"/>
    <n v="15"/>
    <x v="1"/>
    <s v="Instagram"/>
    <s v="Jan-2024"/>
    <s v="Dec-2024"/>
    <x v="2"/>
    <x v="3"/>
    <s v="Medium"/>
    <x v="3"/>
  </r>
  <r>
    <s v="C0387"/>
    <x v="1"/>
    <d v="2024-04-03T00:00:00"/>
    <d v="2024-12-31T00:00:00"/>
    <n v="15"/>
    <x v="0"/>
    <s v="Facebook"/>
    <s v="Apr-2024"/>
    <s v="Dec-2024"/>
    <x v="5"/>
    <x v="5"/>
    <s v="Enterprise"/>
    <x v="3"/>
  </r>
  <r>
    <s v="C0388"/>
    <x v="2"/>
    <d v="2020-06-04T00:00:00"/>
    <d v="2022-10-08T00:00:00"/>
    <n v="25"/>
    <x v="1"/>
    <s v="LinkedIn"/>
    <s v="Jun-2020"/>
    <s v="Oct-2022"/>
    <x v="0"/>
    <x v="1"/>
    <s v="Large"/>
    <x v="0"/>
  </r>
  <r>
    <s v="C0389"/>
    <x v="1"/>
    <d v="2024-01-19T00:00:00"/>
    <d v="2024-07-26T00:00:00"/>
    <n v="15"/>
    <x v="1"/>
    <s v="Facebook"/>
    <s v="Jan-2024"/>
    <s v="Jul-2024"/>
    <x v="5"/>
    <x v="0"/>
    <s v="Medium"/>
    <x v="3"/>
  </r>
  <r>
    <s v="C0390"/>
    <x v="2"/>
    <d v="2021-10-22T00:00:00"/>
    <d v="2024-12-31T00:00:00"/>
    <n v="25"/>
    <x v="0"/>
    <s v="Referral"/>
    <s v="Oct-2021"/>
    <s v="Dec-2024"/>
    <x v="4"/>
    <x v="0"/>
    <s v="Medium"/>
    <x v="1"/>
  </r>
  <r>
    <s v="C0391"/>
    <x v="2"/>
    <d v="2022-09-23T00:00:00"/>
    <d v="2024-12-31T00:00:00"/>
    <n v="25"/>
    <x v="0"/>
    <s v="Referral"/>
    <s v="Sep-2022"/>
    <s v="Dec-2024"/>
    <x v="1"/>
    <x v="4"/>
    <s v="Medium"/>
    <x v="4"/>
  </r>
  <r>
    <s v="C0392"/>
    <x v="2"/>
    <d v="2022-10-24T00:00:00"/>
    <d v="2024-12-31T00:00:00"/>
    <n v="25"/>
    <x v="1"/>
    <s v="Facebook"/>
    <s v="Oct-2022"/>
    <s v="Dec-2024"/>
    <x v="1"/>
    <x v="2"/>
    <s v="Medium"/>
    <x v="4"/>
  </r>
  <r>
    <s v="C0393"/>
    <x v="0"/>
    <d v="2024-01-24T00:00:00"/>
    <d v="2024-12-31T00:00:00"/>
    <n v="40"/>
    <x v="1"/>
    <s v="Facebook"/>
    <s v="Jan-2024"/>
    <s v="Dec-2024"/>
    <x v="2"/>
    <x v="5"/>
    <s v="Small"/>
    <x v="3"/>
  </r>
  <r>
    <s v="C0394"/>
    <x v="1"/>
    <d v="2023-03-12T00:00:00"/>
    <d v="2024-12-31T00:00:00"/>
    <n v="15"/>
    <x v="0"/>
    <s v="Google"/>
    <s v="Mar-2023"/>
    <s v="Dec-2024"/>
    <x v="0"/>
    <x v="5"/>
    <s v="Small"/>
    <x v="2"/>
  </r>
  <r>
    <s v="C0395"/>
    <x v="1"/>
    <d v="2020-02-26T00:00:00"/>
    <d v="2024-12-31T00:00:00"/>
    <n v="15"/>
    <x v="0"/>
    <s v="Google"/>
    <s v="Feb-2020"/>
    <s v="Dec-2024"/>
    <x v="4"/>
    <x v="1"/>
    <s v="Small"/>
    <x v="0"/>
  </r>
  <r>
    <s v="C0396"/>
    <x v="1"/>
    <d v="2022-01-14T00:00:00"/>
    <d v="2024-12-31T00:00:00"/>
    <n v="15"/>
    <x v="0"/>
    <s v="Instagram"/>
    <s v="Jan-2022"/>
    <s v="Dec-2024"/>
    <x v="1"/>
    <x v="1"/>
    <s v="Enterprise"/>
    <x v="4"/>
  </r>
  <r>
    <s v="C0397"/>
    <x v="2"/>
    <d v="2023-09-14T00:00:00"/>
    <d v="2024-12-31T00:00:00"/>
    <n v="25"/>
    <x v="0"/>
    <s v="Referral"/>
    <s v="Sep-2023"/>
    <s v="Dec-2024"/>
    <x v="4"/>
    <x v="0"/>
    <s v="Medium"/>
    <x v="2"/>
  </r>
  <r>
    <s v="C0398"/>
    <x v="1"/>
    <d v="2021-05-07T00:00:00"/>
    <d v="2024-12-31T00:00:00"/>
    <n v="15"/>
    <x v="0"/>
    <s v="Facebook"/>
    <s v="May-2021"/>
    <s v="Dec-2024"/>
    <x v="0"/>
    <x v="3"/>
    <s v="Large"/>
    <x v="1"/>
  </r>
  <r>
    <s v="C0399"/>
    <x v="1"/>
    <d v="2022-12-02T00:00:00"/>
    <d v="2024-06-11T00:00:00"/>
    <n v="15"/>
    <x v="1"/>
    <s v="Google"/>
    <s v="Dec-2022"/>
    <s v="Jun-2024"/>
    <x v="2"/>
    <x v="2"/>
    <s v="Enterprise"/>
    <x v="4"/>
  </r>
  <r>
    <s v="C0400"/>
    <x v="2"/>
    <d v="2022-11-24T00:00:00"/>
    <d v="2024-12-31T00:00:00"/>
    <n v="25"/>
    <x v="0"/>
    <s v="Instagram"/>
    <s v="Nov-2022"/>
    <s v="Dec-2024"/>
    <x v="0"/>
    <x v="4"/>
    <s v="Enterprise"/>
    <x v="4"/>
  </r>
  <r>
    <s v="C0401"/>
    <x v="2"/>
    <d v="2021-06-14T00:00:00"/>
    <d v="2024-12-31T00:00:00"/>
    <n v="25"/>
    <x v="0"/>
    <s v="Facebook"/>
    <s v="Jun-2021"/>
    <s v="Dec-2024"/>
    <x v="3"/>
    <x v="1"/>
    <s v="Small"/>
    <x v="1"/>
  </r>
  <r>
    <s v="C0402"/>
    <x v="2"/>
    <d v="2020-09-08T00:00:00"/>
    <d v="2024-12-31T00:00:00"/>
    <n v="25"/>
    <x v="0"/>
    <s v="Google"/>
    <s v="Sep-2020"/>
    <s v="Dec-2024"/>
    <x v="2"/>
    <x v="5"/>
    <s v="Large"/>
    <x v="0"/>
  </r>
  <r>
    <s v="C0403"/>
    <x v="2"/>
    <d v="2020-09-09T00:00:00"/>
    <d v="2024-12-31T00:00:00"/>
    <n v="25"/>
    <x v="0"/>
    <s v="Google"/>
    <s v="Sep-2020"/>
    <s v="Dec-2024"/>
    <x v="1"/>
    <x v="1"/>
    <s v="Enterprise"/>
    <x v="0"/>
  </r>
  <r>
    <s v="C0404"/>
    <x v="2"/>
    <d v="2021-06-14T00:00:00"/>
    <d v="2024-12-31T00:00:00"/>
    <n v="25"/>
    <x v="0"/>
    <s v="Referral"/>
    <s v="Jun-2021"/>
    <s v="Dec-2024"/>
    <x v="1"/>
    <x v="4"/>
    <s v="Medium"/>
    <x v="1"/>
  </r>
  <r>
    <s v="C0405"/>
    <x v="2"/>
    <d v="2020-11-05T00:00:00"/>
    <d v="2024-12-31T00:00:00"/>
    <n v="25"/>
    <x v="0"/>
    <s v="Instagram"/>
    <s v="Nov-2020"/>
    <s v="Dec-2024"/>
    <x v="1"/>
    <x v="3"/>
    <s v="Small"/>
    <x v="0"/>
  </r>
  <r>
    <s v="C0406"/>
    <x v="2"/>
    <d v="2020-03-05T00:00:00"/>
    <d v="2024-12-31T00:00:00"/>
    <n v="25"/>
    <x v="0"/>
    <s v="Instagram"/>
    <s v="Mar-2020"/>
    <s v="Dec-2024"/>
    <x v="3"/>
    <x v="4"/>
    <s v="Small"/>
    <x v="0"/>
  </r>
  <r>
    <s v="C0407"/>
    <x v="0"/>
    <d v="2021-12-08T00:00:00"/>
    <d v="2024-12-31T00:00:00"/>
    <n v="40"/>
    <x v="0"/>
    <s v="Facebook"/>
    <s v="Dec-2021"/>
    <s v="Dec-2024"/>
    <x v="1"/>
    <x v="1"/>
    <s v="Enterprise"/>
    <x v="1"/>
  </r>
  <r>
    <s v="C0408"/>
    <x v="0"/>
    <d v="2021-06-05T00:00:00"/>
    <d v="2024-12-31T00:00:00"/>
    <n v="40"/>
    <x v="0"/>
    <s v="Google"/>
    <s v="Jun-2021"/>
    <s v="Dec-2024"/>
    <x v="1"/>
    <x v="0"/>
    <s v="Medium"/>
    <x v="1"/>
  </r>
  <r>
    <s v="C0409"/>
    <x v="2"/>
    <d v="2022-01-29T00:00:00"/>
    <d v="2024-12-31T00:00:00"/>
    <n v="25"/>
    <x v="0"/>
    <s v="LinkedIn"/>
    <s v="Jan-2022"/>
    <s v="Dec-2024"/>
    <x v="1"/>
    <x v="1"/>
    <s v="Enterprise"/>
    <x v="4"/>
  </r>
  <r>
    <s v="C0410"/>
    <x v="1"/>
    <d v="2023-12-30T00:00:00"/>
    <d v="2024-12-31T00:00:00"/>
    <n v="15"/>
    <x v="0"/>
    <s v="Referral"/>
    <s v="Dec-2023"/>
    <s v="Dec-2024"/>
    <x v="2"/>
    <x v="4"/>
    <s v="Small"/>
    <x v="2"/>
  </r>
  <r>
    <s v="C0411"/>
    <x v="2"/>
    <d v="2023-07-12T00:00:00"/>
    <d v="2024-12-31T00:00:00"/>
    <n v="25"/>
    <x v="0"/>
    <s v="LinkedIn"/>
    <s v="Jul-2023"/>
    <s v="Dec-2024"/>
    <x v="3"/>
    <x v="5"/>
    <s v="Large"/>
    <x v="2"/>
  </r>
  <r>
    <s v="C0412"/>
    <x v="1"/>
    <d v="2021-02-20T00:00:00"/>
    <d v="2024-12-31T00:00:00"/>
    <n v="15"/>
    <x v="0"/>
    <s v="Referral"/>
    <s v="Feb-2021"/>
    <s v="Dec-2024"/>
    <x v="3"/>
    <x v="3"/>
    <s v="Small"/>
    <x v="1"/>
  </r>
  <r>
    <s v="C0413"/>
    <x v="1"/>
    <d v="2022-09-13T00:00:00"/>
    <d v="2024-12-31T00:00:00"/>
    <n v="15"/>
    <x v="0"/>
    <s v="Google"/>
    <s v="Sep-2022"/>
    <s v="Dec-2024"/>
    <x v="1"/>
    <x v="5"/>
    <s v="Large"/>
    <x v="4"/>
  </r>
  <r>
    <s v="C0414"/>
    <x v="1"/>
    <d v="2021-11-17T00:00:00"/>
    <d v="2024-12-31T00:00:00"/>
    <n v="15"/>
    <x v="0"/>
    <s v="Google"/>
    <s v="Nov-2021"/>
    <s v="Dec-2024"/>
    <x v="2"/>
    <x v="4"/>
    <s v="Medium"/>
    <x v="1"/>
  </r>
  <r>
    <s v="C0415"/>
    <x v="2"/>
    <d v="2020-06-28T00:00:00"/>
    <d v="2024-12-31T00:00:00"/>
    <n v="25"/>
    <x v="0"/>
    <s v="Referral"/>
    <s v="Jun-2020"/>
    <s v="Dec-2024"/>
    <x v="3"/>
    <x v="5"/>
    <s v="Large"/>
    <x v="0"/>
  </r>
  <r>
    <s v="C0416"/>
    <x v="0"/>
    <d v="2022-10-02T00:00:00"/>
    <d v="2024-12-31T00:00:00"/>
    <n v="40"/>
    <x v="0"/>
    <s v="LinkedIn"/>
    <s v="Oct-2022"/>
    <s v="Dec-2024"/>
    <x v="0"/>
    <x v="1"/>
    <s v="Small"/>
    <x v="4"/>
  </r>
  <r>
    <s v="C0417"/>
    <x v="2"/>
    <d v="2023-04-15T00:00:00"/>
    <d v="2024-12-31T00:00:00"/>
    <n v="25"/>
    <x v="0"/>
    <s v="Instagram"/>
    <s v="Apr-2023"/>
    <s v="Dec-2024"/>
    <x v="0"/>
    <x v="3"/>
    <s v="Large"/>
    <x v="2"/>
  </r>
  <r>
    <s v="C0418"/>
    <x v="0"/>
    <d v="2023-10-06T00:00:00"/>
    <d v="2024-12-31T00:00:00"/>
    <n v="40"/>
    <x v="1"/>
    <s v="Referral"/>
    <s v="Oct-2023"/>
    <s v="Dec-2024"/>
    <x v="1"/>
    <x v="2"/>
    <s v="Small"/>
    <x v="2"/>
  </r>
  <r>
    <s v="C0419"/>
    <x v="1"/>
    <d v="2023-06-14T00:00:00"/>
    <d v="2024-07-31T00:00:00"/>
    <n v="15"/>
    <x v="1"/>
    <s v="Google"/>
    <s v="Jun-2023"/>
    <s v="Jul-2024"/>
    <x v="1"/>
    <x v="3"/>
    <s v="Large"/>
    <x v="2"/>
  </r>
  <r>
    <s v="C0420"/>
    <x v="0"/>
    <d v="2023-09-07T00:00:00"/>
    <d v="2024-06-21T00:00:00"/>
    <n v="40"/>
    <x v="1"/>
    <s v="Instagram"/>
    <s v="Sep-2023"/>
    <s v="Jun-2024"/>
    <x v="5"/>
    <x v="0"/>
    <s v="Medium"/>
    <x v="2"/>
  </r>
  <r>
    <s v="C0421"/>
    <x v="0"/>
    <d v="2020-02-26T00:00:00"/>
    <d v="2024-12-31T00:00:00"/>
    <n v="40"/>
    <x v="0"/>
    <s v="LinkedIn"/>
    <s v="Feb-2020"/>
    <s v="Dec-2024"/>
    <x v="3"/>
    <x v="4"/>
    <s v="Medium"/>
    <x v="0"/>
  </r>
  <r>
    <s v="C0422"/>
    <x v="0"/>
    <d v="2020-08-11T00:00:00"/>
    <d v="2022-12-13T00:00:00"/>
    <n v="40"/>
    <x v="1"/>
    <s v="Facebook"/>
    <s v="Aug-2020"/>
    <s v="Dec-2022"/>
    <x v="1"/>
    <x v="3"/>
    <s v="Small"/>
    <x v="0"/>
  </r>
  <r>
    <s v="C0423"/>
    <x v="2"/>
    <d v="2022-10-17T00:00:00"/>
    <d v="2024-12-31T00:00:00"/>
    <n v="25"/>
    <x v="0"/>
    <s v="Facebook"/>
    <s v="Oct-2022"/>
    <s v="Dec-2024"/>
    <x v="4"/>
    <x v="0"/>
    <s v="Medium"/>
    <x v="4"/>
  </r>
  <r>
    <s v="C0424"/>
    <x v="0"/>
    <d v="2020-11-22T00:00:00"/>
    <d v="2024-12-31T00:00:00"/>
    <n v="40"/>
    <x v="0"/>
    <s v="LinkedIn"/>
    <s v="Nov-2020"/>
    <s v="Dec-2024"/>
    <x v="3"/>
    <x v="3"/>
    <s v="Small"/>
    <x v="0"/>
  </r>
  <r>
    <s v="C0425"/>
    <x v="2"/>
    <d v="2023-04-23T00:00:00"/>
    <d v="2024-12-31T00:00:00"/>
    <n v="25"/>
    <x v="1"/>
    <s v="LinkedIn"/>
    <s v="Apr-2023"/>
    <s v="Dec-2024"/>
    <x v="0"/>
    <x v="2"/>
    <s v="Small"/>
    <x v="2"/>
  </r>
  <r>
    <s v="C0426"/>
    <x v="0"/>
    <d v="2021-03-19T00:00:00"/>
    <d v="2024-12-31T00:00:00"/>
    <n v="40"/>
    <x v="0"/>
    <s v="Instagram"/>
    <s v="Mar-2021"/>
    <s v="Dec-2024"/>
    <x v="1"/>
    <x v="0"/>
    <s v="Enterprise"/>
    <x v="1"/>
  </r>
  <r>
    <s v="C0427"/>
    <x v="1"/>
    <d v="2020-04-27T00:00:00"/>
    <d v="2024-12-31T00:00:00"/>
    <n v="15"/>
    <x v="0"/>
    <s v="LinkedIn"/>
    <s v="Apr-2020"/>
    <s v="Dec-2024"/>
    <x v="2"/>
    <x v="4"/>
    <s v="Medium"/>
    <x v="0"/>
  </r>
  <r>
    <s v="C0428"/>
    <x v="2"/>
    <d v="2021-06-06T00:00:00"/>
    <d v="2021-12-25T00:00:00"/>
    <n v="25"/>
    <x v="1"/>
    <s v="Facebook"/>
    <s v="Jun-2021"/>
    <s v="Dec-2021"/>
    <x v="2"/>
    <x v="3"/>
    <s v="Medium"/>
    <x v="1"/>
  </r>
  <r>
    <s v="C0429"/>
    <x v="0"/>
    <d v="2022-07-17T00:00:00"/>
    <d v="2023-10-22T00:00:00"/>
    <n v="40"/>
    <x v="1"/>
    <s v="Facebook"/>
    <s v="Jul-2022"/>
    <s v="Oct-2023"/>
    <x v="3"/>
    <x v="3"/>
    <s v="Enterprise"/>
    <x v="4"/>
  </r>
  <r>
    <s v="C0430"/>
    <x v="0"/>
    <d v="2021-04-27T00:00:00"/>
    <d v="2024-12-31T00:00:00"/>
    <n v="40"/>
    <x v="0"/>
    <s v="LinkedIn"/>
    <s v="Apr-2021"/>
    <s v="Dec-2024"/>
    <x v="2"/>
    <x v="3"/>
    <s v="Large"/>
    <x v="1"/>
  </r>
  <r>
    <s v="C0431"/>
    <x v="1"/>
    <d v="2023-05-18T00:00:00"/>
    <d v="2024-12-31T00:00:00"/>
    <n v="15"/>
    <x v="1"/>
    <s v="Facebook"/>
    <s v="May-2023"/>
    <s v="Dec-2024"/>
    <x v="2"/>
    <x v="2"/>
    <s v="Large"/>
    <x v="2"/>
  </r>
  <r>
    <s v="C0432"/>
    <x v="1"/>
    <d v="2024-03-08T00:00:00"/>
    <d v="2024-12-31T00:00:00"/>
    <n v="15"/>
    <x v="1"/>
    <s v="LinkedIn"/>
    <s v="Mar-2024"/>
    <s v="Dec-2024"/>
    <x v="3"/>
    <x v="1"/>
    <s v="Small"/>
    <x v="3"/>
  </r>
  <r>
    <s v="C0433"/>
    <x v="2"/>
    <d v="2023-05-17T00:00:00"/>
    <d v="2024-12-31T00:00:00"/>
    <n v="25"/>
    <x v="0"/>
    <s v="Google"/>
    <s v="May-2023"/>
    <s v="Dec-2024"/>
    <x v="4"/>
    <x v="0"/>
    <s v="Enterprise"/>
    <x v="2"/>
  </r>
  <r>
    <s v="C0434"/>
    <x v="1"/>
    <d v="2022-07-31T00:00:00"/>
    <d v="2024-12-31T00:00:00"/>
    <n v="15"/>
    <x v="0"/>
    <s v="Google"/>
    <s v="Jul-2022"/>
    <s v="Dec-2024"/>
    <x v="1"/>
    <x v="4"/>
    <s v="Large"/>
    <x v="4"/>
  </r>
  <r>
    <s v="C0435"/>
    <x v="1"/>
    <d v="2021-11-11T00:00:00"/>
    <d v="2024-12-31T00:00:00"/>
    <n v="15"/>
    <x v="0"/>
    <s v="Instagram"/>
    <s v="Nov-2021"/>
    <s v="Dec-2024"/>
    <x v="4"/>
    <x v="4"/>
    <s v="Medium"/>
    <x v="1"/>
  </r>
  <r>
    <s v="C0436"/>
    <x v="0"/>
    <d v="2023-03-03T00:00:00"/>
    <d v="2024-12-31T00:00:00"/>
    <n v="40"/>
    <x v="0"/>
    <s v="Google"/>
    <s v="Mar-2023"/>
    <s v="Dec-2024"/>
    <x v="3"/>
    <x v="4"/>
    <s v="Enterprise"/>
    <x v="2"/>
  </r>
  <r>
    <s v="C0437"/>
    <x v="2"/>
    <d v="2020-07-04T00:00:00"/>
    <d v="2021-01-05T00:00:00"/>
    <n v="25"/>
    <x v="1"/>
    <s v="Google"/>
    <s v="Jul-2020"/>
    <s v="Jan-2021"/>
    <x v="1"/>
    <x v="1"/>
    <s v="Small"/>
    <x v="0"/>
  </r>
  <r>
    <s v="C0438"/>
    <x v="2"/>
    <d v="2023-12-12T00:00:00"/>
    <d v="2024-12-31T00:00:00"/>
    <n v="25"/>
    <x v="0"/>
    <s v="LinkedIn"/>
    <s v="Dec-2023"/>
    <s v="Dec-2024"/>
    <x v="5"/>
    <x v="5"/>
    <s v="Enterprise"/>
    <x v="2"/>
  </r>
  <r>
    <s v="C0439"/>
    <x v="2"/>
    <d v="2022-07-27T00:00:00"/>
    <d v="2024-12-31T00:00:00"/>
    <n v="25"/>
    <x v="0"/>
    <s v="Instagram"/>
    <s v="Jul-2022"/>
    <s v="Dec-2024"/>
    <x v="3"/>
    <x v="1"/>
    <s v="Small"/>
    <x v="4"/>
  </r>
  <r>
    <s v="C0440"/>
    <x v="1"/>
    <d v="2021-04-27T00:00:00"/>
    <d v="2022-03-06T00:00:00"/>
    <n v="15"/>
    <x v="1"/>
    <s v="LinkedIn"/>
    <s v="Apr-2021"/>
    <s v="Mar-2022"/>
    <x v="3"/>
    <x v="5"/>
    <s v="Large"/>
    <x v="1"/>
  </r>
  <r>
    <s v="C0441"/>
    <x v="2"/>
    <d v="2024-01-25T00:00:00"/>
    <d v="2024-12-31T00:00:00"/>
    <n v="25"/>
    <x v="0"/>
    <s v="Referral"/>
    <s v="Jan-2024"/>
    <s v="Dec-2024"/>
    <x v="5"/>
    <x v="1"/>
    <s v="Small"/>
    <x v="3"/>
  </r>
  <r>
    <s v="C0442"/>
    <x v="2"/>
    <d v="2021-12-31T00:00:00"/>
    <d v="2024-12-31T00:00:00"/>
    <n v="25"/>
    <x v="0"/>
    <s v="Facebook"/>
    <s v="Dec-2021"/>
    <s v="Dec-2024"/>
    <x v="3"/>
    <x v="5"/>
    <s v="Medium"/>
    <x v="1"/>
  </r>
  <r>
    <s v="C0443"/>
    <x v="1"/>
    <d v="2020-02-23T00:00:00"/>
    <d v="2024-12-31T00:00:00"/>
    <n v="15"/>
    <x v="0"/>
    <s v="Google"/>
    <s v="Feb-2020"/>
    <s v="Dec-2024"/>
    <x v="3"/>
    <x v="2"/>
    <s v="Enterprise"/>
    <x v="0"/>
  </r>
  <r>
    <s v="C0444"/>
    <x v="2"/>
    <d v="2024-05-17T00:00:00"/>
    <d v="2024-12-31T00:00:00"/>
    <n v="25"/>
    <x v="0"/>
    <s v="Referral"/>
    <s v="May-2024"/>
    <s v="Dec-2024"/>
    <x v="5"/>
    <x v="2"/>
    <s v="Enterprise"/>
    <x v="3"/>
  </r>
  <r>
    <s v="C0445"/>
    <x v="0"/>
    <d v="2020-01-18T00:00:00"/>
    <d v="2024-12-31T00:00:00"/>
    <n v="40"/>
    <x v="0"/>
    <s v="Google"/>
    <s v="Jan-2020"/>
    <s v="Dec-2024"/>
    <x v="0"/>
    <x v="5"/>
    <s v="Enterprise"/>
    <x v="0"/>
  </r>
  <r>
    <s v="C0446"/>
    <x v="1"/>
    <d v="2024-01-02T00:00:00"/>
    <d v="2024-12-31T00:00:00"/>
    <n v="15"/>
    <x v="0"/>
    <s v="Facebook"/>
    <s v="Jan-2024"/>
    <s v="Dec-2024"/>
    <x v="1"/>
    <x v="1"/>
    <s v="Small"/>
    <x v="3"/>
  </r>
  <r>
    <s v="C0447"/>
    <x v="2"/>
    <d v="2022-11-25T00:00:00"/>
    <d v="2024-12-31T00:00:00"/>
    <n v="25"/>
    <x v="0"/>
    <s v="Referral"/>
    <s v="Nov-2022"/>
    <s v="Dec-2024"/>
    <x v="3"/>
    <x v="4"/>
    <s v="Medium"/>
    <x v="4"/>
  </r>
  <r>
    <s v="C0448"/>
    <x v="0"/>
    <d v="2021-11-01T00:00:00"/>
    <d v="2024-12-31T00:00:00"/>
    <n v="40"/>
    <x v="0"/>
    <s v="Google"/>
    <s v="Nov-2021"/>
    <s v="Dec-2024"/>
    <x v="3"/>
    <x v="0"/>
    <s v="Small"/>
    <x v="1"/>
  </r>
  <r>
    <s v="C0449"/>
    <x v="2"/>
    <d v="2021-11-08T00:00:00"/>
    <d v="2024-12-31T00:00:00"/>
    <n v="25"/>
    <x v="0"/>
    <s v="LinkedIn"/>
    <s v="Nov-2021"/>
    <s v="Dec-2024"/>
    <x v="2"/>
    <x v="5"/>
    <s v="Enterprise"/>
    <x v="1"/>
  </r>
  <r>
    <s v="C0450"/>
    <x v="0"/>
    <d v="2021-07-19T00:00:00"/>
    <d v="2024-12-31T00:00:00"/>
    <n v="40"/>
    <x v="0"/>
    <s v="LinkedIn"/>
    <s v="Jul-2021"/>
    <s v="Dec-2024"/>
    <x v="0"/>
    <x v="4"/>
    <s v="Medium"/>
    <x v="1"/>
  </r>
  <r>
    <s v="C0451"/>
    <x v="2"/>
    <d v="2023-03-12T00:00:00"/>
    <d v="2024-12-31T00:00:00"/>
    <n v="25"/>
    <x v="0"/>
    <s v="Referral"/>
    <s v="Mar-2023"/>
    <s v="Dec-2024"/>
    <x v="1"/>
    <x v="2"/>
    <s v="Medium"/>
    <x v="2"/>
  </r>
  <r>
    <s v="C0452"/>
    <x v="1"/>
    <d v="2022-06-08T00:00:00"/>
    <d v="2024-12-31T00:00:00"/>
    <n v="15"/>
    <x v="0"/>
    <s v="LinkedIn"/>
    <s v="Jun-2022"/>
    <s v="Dec-2024"/>
    <x v="5"/>
    <x v="0"/>
    <s v="Medium"/>
    <x v="4"/>
  </r>
  <r>
    <s v="C0453"/>
    <x v="0"/>
    <d v="2022-11-20T00:00:00"/>
    <d v="2023-08-03T00:00:00"/>
    <n v="40"/>
    <x v="1"/>
    <s v="LinkedIn"/>
    <s v="Nov-2022"/>
    <s v="Aug-2023"/>
    <x v="4"/>
    <x v="2"/>
    <s v="Small"/>
    <x v="4"/>
  </r>
  <r>
    <s v="C0454"/>
    <x v="2"/>
    <d v="2021-02-18T00:00:00"/>
    <d v="2021-12-11T00:00:00"/>
    <n v="25"/>
    <x v="1"/>
    <s v="Google"/>
    <s v="Feb-2021"/>
    <s v="Dec-2021"/>
    <x v="2"/>
    <x v="1"/>
    <s v="Medium"/>
    <x v="1"/>
  </r>
  <r>
    <s v="C0455"/>
    <x v="1"/>
    <d v="2020-02-29T00:00:00"/>
    <d v="2021-11-19T00:00:00"/>
    <n v="15"/>
    <x v="1"/>
    <s v="Instagram"/>
    <s v="Feb-2020"/>
    <s v="Nov-2021"/>
    <x v="5"/>
    <x v="2"/>
    <s v="Medium"/>
    <x v="0"/>
  </r>
  <r>
    <s v="C0456"/>
    <x v="2"/>
    <d v="2023-09-22T00:00:00"/>
    <d v="2024-12-31T00:00:00"/>
    <n v="25"/>
    <x v="0"/>
    <s v="Instagram"/>
    <s v="Sep-2023"/>
    <s v="Dec-2024"/>
    <x v="5"/>
    <x v="2"/>
    <s v="Enterprise"/>
    <x v="2"/>
  </r>
  <r>
    <s v="C0457"/>
    <x v="0"/>
    <d v="2024-01-24T00:00:00"/>
    <d v="2024-12-31T00:00:00"/>
    <n v="40"/>
    <x v="0"/>
    <s v="Referral"/>
    <s v="Jan-2024"/>
    <s v="Dec-2024"/>
    <x v="5"/>
    <x v="1"/>
    <s v="Enterprise"/>
    <x v="3"/>
  </r>
  <r>
    <s v="C0458"/>
    <x v="0"/>
    <d v="2023-09-26T00:00:00"/>
    <d v="2024-08-06T00:00:00"/>
    <n v="40"/>
    <x v="1"/>
    <s v="Google"/>
    <s v="Sep-2023"/>
    <s v="Aug-2024"/>
    <x v="2"/>
    <x v="2"/>
    <s v="Small"/>
    <x v="2"/>
  </r>
  <r>
    <s v="C0459"/>
    <x v="0"/>
    <d v="2021-01-07T00:00:00"/>
    <d v="2024-12-31T00:00:00"/>
    <n v="40"/>
    <x v="0"/>
    <s v="Instagram"/>
    <s v="Jan-2021"/>
    <s v="Dec-2024"/>
    <x v="1"/>
    <x v="3"/>
    <s v="Enterprise"/>
    <x v="1"/>
  </r>
  <r>
    <s v="C0460"/>
    <x v="1"/>
    <d v="2021-04-30T00:00:00"/>
    <d v="2021-07-10T00:00:00"/>
    <n v="15"/>
    <x v="1"/>
    <s v="Instagram"/>
    <s v="Apr-2021"/>
    <s v="Jul-2021"/>
    <x v="5"/>
    <x v="0"/>
    <s v="Large"/>
    <x v="1"/>
  </r>
  <r>
    <s v="C0461"/>
    <x v="1"/>
    <d v="2021-11-18T00:00:00"/>
    <d v="2024-12-31T00:00:00"/>
    <n v="15"/>
    <x v="0"/>
    <s v="LinkedIn"/>
    <s v="Nov-2021"/>
    <s v="Dec-2024"/>
    <x v="0"/>
    <x v="1"/>
    <s v="Large"/>
    <x v="1"/>
  </r>
  <r>
    <s v="C0462"/>
    <x v="2"/>
    <d v="2021-02-28T00:00:00"/>
    <d v="2023-06-10T00:00:00"/>
    <n v="25"/>
    <x v="1"/>
    <s v="Instagram"/>
    <s v="Feb-2021"/>
    <s v="Jun-2023"/>
    <x v="5"/>
    <x v="3"/>
    <s v="Large"/>
    <x v="1"/>
  </r>
  <r>
    <s v="C0463"/>
    <x v="1"/>
    <d v="2020-01-12T00:00:00"/>
    <d v="2024-12-31T00:00:00"/>
    <n v="15"/>
    <x v="0"/>
    <s v="LinkedIn"/>
    <s v="Jan-2020"/>
    <s v="Dec-2024"/>
    <x v="1"/>
    <x v="1"/>
    <s v="Large"/>
    <x v="0"/>
  </r>
  <r>
    <s v="C0464"/>
    <x v="1"/>
    <d v="2021-05-22T00:00:00"/>
    <d v="2024-12-31T00:00:00"/>
    <n v="15"/>
    <x v="0"/>
    <s v="Referral"/>
    <s v="May-2021"/>
    <s v="Dec-2024"/>
    <x v="3"/>
    <x v="4"/>
    <s v="Enterprise"/>
    <x v="1"/>
  </r>
  <r>
    <s v="C0465"/>
    <x v="2"/>
    <d v="2022-10-04T00:00:00"/>
    <d v="2024-12-31T00:00:00"/>
    <n v="25"/>
    <x v="0"/>
    <s v="Referral"/>
    <s v="Oct-2022"/>
    <s v="Dec-2024"/>
    <x v="4"/>
    <x v="2"/>
    <s v="Small"/>
    <x v="4"/>
  </r>
  <r>
    <s v="C0466"/>
    <x v="1"/>
    <d v="2022-12-23T00:00:00"/>
    <d v="2024-12-31T00:00:00"/>
    <n v="15"/>
    <x v="0"/>
    <s v="Referral"/>
    <s v="Dec-2022"/>
    <s v="Dec-2024"/>
    <x v="0"/>
    <x v="1"/>
    <s v="Enterprise"/>
    <x v="4"/>
  </r>
  <r>
    <s v="C0467"/>
    <x v="2"/>
    <d v="2020-09-24T00:00:00"/>
    <d v="2024-12-31T00:00:00"/>
    <n v="25"/>
    <x v="0"/>
    <s v="Referral"/>
    <s v="Sep-2020"/>
    <s v="Dec-2024"/>
    <x v="4"/>
    <x v="4"/>
    <s v="Small"/>
    <x v="0"/>
  </r>
  <r>
    <s v="C0468"/>
    <x v="1"/>
    <d v="2023-01-11T00:00:00"/>
    <d v="2024-12-31T00:00:00"/>
    <n v="15"/>
    <x v="0"/>
    <s v="Instagram"/>
    <s v="Jan-2023"/>
    <s v="Dec-2024"/>
    <x v="0"/>
    <x v="4"/>
    <s v="Enterprise"/>
    <x v="2"/>
  </r>
  <r>
    <s v="C0469"/>
    <x v="0"/>
    <d v="2024-02-24T00:00:00"/>
    <d v="2024-12-31T00:00:00"/>
    <n v="40"/>
    <x v="0"/>
    <s v="LinkedIn"/>
    <s v="Feb-2024"/>
    <s v="Dec-2024"/>
    <x v="5"/>
    <x v="1"/>
    <s v="Small"/>
    <x v="3"/>
  </r>
  <r>
    <s v="C0470"/>
    <x v="2"/>
    <d v="2023-08-04T00:00:00"/>
    <d v="2024-12-31T00:00:00"/>
    <n v="25"/>
    <x v="0"/>
    <s v="Referral"/>
    <s v="Aug-2023"/>
    <s v="Dec-2024"/>
    <x v="2"/>
    <x v="4"/>
    <s v="Large"/>
    <x v="2"/>
  </r>
  <r>
    <s v="C0471"/>
    <x v="2"/>
    <d v="2024-06-13T00:00:00"/>
    <d v="2024-12-31T00:00:00"/>
    <n v="25"/>
    <x v="0"/>
    <s v="Google"/>
    <s v="Jun-2024"/>
    <s v="Dec-2024"/>
    <x v="3"/>
    <x v="5"/>
    <s v="Large"/>
    <x v="3"/>
  </r>
  <r>
    <s v="C0472"/>
    <x v="0"/>
    <d v="2020-03-23T00:00:00"/>
    <d v="2024-12-31T00:00:00"/>
    <n v="40"/>
    <x v="0"/>
    <s v="Google"/>
    <s v="Mar-2020"/>
    <s v="Dec-2024"/>
    <x v="3"/>
    <x v="5"/>
    <s v="Small"/>
    <x v="0"/>
  </r>
  <r>
    <s v="C0473"/>
    <x v="1"/>
    <d v="2020-03-01T00:00:00"/>
    <d v="2020-09-25T00:00:00"/>
    <n v="15"/>
    <x v="1"/>
    <s v="Referral"/>
    <s v="Mar-2020"/>
    <s v="Sep-2020"/>
    <x v="2"/>
    <x v="4"/>
    <s v="Medium"/>
    <x v="0"/>
  </r>
  <r>
    <s v="C0474"/>
    <x v="1"/>
    <d v="2022-03-18T00:00:00"/>
    <d v="2023-04-21T00:00:00"/>
    <n v="15"/>
    <x v="1"/>
    <s v="LinkedIn"/>
    <s v="Mar-2022"/>
    <s v="Apr-2023"/>
    <x v="3"/>
    <x v="4"/>
    <s v="Medium"/>
    <x v="4"/>
  </r>
  <r>
    <s v="C0475"/>
    <x v="1"/>
    <d v="2020-05-24T00:00:00"/>
    <d v="2024-12-31T00:00:00"/>
    <n v="15"/>
    <x v="0"/>
    <s v="Referral"/>
    <s v="May-2020"/>
    <s v="Dec-2024"/>
    <x v="3"/>
    <x v="5"/>
    <s v="Large"/>
    <x v="0"/>
  </r>
  <r>
    <s v="C0476"/>
    <x v="1"/>
    <d v="2021-12-06T00:00:00"/>
    <d v="2024-12-31T00:00:00"/>
    <n v="15"/>
    <x v="0"/>
    <s v="Facebook"/>
    <s v="Dec-2021"/>
    <s v="Dec-2024"/>
    <x v="5"/>
    <x v="4"/>
    <s v="Large"/>
    <x v="1"/>
  </r>
  <r>
    <s v="C0477"/>
    <x v="1"/>
    <d v="2020-02-20T00:00:00"/>
    <d v="2020-05-22T00:00:00"/>
    <n v="15"/>
    <x v="1"/>
    <s v="Facebook"/>
    <s v="Feb-2020"/>
    <s v="May-2020"/>
    <x v="4"/>
    <x v="4"/>
    <s v="Enterprise"/>
    <x v="0"/>
  </r>
  <r>
    <s v="C0478"/>
    <x v="2"/>
    <d v="2020-02-17T00:00:00"/>
    <d v="2024-12-31T00:00:00"/>
    <n v="25"/>
    <x v="0"/>
    <s v="Instagram"/>
    <s v="Feb-2020"/>
    <s v="Dec-2024"/>
    <x v="4"/>
    <x v="0"/>
    <s v="Large"/>
    <x v="0"/>
  </r>
  <r>
    <s v="C0479"/>
    <x v="1"/>
    <d v="2022-01-26T00:00:00"/>
    <d v="2024-12-31T00:00:00"/>
    <n v="15"/>
    <x v="0"/>
    <s v="Facebook"/>
    <s v="Jan-2022"/>
    <s v="Dec-2024"/>
    <x v="4"/>
    <x v="2"/>
    <s v="Medium"/>
    <x v="4"/>
  </r>
  <r>
    <s v="C0480"/>
    <x v="2"/>
    <d v="2022-09-25T00:00:00"/>
    <d v="2024-12-31T00:00:00"/>
    <n v="25"/>
    <x v="0"/>
    <s v="LinkedIn"/>
    <s v="Sep-2022"/>
    <s v="Dec-2024"/>
    <x v="4"/>
    <x v="3"/>
    <s v="Medium"/>
    <x v="4"/>
  </r>
  <r>
    <s v="C0481"/>
    <x v="1"/>
    <d v="2022-05-02T00:00:00"/>
    <d v="2024-12-31T00:00:00"/>
    <n v="15"/>
    <x v="0"/>
    <s v="Facebook"/>
    <s v="May-2022"/>
    <s v="Dec-2024"/>
    <x v="0"/>
    <x v="5"/>
    <s v="Large"/>
    <x v="4"/>
  </r>
  <r>
    <s v="C0482"/>
    <x v="0"/>
    <d v="2023-08-02T00:00:00"/>
    <d v="2024-12-31T00:00:00"/>
    <n v="40"/>
    <x v="0"/>
    <s v="Facebook"/>
    <s v="Aug-2023"/>
    <s v="Dec-2024"/>
    <x v="3"/>
    <x v="5"/>
    <s v="Enterprise"/>
    <x v="2"/>
  </r>
  <r>
    <s v="C0483"/>
    <x v="1"/>
    <d v="2020-05-05T00:00:00"/>
    <d v="2022-02-13T00:00:00"/>
    <n v="15"/>
    <x v="1"/>
    <s v="LinkedIn"/>
    <s v="May-2020"/>
    <s v="Feb-2022"/>
    <x v="1"/>
    <x v="2"/>
    <s v="Enterprise"/>
    <x v="0"/>
  </r>
  <r>
    <s v="C0484"/>
    <x v="0"/>
    <d v="2021-07-26T00:00:00"/>
    <d v="2024-12-31T00:00:00"/>
    <n v="40"/>
    <x v="0"/>
    <s v="Google"/>
    <s v="Jul-2021"/>
    <s v="Dec-2024"/>
    <x v="2"/>
    <x v="0"/>
    <s v="Small"/>
    <x v="1"/>
  </r>
  <r>
    <s v="C0485"/>
    <x v="1"/>
    <d v="2022-12-13T00:00:00"/>
    <d v="2023-05-03T00:00:00"/>
    <n v="15"/>
    <x v="1"/>
    <s v="LinkedIn"/>
    <s v="Dec-2022"/>
    <s v="May-2023"/>
    <x v="4"/>
    <x v="5"/>
    <s v="Small"/>
    <x v="4"/>
  </r>
  <r>
    <s v="C0486"/>
    <x v="0"/>
    <d v="2022-08-28T00:00:00"/>
    <d v="2024-12-31T00:00:00"/>
    <n v="40"/>
    <x v="0"/>
    <s v="LinkedIn"/>
    <s v="Aug-2022"/>
    <s v="Dec-2024"/>
    <x v="0"/>
    <x v="4"/>
    <s v="Medium"/>
    <x v="4"/>
  </r>
  <r>
    <s v="C0487"/>
    <x v="0"/>
    <d v="2020-03-20T00:00:00"/>
    <d v="2024-12-31T00:00:00"/>
    <n v="40"/>
    <x v="0"/>
    <s v="Google"/>
    <s v="Mar-2020"/>
    <s v="Dec-2024"/>
    <x v="5"/>
    <x v="4"/>
    <s v="Large"/>
    <x v="0"/>
  </r>
  <r>
    <s v="C0488"/>
    <x v="2"/>
    <d v="2024-02-19T00:00:00"/>
    <d v="2024-12-31T00:00:00"/>
    <n v="25"/>
    <x v="0"/>
    <s v="Facebook"/>
    <s v="Feb-2024"/>
    <s v="Dec-2024"/>
    <x v="4"/>
    <x v="2"/>
    <s v="Enterprise"/>
    <x v="3"/>
  </r>
  <r>
    <s v="C0489"/>
    <x v="2"/>
    <d v="2023-12-19T00:00:00"/>
    <d v="2024-12-31T00:00:00"/>
    <n v="25"/>
    <x v="0"/>
    <s v="Referral"/>
    <s v="Dec-2023"/>
    <s v="Dec-2024"/>
    <x v="3"/>
    <x v="0"/>
    <s v="Enterprise"/>
    <x v="2"/>
  </r>
  <r>
    <s v="C0490"/>
    <x v="1"/>
    <d v="2021-11-15T00:00:00"/>
    <d v="2023-05-30T00:00:00"/>
    <n v="15"/>
    <x v="1"/>
    <s v="Facebook"/>
    <s v="Nov-2021"/>
    <s v="May-2023"/>
    <x v="5"/>
    <x v="0"/>
    <s v="Small"/>
    <x v="1"/>
  </r>
  <r>
    <s v="C0491"/>
    <x v="0"/>
    <d v="2020-10-05T00:00:00"/>
    <d v="2022-11-18T00:00:00"/>
    <n v="40"/>
    <x v="1"/>
    <s v="Instagram"/>
    <s v="Oct-2020"/>
    <s v="Nov-2022"/>
    <x v="5"/>
    <x v="3"/>
    <s v="Enterprise"/>
    <x v="0"/>
  </r>
  <r>
    <s v="C0492"/>
    <x v="1"/>
    <d v="2022-10-18T00:00:00"/>
    <d v="2024-09-24T00:00:00"/>
    <n v="15"/>
    <x v="1"/>
    <s v="Referral"/>
    <s v="Oct-2022"/>
    <s v="Sep-2024"/>
    <x v="5"/>
    <x v="0"/>
    <s v="Enterprise"/>
    <x v="4"/>
  </r>
  <r>
    <s v="C0493"/>
    <x v="1"/>
    <d v="2023-09-30T00:00:00"/>
    <d v="2024-12-31T00:00:00"/>
    <n v="15"/>
    <x v="0"/>
    <s v="LinkedIn"/>
    <s v="Sep-2023"/>
    <s v="Dec-2024"/>
    <x v="1"/>
    <x v="4"/>
    <s v="Large"/>
    <x v="2"/>
  </r>
  <r>
    <s v="C0494"/>
    <x v="1"/>
    <d v="2023-02-17T00:00:00"/>
    <d v="2024-12-31T00:00:00"/>
    <n v="15"/>
    <x v="0"/>
    <s v="Referral"/>
    <s v="Feb-2023"/>
    <s v="Dec-2024"/>
    <x v="5"/>
    <x v="3"/>
    <s v="Enterprise"/>
    <x v="2"/>
  </r>
  <r>
    <s v="C0495"/>
    <x v="0"/>
    <d v="2020-10-12T00:00:00"/>
    <d v="2024-12-31T00:00:00"/>
    <n v="40"/>
    <x v="0"/>
    <s v="Referral"/>
    <s v="Oct-2020"/>
    <s v="Dec-2024"/>
    <x v="1"/>
    <x v="1"/>
    <s v="Enterprise"/>
    <x v="0"/>
  </r>
  <r>
    <s v="C0496"/>
    <x v="2"/>
    <d v="2021-12-20T00:00:00"/>
    <d v="2024-12-31T00:00:00"/>
    <n v="25"/>
    <x v="0"/>
    <s v="Referral"/>
    <s v="Dec-2021"/>
    <s v="Dec-2024"/>
    <x v="1"/>
    <x v="1"/>
    <s v="Large"/>
    <x v="1"/>
  </r>
  <r>
    <s v="C0497"/>
    <x v="0"/>
    <d v="2022-03-27T00:00:00"/>
    <d v="2024-12-31T00:00:00"/>
    <n v="40"/>
    <x v="0"/>
    <s v="Instagram"/>
    <s v="Mar-2022"/>
    <s v="Dec-2024"/>
    <x v="1"/>
    <x v="4"/>
    <s v="Large"/>
    <x v="4"/>
  </r>
  <r>
    <s v="C0498"/>
    <x v="2"/>
    <d v="2024-01-10T00:00:00"/>
    <d v="2024-12-31T00:00:00"/>
    <n v="25"/>
    <x v="0"/>
    <s v="Google"/>
    <s v="Jan-2024"/>
    <s v="Dec-2024"/>
    <x v="3"/>
    <x v="5"/>
    <s v="Large"/>
    <x v="3"/>
  </r>
  <r>
    <s v="C0499"/>
    <x v="0"/>
    <d v="2024-01-29T00:00:00"/>
    <d v="2024-12-31T00:00:00"/>
    <n v="40"/>
    <x v="0"/>
    <s v="Instagram"/>
    <s v="Jan-2024"/>
    <s v="Dec-2024"/>
    <x v="4"/>
    <x v="0"/>
    <s v="Enterprise"/>
    <x v="3"/>
  </r>
  <r>
    <s v="C0500"/>
    <x v="1"/>
    <d v="2023-07-24T00:00:00"/>
    <d v="2024-02-03T00:00:00"/>
    <n v="15"/>
    <x v="1"/>
    <s v="Google"/>
    <s v="Jul-2023"/>
    <s v="Feb-2024"/>
    <x v="3"/>
    <x v="5"/>
    <s v="Large"/>
    <x v="2"/>
  </r>
  <r>
    <s v="C0501"/>
    <x v="0"/>
    <d v="2022-07-18T00:00:00"/>
    <d v="2024-12-31T00:00:00"/>
    <n v="40"/>
    <x v="0"/>
    <s v="Facebook"/>
    <s v="Jul-2022"/>
    <s v="Dec-2024"/>
    <x v="0"/>
    <x v="0"/>
    <s v="Enterprise"/>
    <x v="4"/>
  </r>
  <r>
    <s v="C0502"/>
    <x v="1"/>
    <d v="2020-06-03T00:00:00"/>
    <d v="2022-08-25T00:00:00"/>
    <n v="15"/>
    <x v="1"/>
    <s v="Referral"/>
    <s v="Jun-2020"/>
    <s v="Aug-2022"/>
    <x v="1"/>
    <x v="0"/>
    <s v="Large"/>
    <x v="0"/>
  </r>
  <r>
    <s v="C0503"/>
    <x v="1"/>
    <d v="2022-06-17T00:00:00"/>
    <d v="2024-12-31T00:00:00"/>
    <n v="15"/>
    <x v="0"/>
    <s v="Facebook"/>
    <s v="Jun-2022"/>
    <s v="Dec-2024"/>
    <x v="3"/>
    <x v="1"/>
    <s v="Large"/>
    <x v="4"/>
  </r>
  <r>
    <s v="C0504"/>
    <x v="2"/>
    <d v="2024-06-29T00:00:00"/>
    <d v="2024-12-31T00:00:00"/>
    <n v="25"/>
    <x v="0"/>
    <s v="Google"/>
    <s v="Jun-2024"/>
    <s v="Dec-2024"/>
    <x v="1"/>
    <x v="2"/>
    <s v="Medium"/>
    <x v="3"/>
  </r>
  <r>
    <s v="C0505"/>
    <x v="2"/>
    <d v="2021-12-20T00:00:00"/>
    <d v="2023-08-16T00:00:00"/>
    <n v="25"/>
    <x v="1"/>
    <s v="Facebook"/>
    <s v="Dec-2021"/>
    <s v="Aug-2023"/>
    <x v="4"/>
    <x v="3"/>
    <s v="Small"/>
    <x v="1"/>
  </r>
  <r>
    <s v="C0506"/>
    <x v="0"/>
    <d v="2023-01-31T00:00:00"/>
    <d v="2024-11-24T00:00:00"/>
    <n v="40"/>
    <x v="1"/>
    <s v="Referral"/>
    <s v="Jan-2023"/>
    <s v="Nov-2024"/>
    <x v="4"/>
    <x v="3"/>
    <s v="Small"/>
    <x v="2"/>
  </r>
  <r>
    <s v="C0507"/>
    <x v="2"/>
    <d v="2021-06-24T00:00:00"/>
    <d v="2024-12-31T00:00:00"/>
    <n v="25"/>
    <x v="0"/>
    <s v="Referral"/>
    <s v="Jun-2021"/>
    <s v="Dec-2024"/>
    <x v="0"/>
    <x v="2"/>
    <s v="Small"/>
    <x v="1"/>
  </r>
  <r>
    <s v="C0508"/>
    <x v="1"/>
    <d v="2024-06-09T00:00:00"/>
    <d v="2024-12-31T00:00:00"/>
    <n v="15"/>
    <x v="0"/>
    <s v="Facebook"/>
    <s v="Jun-2024"/>
    <s v="Dec-2024"/>
    <x v="1"/>
    <x v="4"/>
    <s v="Medium"/>
    <x v="3"/>
  </r>
  <r>
    <s v="C0509"/>
    <x v="0"/>
    <d v="2023-12-02T00:00:00"/>
    <d v="2024-12-31T00:00:00"/>
    <n v="40"/>
    <x v="1"/>
    <s v="LinkedIn"/>
    <s v="Dec-2023"/>
    <s v="Dec-2024"/>
    <x v="3"/>
    <x v="2"/>
    <s v="Medium"/>
    <x v="2"/>
  </r>
  <r>
    <s v="C0510"/>
    <x v="2"/>
    <d v="2020-04-25T00:00:00"/>
    <d v="2024-12-31T00:00:00"/>
    <n v="25"/>
    <x v="0"/>
    <s v="Referral"/>
    <s v="Apr-2020"/>
    <s v="Dec-2024"/>
    <x v="5"/>
    <x v="1"/>
    <s v="Large"/>
    <x v="0"/>
  </r>
  <r>
    <s v="C0511"/>
    <x v="1"/>
    <d v="2021-09-18T00:00:00"/>
    <d v="2024-12-31T00:00:00"/>
    <n v="15"/>
    <x v="0"/>
    <s v="LinkedIn"/>
    <s v="Sep-2021"/>
    <s v="Dec-2024"/>
    <x v="3"/>
    <x v="3"/>
    <s v="Large"/>
    <x v="1"/>
  </r>
  <r>
    <s v="C0512"/>
    <x v="1"/>
    <d v="2023-11-16T00:00:00"/>
    <d v="2024-07-13T00:00:00"/>
    <n v="15"/>
    <x v="1"/>
    <s v="LinkedIn"/>
    <s v="Nov-2023"/>
    <s v="Jul-2024"/>
    <x v="0"/>
    <x v="0"/>
    <s v="Large"/>
    <x v="2"/>
  </r>
  <r>
    <s v="C0513"/>
    <x v="2"/>
    <d v="2023-07-29T00:00:00"/>
    <d v="2024-12-31T00:00:00"/>
    <n v="25"/>
    <x v="1"/>
    <s v="LinkedIn"/>
    <s v="Jul-2023"/>
    <s v="Dec-2024"/>
    <x v="3"/>
    <x v="4"/>
    <s v="Medium"/>
    <x v="2"/>
  </r>
  <r>
    <s v="C0514"/>
    <x v="2"/>
    <d v="2021-01-06T00:00:00"/>
    <d v="2021-08-05T00:00:00"/>
    <n v="25"/>
    <x v="1"/>
    <s v="LinkedIn"/>
    <s v="Jan-2021"/>
    <s v="Aug-2021"/>
    <x v="4"/>
    <x v="1"/>
    <s v="Small"/>
    <x v="1"/>
  </r>
  <r>
    <s v="C0515"/>
    <x v="1"/>
    <d v="2021-06-18T00:00:00"/>
    <d v="2024-12-31T00:00:00"/>
    <n v="15"/>
    <x v="0"/>
    <s v="Instagram"/>
    <s v="Jun-2021"/>
    <s v="Dec-2024"/>
    <x v="4"/>
    <x v="4"/>
    <s v="Small"/>
    <x v="1"/>
  </r>
  <r>
    <s v="C0516"/>
    <x v="2"/>
    <d v="2022-09-30T00:00:00"/>
    <d v="2024-12-31T00:00:00"/>
    <n v="25"/>
    <x v="0"/>
    <s v="Facebook"/>
    <s v="Sep-2022"/>
    <s v="Dec-2024"/>
    <x v="3"/>
    <x v="0"/>
    <s v="Medium"/>
    <x v="4"/>
  </r>
  <r>
    <s v="C0517"/>
    <x v="1"/>
    <d v="2022-08-07T00:00:00"/>
    <d v="2024-12-31T00:00:00"/>
    <n v="15"/>
    <x v="0"/>
    <s v="Facebook"/>
    <s v="Aug-2022"/>
    <s v="Dec-2024"/>
    <x v="3"/>
    <x v="1"/>
    <s v="Enterprise"/>
    <x v="4"/>
  </r>
  <r>
    <s v="C0518"/>
    <x v="1"/>
    <d v="2024-04-06T00:00:00"/>
    <d v="2024-12-31T00:00:00"/>
    <n v="15"/>
    <x v="1"/>
    <s v="Google"/>
    <s v="Apr-2024"/>
    <s v="Dec-2024"/>
    <x v="2"/>
    <x v="4"/>
    <s v="Large"/>
    <x v="3"/>
  </r>
  <r>
    <s v="C0519"/>
    <x v="2"/>
    <d v="2020-05-08T00:00:00"/>
    <d v="2022-06-25T00:00:00"/>
    <n v="25"/>
    <x v="1"/>
    <s v="Google"/>
    <s v="May-2020"/>
    <s v="Jun-2022"/>
    <x v="0"/>
    <x v="0"/>
    <s v="Small"/>
    <x v="0"/>
  </r>
  <r>
    <s v="C0520"/>
    <x v="2"/>
    <d v="2023-03-10T00:00:00"/>
    <d v="2024-06-25T00:00:00"/>
    <n v="25"/>
    <x v="1"/>
    <s v="LinkedIn"/>
    <s v="Mar-2023"/>
    <s v="Jun-2024"/>
    <x v="2"/>
    <x v="2"/>
    <s v="Small"/>
    <x v="2"/>
  </r>
  <r>
    <s v="C0521"/>
    <x v="0"/>
    <d v="2021-02-27T00:00:00"/>
    <d v="2023-04-20T00:00:00"/>
    <n v="40"/>
    <x v="1"/>
    <s v="Instagram"/>
    <s v="Feb-2021"/>
    <s v="Apr-2023"/>
    <x v="0"/>
    <x v="5"/>
    <s v="Small"/>
    <x v="1"/>
  </r>
  <r>
    <s v="C0522"/>
    <x v="1"/>
    <d v="2023-08-09T00:00:00"/>
    <d v="2024-12-31T00:00:00"/>
    <n v="15"/>
    <x v="1"/>
    <s v="LinkedIn"/>
    <s v="Aug-2023"/>
    <s v="Dec-2024"/>
    <x v="2"/>
    <x v="4"/>
    <s v="Small"/>
    <x v="2"/>
  </r>
  <r>
    <s v="C0523"/>
    <x v="2"/>
    <d v="2023-12-18T00:00:00"/>
    <d v="2024-10-08T00:00:00"/>
    <n v="25"/>
    <x v="1"/>
    <s v="Facebook"/>
    <s v="Dec-2023"/>
    <s v="Oct-2024"/>
    <x v="1"/>
    <x v="0"/>
    <s v="Large"/>
    <x v="2"/>
  </r>
  <r>
    <s v="C0524"/>
    <x v="0"/>
    <d v="2020-05-02T00:00:00"/>
    <d v="2021-07-08T00:00:00"/>
    <n v="40"/>
    <x v="1"/>
    <s v="Google"/>
    <s v="May-2020"/>
    <s v="Jul-2021"/>
    <x v="1"/>
    <x v="2"/>
    <s v="Large"/>
    <x v="0"/>
  </r>
  <r>
    <s v="C0525"/>
    <x v="0"/>
    <d v="2022-11-13T00:00:00"/>
    <d v="2024-12-31T00:00:00"/>
    <n v="40"/>
    <x v="0"/>
    <s v="Facebook"/>
    <s v="Nov-2022"/>
    <s v="Dec-2024"/>
    <x v="5"/>
    <x v="2"/>
    <s v="Large"/>
    <x v="4"/>
  </r>
  <r>
    <s v="C0526"/>
    <x v="1"/>
    <d v="2020-09-06T00:00:00"/>
    <d v="2024-12-31T00:00:00"/>
    <n v="15"/>
    <x v="0"/>
    <s v="LinkedIn"/>
    <s v="Sep-2020"/>
    <s v="Dec-2024"/>
    <x v="3"/>
    <x v="1"/>
    <s v="Medium"/>
    <x v="0"/>
  </r>
  <r>
    <s v="C0527"/>
    <x v="1"/>
    <d v="2023-12-02T00:00:00"/>
    <d v="2024-12-31T00:00:00"/>
    <n v="15"/>
    <x v="0"/>
    <s v="Facebook"/>
    <s v="Dec-2023"/>
    <s v="Dec-2024"/>
    <x v="5"/>
    <x v="5"/>
    <s v="Enterprise"/>
    <x v="2"/>
  </r>
  <r>
    <s v="C0528"/>
    <x v="0"/>
    <d v="2021-11-13T00:00:00"/>
    <d v="2024-12-31T00:00:00"/>
    <n v="40"/>
    <x v="0"/>
    <s v="Instagram"/>
    <s v="Nov-2021"/>
    <s v="Dec-2024"/>
    <x v="0"/>
    <x v="5"/>
    <s v="Large"/>
    <x v="1"/>
  </r>
  <r>
    <s v="C0529"/>
    <x v="1"/>
    <d v="2022-07-06T00:00:00"/>
    <d v="2024-12-31T00:00:00"/>
    <n v="15"/>
    <x v="0"/>
    <s v="LinkedIn"/>
    <s v="Jul-2022"/>
    <s v="Dec-2024"/>
    <x v="4"/>
    <x v="0"/>
    <s v="Large"/>
    <x v="4"/>
  </r>
  <r>
    <s v="C0530"/>
    <x v="1"/>
    <d v="2021-01-01T00:00:00"/>
    <d v="2024-12-31T00:00:00"/>
    <n v="15"/>
    <x v="0"/>
    <s v="Instagram"/>
    <s v="Jan-2021"/>
    <s v="Dec-2024"/>
    <x v="1"/>
    <x v="0"/>
    <s v="Medium"/>
    <x v="1"/>
  </r>
  <r>
    <s v="C0531"/>
    <x v="0"/>
    <d v="2021-09-28T00:00:00"/>
    <d v="2024-12-31T00:00:00"/>
    <n v="40"/>
    <x v="0"/>
    <s v="Facebook"/>
    <s v="Sep-2021"/>
    <s v="Dec-2024"/>
    <x v="0"/>
    <x v="0"/>
    <s v="Enterprise"/>
    <x v="1"/>
  </r>
  <r>
    <s v="C0532"/>
    <x v="2"/>
    <d v="2020-10-12T00:00:00"/>
    <d v="2024-12-31T00:00:00"/>
    <n v="25"/>
    <x v="0"/>
    <s v="Instagram"/>
    <s v="Oct-2020"/>
    <s v="Dec-2024"/>
    <x v="2"/>
    <x v="5"/>
    <s v="Enterprise"/>
    <x v="0"/>
  </r>
  <r>
    <s v="C0533"/>
    <x v="1"/>
    <d v="2022-11-08T00:00:00"/>
    <d v="2023-07-27T00:00:00"/>
    <n v="15"/>
    <x v="1"/>
    <s v="Facebook"/>
    <s v="Nov-2022"/>
    <s v="Jul-2023"/>
    <x v="5"/>
    <x v="1"/>
    <s v="Large"/>
    <x v="4"/>
  </r>
  <r>
    <s v="C0534"/>
    <x v="1"/>
    <d v="2021-07-15T00:00:00"/>
    <d v="2024-12-31T00:00:00"/>
    <n v="15"/>
    <x v="0"/>
    <s v="Instagram"/>
    <s v="Jul-2021"/>
    <s v="Dec-2024"/>
    <x v="3"/>
    <x v="5"/>
    <s v="Enterprise"/>
    <x v="1"/>
  </r>
  <r>
    <s v="C0535"/>
    <x v="2"/>
    <d v="2020-08-14T00:00:00"/>
    <d v="2024-12-31T00:00:00"/>
    <n v="25"/>
    <x v="0"/>
    <s v="Google"/>
    <s v="Aug-2020"/>
    <s v="Dec-2024"/>
    <x v="1"/>
    <x v="3"/>
    <s v="Large"/>
    <x v="0"/>
  </r>
  <r>
    <s v="C0536"/>
    <x v="2"/>
    <d v="2024-02-08T00:00:00"/>
    <d v="2024-12-31T00:00:00"/>
    <n v="25"/>
    <x v="0"/>
    <s v="LinkedIn"/>
    <s v="Feb-2024"/>
    <s v="Dec-2024"/>
    <x v="2"/>
    <x v="3"/>
    <s v="Small"/>
    <x v="3"/>
  </r>
  <r>
    <s v="C0537"/>
    <x v="2"/>
    <d v="2020-06-30T00:00:00"/>
    <d v="2022-04-10T00:00:00"/>
    <n v="25"/>
    <x v="1"/>
    <s v="Referral"/>
    <s v="Jun-2020"/>
    <s v="Apr-2022"/>
    <x v="3"/>
    <x v="5"/>
    <s v="Enterprise"/>
    <x v="0"/>
  </r>
  <r>
    <s v="C0538"/>
    <x v="2"/>
    <d v="2022-04-13T00:00:00"/>
    <d v="2024-12-31T00:00:00"/>
    <n v="25"/>
    <x v="0"/>
    <s v="Google"/>
    <s v="Apr-2022"/>
    <s v="Dec-2024"/>
    <x v="5"/>
    <x v="2"/>
    <s v="Small"/>
    <x v="4"/>
  </r>
  <r>
    <s v="C0539"/>
    <x v="2"/>
    <d v="2022-01-13T00:00:00"/>
    <d v="2024-04-26T00:00:00"/>
    <n v="25"/>
    <x v="1"/>
    <s v="LinkedIn"/>
    <s v="Jan-2022"/>
    <s v="Apr-2024"/>
    <x v="0"/>
    <x v="5"/>
    <s v="Enterprise"/>
    <x v="4"/>
  </r>
  <r>
    <s v="C0540"/>
    <x v="1"/>
    <d v="2022-05-27T00:00:00"/>
    <d v="2024-12-31T00:00:00"/>
    <n v="15"/>
    <x v="0"/>
    <s v="LinkedIn"/>
    <s v="May-2022"/>
    <s v="Dec-2024"/>
    <x v="4"/>
    <x v="4"/>
    <s v="Large"/>
    <x v="4"/>
  </r>
  <r>
    <s v="C0541"/>
    <x v="2"/>
    <d v="2020-04-05T00:00:00"/>
    <d v="2020-09-05T00:00:00"/>
    <n v="25"/>
    <x v="1"/>
    <s v="LinkedIn"/>
    <s v="Apr-2020"/>
    <s v="Sep-2020"/>
    <x v="5"/>
    <x v="4"/>
    <s v="Small"/>
    <x v="0"/>
  </r>
  <r>
    <s v="C0542"/>
    <x v="1"/>
    <d v="2022-08-08T00:00:00"/>
    <d v="2024-12-31T00:00:00"/>
    <n v="15"/>
    <x v="0"/>
    <s v="Google"/>
    <s v="Aug-2022"/>
    <s v="Dec-2024"/>
    <x v="4"/>
    <x v="4"/>
    <s v="Large"/>
    <x v="4"/>
  </r>
  <r>
    <s v="C0543"/>
    <x v="2"/>
    <d v="2024-02-20T00:00:00"/>
    <d v="2024-12-31T00:00:00"/>
    <n v="25"/>
    <x v="0"/>
    <s v="Referral"/>
    <s v="Feb-2024"/>
    <s v="Dec-2024"/>
    <x v="1"/>
    <x v="1"/>
    <s v="Enterprise"/>
    <x v="3"/>
  </r>
  <r>
    <s v="C0544"/>
    <x v="2"/>
    <d v="2021-07-07T00:00:00"/>
    <d v="2022-07-13T00:00:00"/>
    <n v="25"/>
    <x v="1"/>
    <s v="Google"/>
    <s v="Jul-2021"/>
    <s v="Jul-2022"/>
    <x v="2"/>
    <x v="5"/>
    <s v="Small"/>
    <x v="1"/>
  </r>
  <r>
    <s v="C0545"/>
    <x v="2"/>
    <d v="2024-06-26T00:00:00"/>
    <d v="2024-12-31T00:00:00"/>
    <n v="25"/>
    <x v="0"/>
    <s v="LinkedIn"/>
    <s v="Jun-2024"/>
    <s v="Dec-2024"/>
    <x v="3"/>
    <x v="1"/>
    <s v="Small"/>
    <x v="3"/>
  </r>
  <r>
    <s v="C0546"/>
    <x v="2"/>
    <d v="2022-02-20T00:00:00"/>
    <d v="2024-12-31T00:00:00"/>
    <n v="25"/>
    <x v="0"/>
    <s v="Referral"/>
    <s v="Feb-2022"/>
    <s v="Dec-2024"/>
    <x v="4"/>
    <x v="2"/>
    <s v="Large"/>
    <x v="4"/>
  </r>
  <r>
    <s v="C0547"/>
    <x v="1"/>
    <d v="2024-05-29T00:00:00"/>
    <d v="2024-12-31T00:00:00"/>
    <n v="15"/>
    <x v="0"/>
    <s v="Referral"/>
    <s v="May-2024"/>
    <s v="Dec-2024"/>
    <x v="5"/>
    <x v="0"/>
    <s v="Medium"/>
    <x v="3"/>
  </r>
  <r>
    <s v="C0548"/>
    <x v="0"/>
    <d v="2023-09-23T00:00:00"/>
    <d v="2024-12-31T00:00:00"/>
    <n v="40"/>
    <x v="1"/>
    <s v="Referral"/>
    <s v="Sep-2023"/>
    <s v="Dec-2024"/>
    <x v="2"/>
    <x v="1"/>
    <s v="Medium"/>
    <x v="2"/>
  </r>
  <r>
    <s v="C0549"/>
    <x v="2"/>
    <d v="2021-05-26T00:00:00"/>
    <d v="2023-09-28T00:00:00"/>
    <n v="25"/>
    <x v="1"/>
    <s v="LinkedIn"/>
    <s v="May-2021"/>
    <s v="Sep-2023"/>
    <x v="0"/>
    <x v="4"/>
    <s v="Medium"/>
    <x v="1"/>
  </r>
  <r>
    <s v="C0550"/>
    <x v="2"/>
    <d v="2020-07-08T00:00:00"/>
    <d v="2024-12-31T00:00:00"/>
    <n v="25"/>
    <x v="0"/>
    <s v="LinkedIn"/>
    <s v="Jul-2020"/>
    <s v="Dec-2024"/>
    <x v="3"/>
    <x v="5"/>
    <s v="Enterprise"/>
    <x v="0"/>
  </r>
  <r>
    <s v="C0551"/>
    <x v="1"/>
    <d v="2020-08-06T00:00:00"/>
    <d v="2024-12-31T00:00:00"/>
    <n v="15"/>
    <x v="0"/>
    <s v="Facebook"/>
    <s v="Aug-2020"/>
    <s v="Dec-2024"/>
    <x v="1"/>
    <x v="3"/>
    <s v="Large"/>
    <x v="0"/>
  </r>
  <r>
    <s v="C0552"/>
    <x v="0"/>
    <d v="2023-06-04T00:00:00"/>
    <d v="2024-12-31T00:00:00"/>
    <n v="40"/>
    <x v="0"/>
    <s v="Facebook"/>
    <s v="Jun-2023"/>
    <s v="Dec-2024"/>
    <x v="3"/>
    <x v="1"/>
    <s v="Large"/>
    <x v="2"/>
  </r>
  <r>
    <s v="C0553"/>
    <x v="2"/>
    <d v="2024-05-21T00:00:00"/>
    <d v="2024-12-31T00:00:00"/>
    <n v="25"/>
    <x v="0"/>
    <s v="Referral"/>
    <s v="May-2024"/>
    <s v="Dec-2024"/>
    <x v="1"/>
    <x v="1"/>
    <s v="Enterprise"/>
    <x v="3"/>
  </r>
  <r>
    <s v="C0554"/>
    <x v="2"/>
    <d v="2023-10-25T00:00:00"/>
    <d v="2024-12-31T00:00:00"/>
    <n v="25"/>
    <x v="0"/>
    <s v="Instagram"/>
    <s v="Oct-2023"/>
    <s v="Dec-2024"/>
    <x v="5"/>
    <x v="1"/>
    <s v="Enterprise"/>
    <x v="2"/>
  </r>
  <r>
    <s v="C0555"/>
    <x v="0"/>
    <d v="2022-07-03T00:00:00"/>
    <d v="2023-07-09T00:00:00"/>
    <n v="40"/>
    <x v="1"/>
    <s v="Instagram"/>
    <s v="Jul-2022"/>
    <s v="Jul-2023"/>
    <x v="1"/>
    <x v="4"/>
    <s v="Large"/>
    <x v="4"/>
  </r>
  <r>
    <s v="C0556"/>
    <x v="0"/>
    <d v="2022-06-24T00:00:00"/>
    <d v="2024-08-23T00:00:00"/>
    <n v="40"/>
    <x v="1"/>
    <s v="Referral"/>
    <s v="Jun-2022"/>
    <s v="Aug-2024"/>
    <x v="5"/>
    <x v="4"/>
    <s v="Small"/>
    <x v="4"/>
  </r>
  <r>
    <s v="C0557"/>
    <x v="1"/>
    <d v="2022-01-05T00:00:00"/>
    <d v="2022-10-03T00:00:00"/>
    <n v="15"/>
    <x v="1"/>
    <s v="Google"/>
    <s v="Jan-2022"/>
    <s v="Oct-2022"/>
    <x v="0"/>
    <x v="0"/>
    <s v="Large"/>
    <x v="4"/>
  </r>
  <r>
    <s v="C0558"/>
    <x v="0"/>
    <d v="2023-05-03T00:00:00"/>
    <d v="2024-12-31T00:00:00"/>
    <n v="40"/>
    <x v="1"/>
    <s v="Google"/>
    <s v="May-2023"/>
    <s v="Dec-2024"/>
    <x v="0"/>
    <x v="1"/>
    <s v="Medium"/>
    <x v="2"/>
  </r>
  <r>
    <s v="C0559"/>
    <x v="0"/>
    <d v="2023-12-07T00:00:00"/>
    <d v="2024-12-31T00:00:00"/>
    <n v="40"/>
    <x v="0"/>
    <s v="Google"/>
    <s v="Dec-2023"/>
    <s v="Dec-2024"/>
    <x v="2"/>
    <x v="1"/>
    <s v="Small"/>
    <x v="2"/>
  </r>
  <r>
    <s v="C0560"/>
    <x v="1"/>
    <d v="2024-06-29T00:00:00"/>
    <d v="2024-12-31T00:00:00"/>
    <n v="15"/>
    <x v="0"/>
    <s v="Google"/>
    <s v="Jun-2024"/>
    <s v="Dec-2024"/>
    <x v="2"/>
    <x v="0"/>
    <s v="Large"/>
    <x v="3"/>
  </r>
  <r>
    <s v="C0561"/>
    <x v="0"/>
    <d v="2021-07-21T00:00:00"/>
    <d v="2024-12-31T00:00:00"/>
    <n v="40"/>
    <x v="0"/>
    <s v="Facebook"/>
    <s v="Jul-2021"/>
    <s v="Dec-2024"/>
    <x v="0"/>
    <x v="0"/>
    <s v="Medium"/>
    <x v="1"/>
  </r>
  <r>
    <s v="C0562"/>
    <x v="0"/>
    <d v="2020-04-20T00:00:00"/>
    <d v="2022-04-19T00:00:00"/>
    <n v="40"/>
    <x v="1"/>
    <s v="Facebook"/>
    <s v="Apr-2020"/>
    <s v="Apr-2022"/>
    <x v="4"/>
    <x v="4"/>
    <s v="Small"/>
    <x v="0"/>
  </r>
  <r>
    <s v="C0563"/>
    <x v="0"/>
    <d v="2020-06-18T00:00:00"/>
    <d v="2024-12-31T00:00:00"/>
    <n v="40"/>
    <x v="0"/>
    <s v="LinkedIn"/>
    <s v="Jun-2020"/>
    <s v="Dec-2024"/>
    <x v="4"/>
    <x v="4"/>
    <s v="Large"/>
    <x v="0"/>
  </r>
  <r>
    <s v="C0564"/>
    <x v="1"/>
    <d v="2021-08-18T00:00:00"/>
    <d v="2023-08-30T00:00:00"/>
    <n v="15"/>
    <x v="1"/>
    <s v="LinkedIn"/>
    <s v="Aug-2021"/>
    <s v="Aug-2023"/>
    <x v="2"/>
    <x v="3"/>
    <s v="Medium"/>
    <x v="1"/>
  </r>
  <r>
    <s v="C0565"/>
    <x v="2"/>
    <d v="2023-06-30T00:00:00"/>
    <d v="2024-12-31T00:00:00"/>
    <n v="25"/>
    <x v="1"/>
    <s v="LinkedIn"/>
    <s v="Jun-2023"/>
    <s v="Dec-2024"/>
    <x v="4"/>
    <x v="1"/>
    <s v="Enterprise"/>
    <x v="2"/>
  </r>
  <r>
    <s v="C0566"/>
    <x v="0"/>
    <d v="2023-06-02T00:00:00"/>
    <d v="2024-12-31T00:00:00"/>
    <n v="40"/>
    <x v="0"/>
    <s v="LinkedIn"/>
    <s v="Jun-2023"/>
    <s v="Dec-2024"/>
    <x v="3"/>
    <x v="0"/>
    <s v="Large"/>
    <x v="2"/>
  </r>
  <r>
    <s v="C0567"/>
    <x v="0"/>
    <d v="2021-08-25T00:00:00"/>
    <d v="2022-12-14T00:00:00"/>
    <n v="40"/>
    <x v="1"/>
    <s v="Instagram"/>
    <s v="Aug-2021"/>
    <s v="Dec-2022"/>
    <x v="2"/>
    <x v="3"/>
    <s v="Small"/>
    <x v="1"/>
  </r>
  <r>
    <s v="C0568"/>
    <x v="0"/>
    <d v="2024-04-11T00:00:00"/>
    <d v="2024-12-31T00:00:00"/>
    <n v="40"/>
    <x v="0"/>
    <s v="LinkedIn"/>
    <s v="Apr-2024"/>
    <s v="Dec-2024"/>
    <x v="2"/>
    <x v="0"/>
    <s v="Large"/>
    <x v="3"/>
  </r>
  <r>
    <s v="C0569"/>
    <x v="0"/>
    <d v="2022-02-16T00:00:00"/>
    <d v="2024-05-04T00:00:00"/>
    <n v="40"/>
    <x v="1"/>
    <s v="Facebook"/>
    <s v="Feb-2022"/>
    <s v="May-2024"/>
    <x v="3"/>
    <x v="4"/>
    <s v="Small"/>
    <x v="4"/>
  </r>
  <r>
    <s v="C0570"/>
    <x v="1"/>
    <d v="2021-11-10T00:00:00"/>
    <d v="2023-01-11T00:00:00"/>
    <n v="15"/>
    <x v="1"/>
    <s v="Instagram"/>
    <s v="Nov-2021"/>
    <s v="Jan-2023"/>
    <x v="2"/>
    <x v="0"/>
    <s v="Small"/>
    <x v="1"/>
  </r>
  <r>
    <s v="C0571"/>
    <x v="0"/>
    <d v="2021-01-09T00:00:00"/>
    <d v="2021-04-25T00:00:00"/>
    <n v="40"/>
    <x v="1"/>
    <s v="Google"/>
    <s v="Jan-2021"/>
    <s v="Apr-2021"/>
    <x v="5"/>
    <x v="0"/>
    <s v="Enterprise"/>
    <x v="1"/>
  </r>
  <r>
    <s v="C0572"/>
    <x v="1"/>
    <d v="2020-08-25T00:00:00"/>
    <d v="2024-12-31T00:00:00"/>
    <n v="15"/>
    <x v="0"/>
    <s v="LinkedIn"/>
    <s v="Aug-2020"/>
    <s v="Dec-2024"/>
    <x v="1"/>
    <x v="0"/>
    <s v="Enterprise"/>
    <x v="0"/>
  </r>
  <r>
    <s v="C0573"/>
    <x v="1"/>
    <d v="2020-09-24T00:00:00"/>
    <d v="2024-12-31T00:00:00"/>
    <n v="15"/>
    <x v="0"/>
    <s v="Facebook"/>
    <s v="Sep-2020"/>
    <s v="Dec-2024"/>
    <x v="0"/>
    <x v="5"/>
    <s v="Enterprise"/>
    <x v="0"/>
  </r>
  <r>
    <s v="C0574"/>
    <x v="0"/>
    <d v="2020-12-30T00:00:00"/>
    <d v="2022-07-09T00:00:00"/>
    <n v="40"/>
    <x v="1"/>
    <s v="Google"/>
    <s v="Dec-2020"/>
    <s v="Jul-2022"/>
    <x v="3"/>
    <x v="3"/>
    <s v="Enterprise"/>
    <x v="0"/>
  </r>
  <r>
    <s v="C0575"/>
    <x v="2"/>
    <d v="2022-08-18T00:00:00"/>
    <d v="2024-12-31T00:00:00"/>
    <n v="25"/>
    <x v="0"/>
    <s v="Google"/>
    <s v="Aug-2022"/>
    <s v="Dec-2024"/>
    <x v="3"/>
    <x v="0"/>
    <s v="Large"/>
    <x v="4"/>
  </r>
  <r>
    <s v="C0576"/>
    <x v="0"/>
    <d v="2021-09-17T00:00:00"/>
    <d v="2024-12-31T00:00:00"/>
    <n v="40"/>
    <x v="0"/>
    <s v="Instagram"/>
    <s v="Sep-2021"/>
    <s v="Dec-2024"/>
    <x v="3"/>
    <x v="5"/>
    <s v="Medium"/>
    <x v="1"/>
  </r>
  <r>
    <s v="C0577"/>
    <x v="2"/>
    <d v="2024-02-16T00:00:00"/>
    <d v="2024-12-31T00:00:00"/>
    <n v="25"/>
    <x v="1"/>
    <s v="LinkedIn"/>
    <s v="Feb-2024"/>
    <s v="Dec-2024"/>
    <x v="2"/>
    <x v="0"/>
    <s v="Large"/>
    <x v="3"/>
  </r>
  <r>
    <s v="C0578"/>
    <x v="0"/>
    <d v="2021-04-14T00:00:00"/>
    <d v="2023-05-26T00:00:00"/>
    <n v="40"/>
    <x v="1"/>
    <s v="Facebook"/>
    <s v="Apr-2021"/>
    <s v="May-2023"/>
    <x v="1"/>
    <x v="1"/>
    <s v="Enterprise"/>
    <x v="1"/>
  </r>
  <r>
    <s v="C0579"/>
    <x v="1"/>
    <d v="2022-11-27T00:00:00"/>
    <d v="2024-12-31T00:00:00"/>
    <n v="15"/>
    <x v="0"/>
    <s v="LinkedIn"/>
    <s v="Nov-2022"/>
    <s v="Dec-2024"/>
    <x v="0"/>
    <x v="1"/>
    <s v="Small"/>
    <x v="4"/>
  </r>
  <r>
    <s v="C0580"/>
    <x v="0"/>
    <d v="2022-11-27T00:00:00"/>
    <d v="2024-12-31T00:00:00"/>
    <n v="40"/>
    <x v="0"/>
    <s v="LinkedIn"/>
    <s v="Nov-2022"/>
    <s v="Dec-2024"/>
    <x v="5"/>
    <x v="3"/>
    <s v="Medium"/>
    <x v="4"/>
  </r>
  <r>
    <s v="C0581"/>
    <x v="0"/>
    <d v="2023-08-07T00:00:00"/>
    <d v="2024-12-31T00:00:00"/>
    <n v="40"/>
    <x v="0"/>
    <s v="Instagram"/>
    <s v="Aug-2023"/>
    <s v="Dec-2024"/>
    <x v="0"/>
    <x v="3"/>
    <s v="Enterprise"/>
    <x v="2"/>
  </r>
  <r>
    <s v="C0582"/>
    <x v="1"/>
    <d v="2023-12-27T00:00:00"/>
    <d v="2024-12-31T00:00:00"/>
    <n v="15"/>
    <x v="0"/>
    <s v="LinkedIn"/>
    <s v="Dec-2023"/>
    <s v="Dec-2024"/>
    <x v="3"/>
    <x v="0"/>
    <s v="Large"/>
    <x v="2"/>
  </r>
  <r>
    <s v="C0583"/>
    <x v="2"/>
    <d v="2020-06-21T00:00:00"/>
    <d v="2024-12-31T00:00:00"/>
    <n v="25"/>
    <x v="0"/>
    <s v="Google"/>
    <s v="Jun-2020"/>
    <s v="Dec-2024"/>
    <x v="2"/>
    <x v="4"/>
    <s v="Enterprise"/>
    <x v="0"/>
  </r>
  <r>
    <s v="C0584"/>
    <x v="1"/>
    <d v="2020-04-10T00:00:00"/>
    <d v="2024-12-31T00:00:00"/>
    <n v="15"/>
    <x v="0"/>
    <s v="Google"/>
    <s v="Apr-2020"/>
    <s v="Dec-2024"/>
    <x v="5"/>
    <x v="3"/>
    <s v="Large"/>
    <x v="0"/>
  </r>
  <r>
    <s v="C0585"/>
    <x v="1"/>
    <d v="2020-02-02T00:00:00"/>
    <d v="2024-12-31T00:00:00"/>
    <n v="15"/>
    <x v="0"/>
    <s v="LinkedIn"/>
    <s v="Feb-2020"/>
    <s v="Dec-2024"/>
    <x v="3"/>
    <x v="2"/>
    <s v="Enterprise"/>
    <x v="0"/>
  </r>
  <r>
    <s v="C0586"/>
    <x v="1"/>
    <d v="2023-09-06T00:00:00"/>
    <d v="2024-01-22T00:00:00"/>
    <n v="15"/>
    <x v="1"/>
    <s v="Instagram"/>
    <s v="Sep-2023"/>
    <s v="Jan-2024"/>
    <x v="4"/>
    <x v="1"/>
    <s v="Enterprise"/>
    <x v="2"/>
  </r>
  <r>
    <s v="C0587"/>
    <x v="1"/>
    <d v="2021-01-27T00:00:00"/>
    <d v="2023-01-27T00:00:00"/>
    <n v="15"/>
    <x v="1"/>
    <s v="Google"/>
    <s v="Jan-2021"/>
    <s v="Jan-2023"/>
    <x v="0"/>
    <x v="0"/>
    <s v="Small"/>
    <x v="1"/>
  </r>
  <r>
    <s v="C0588"/>
    <x v="0"/>
    <d v="2021-10-12T00:00:00"/>
    <d v="2022-11-01T00:00:00"/>
    <n v="40"/>
    <x v="1"/>
    <s v="Facebook"/>
    <s v="Oct-2021"/>
    <s v="Nov-2022"/>
    <x v="3"/>
    <x v="5"/>
    <s v="Small"/>
    <x v="1"/>
  </r>
  <r>
    <s v="C0589"/>
    <x v="2"/>
    <d v="2021-09-03T00:00:00"/>
    <d v="2024-12-31T00:00:00"/>
    <n v="25"/>
    <x v="0"/>
    <s v="LinkedIn"/>
    <s v="Sep-2021"/>
    <s v="Dec-2024"/>
    <x v="2"/>
    <x v="5"/>
    <s v="Large"/>
    <x v="1"/>
  </r>
  <r>
    <s v="C0590"/>
    <x v="1"/>
    <d v="2021-06-24T00:00:00"/>
    <d v="2024-12-31T00:00:00"/>
    <n v="15"/>
    <x v="0"/>
    <s v="Google"/>
    <s v="Jun-2021"/>
    <s v="Dec-2024"/>
    <x v="2"/>
    <x v="5"/>
    <s v="Medium"/>
    <x v="1"/>
  </r>
  <r>
    <s v="C0591"/>
    <x v="2"/>
    <d v="2024-05-15T00:00:00"/>
    <d v="2024-12-31T00:00:00"/>
    <n v="25"/>
    <x v="0"/>
    <s v="Referral"/>
    <s v="May-2024"/>
    <s v="Dec-2024"/>
    <x v="2"/>
    <x v="1"/>
    <s v="Large"/>
    <x v="3"/>
  </r>
  <r>
    <s v="C0592"/>
    <x v="2"/>
    <d v="2020-06-18T00:00:00"/>
    <d v="2022-04-21T00:00:00"/>
    <n v="25"/>
    <x v="1"/>
    <s v="LinkedIn"/>
    <s v="Jun-2020"/>
    <s v="Apr-2022"/>
    <x v="2"/>
    <x v="5"/>
    <s v="Small"/>
    <x v="0"/>
  </r>
  <r>
    <s v="C0593"/>
    <x v="0"/>
    <d v="2023-05-12T00:00:00"/>
    <d v="2024-12-31T00:00:00"/>
    <n v="40"/>
    <x v="0"/>
    <s v="LinkedIn"/>
    <s v="May-2023"/>
    <s v="Dec-2024"/>
    <x v="1"/>
    <x v="1"/>
    <s v="Medium"/>
    <x v="2"/>
  </r>
  <r>
    <s v="C0594"/>
    <x v="0"/>
    <d v="2023-04-21T00:00:00"/>
    <d v="2024-12-31T00:00:00"/>
    <n v="40"/>
    <x v="0"/>
    <s v="LinkedIn"/>
    <s v="Apr-2023"/>
    <s v="Dec-2024"/>
    <x v="5"/>
    <x v="3"/>
    <s v="Small"/>
    <x v="2"/>
  </r>
  <r>
    <s v="C0595"/>
    <x v="2"/>
    <d v="2022-02-23T00:00:00"/>
    <d v="2024-12-31T00:00:00"/>
    <n v="25"/>
    <x v="0"/>
    <s v="Instagram"/>
    <s v="Feb-2022"/>
    <s v="Dec-2024"/>
    <x v="0"/>
    <x v="1"/>
    <s v="Medium"/>
    <x v="4"/>
  </r>
  <r>
    <s v="C0596"/>
    <x v="2"/>
    <d v="2024-04-29T00:00:00"/>
    <d v="2024-12-31T00:00:00"/>
    <n v="25"/>
    <x v="0"/>
    <s v="Referral"/>
    <s v="Apr-2024"/>
    <s v="Dec-2024"/>
    <x v="2"/>
    <x v="0"/>
    <s v="Enterprise"/>
    <x v="3"/>
  </r>
  <r>
    <s v="C0597"/>
    <x v="0"/>
    <d v="2020-11-28T00:00:00"/>
    <d v="2024-12-31T00:00:00"/>
    <n v="40"/>
    <x v="0"/>
    <s v="Google"/>
    <s v="Nov-2020"/>
    <s v="Dec-2024"/>
    <x v="0"/>
    <x v="3"/>
    <s v="Medium"/>
    <x v="0"/>
  </r>
  <r>
    <s v="C0598"/>
    <x v="2"/>
    <d v="2023-10-05T00:00:00"/>
    <d v="2024-12-31T00:00:00"/>
    <n v="25"/>
    <x v="0"/>
    <s v="Facebook"/>
    <s v="Oct-2023"/>
    <s v="Dec-2024"/>
    <x v="5"/>
    <x v="0"/>
    <s v="Large"/>
    <x v="2"/>
  </r>
  <r>
    <s v="C0599"/>
    <x v="0"/>
    <d v="2022-10-24T00:00:00"/>
    <d v="2024-02-12T00:00:00"/>
    <n v="40"/>
    <x v="1"/>
    <s v="Facebook"/>
    <s v="Oct-2022"/>
    <s v="Feb-2024"/>
    <x v="1"/>
    <x v="3"/>
    <s v="Medium"/>
    <x v="4"/>
  </r>
  <r>
    <s v="C0600"/>
    <x v="0"/>
    <d v="2020-11-25T00:00:00"/>
    <d v="2024-12-31T00:00:00"/>
    <n v="40"/>
    <x v="0"/>
    <s v="Facebook"/>
    <s v="Nov-2020"/>
    <s v="Dec-2024"/>
    <x v="4"/>
    <x v="1"/>
    <s v="Medium"/>
    <x v="0"/>
  </r>
  <r>
    <s v="C0601"/>
    <x v="1"/>
    <d v="2022-01-25T00:00:00"/>
    <d v="2024-12-31T00:00:00"/>
    <n v="15"/>
    <x v="0"/>
    <s v="LinkedIn"/>
    <s v="Jan-2022"/>
    <s v="Dec-2024"/>
    <x v="1"/>
    <x v="4"/>
    <s v="Small"/>
    <x v="4"/>
  </r>
  <r>
    <s v="C0602"/>
    <x v="2"/>
    <d v="2021-10-03T00:00:00"/>
    <d v="2021-12-06T00:00:00"/>
    <n v="25"/>
    <x v="1"/>
    <s v="Referral"/>
    <s v="Oct-2021"/>
    <s v="Dec-2021"/>
    <x v="0"/>
    <x v="0"/>
    <s v="Large"/>
    <x v="1"/>
  </r>
  <r>
    <s v="C0603"/>
    <x v="1"/>
    <d v="2020-11-01T00:00:00"/>
    <d v="2024-12-31T00:00:00"/>
    <n v="15"/>
    <x v="0"/>
    <s v="Facebook"/>
    <s v="Nov-2020"/>
    <s v="Dec-2024"/>
    <x v="3"/>
    <x v="2"/>
    <s v="Medium"/>
    <x v="0"/>
  </r>
  <r>
    <s v="C0604"/>
    <x v="1"/>
    <d v="2020-10-15T00:00:00"/>
    <d v="2021-12-16T00:00:00"/>
    <n v="15"/>
    <x v="1"/>
    <s v="Facebook"/>
    <s v="Oct-2020"/>
    <s v="Dec-2021"/>
    <x v="2"/>
    <x v="3"/>
    <s v="Small"/>
    <x v="0"/>
  </r>
  <r>
    <s v="C0605"/>
    <x v="0"/>
    <d v="2022-09-11T00:00:00"/>
    <d v="2024-12-31T00:00:00"/>
    <n v="40"/>
    <x v="0"/>
    <s v="Referral"/>
    <s v="Sep-2022"/>
    <s v="Dec-2024"/>
    <x v="1"/>
    <x v="4"/>
    <s v="Medium"/>
    <x v="4"/>
  </r>
  <r>
    <s v="C0606"/>
    <x v="2"/>
    <d v="2021-09-29T00:00:00"/>
    <d v="2023-04-15T00:00:00"/>
    <n v="25"/>
    <x v="1"/>
    <s v="Instagram"/>
    <s v="Sep-2021"/>
    <s v="Apr-2023"/>
    <x v="3"/>
    <x v="2"/>
    <s v="Enterprise"/>
    <x v="1"/>
  </r>
  <r>
    <s v="C0607"/>
    <x v="0"/>
    <d v="2023-06-08T00:00:00"/>
    <d v="2024-12-31T00:00:00"/>
    <n v="40"/>
    <x v="0"/>
    <s v="Google"/>
    <s v="Jun-2023"/>
    <s v="Dec-2024"/>
    <x v="2"/>
    <x v="1"/>
    <s v="Small"/>
    <x v="2"/>
  </r>
  <r>
    <s v="C0608"/>
    <x v="0"/>
    <d v="2021-07-26T00:00:00"/>
    <d v="2023-09-05T00:00:00"/>
    <n v="40"/>
    <x v="1"/>
    <s v="Facebook"/>
    <s v="Jul-2021"/>
    <s v="Sep-2023"/>
    <x v="3"/>
    <x v="5"/>
    <s v="Large"/>
    <x v="1"/>
  </r>
  <r>
    <s v="C0609"/>
    <x v="2"/>
    <d v="2024-06-09T00:00:00"/>
    <d v="2024-12-31T00:00:00"/>
    <n v="25"/>
    <x v="0"/>
    <s v="Facebook"/>
    <s v="Jun-2024"/>
    <s v="Dec-2024"/>
    <x v="0"/>
    <x v="0"/>
    <s v="Medium"/>
    <x v="3"/>
  </r>
  <r>
    <s v="C0610"/>
    <x v="2"/>
    <d v="2022-07-11T00:00:00"/>
    <d v="2024-12-31T00:00:00"/>
    <n v="25"/>
    <x v="0"/>
    <s v="Facebook"/>
    <s v="Jul-2022"/>
    <s v="Dec-2024"/>
    <x v="3"/>
    <x v="3"/>
    <s v="Large"/>
    <x v="4"/>
  </r>
  <r>
    <s v="C0611"/>
    <x v="0"/>
    <d v="2022-05-23T00:00:00"/>
    <d v="2022-10-18T00:00:00"/>
    <n v="40"/>
    <x v="1"/>
    <s v="Google"/>
    <s v="May-2022"/>
    <s v="Oct-2022"/>
    <x v="5"/>
    <x v="2"/>
    <s v="Enterprise"/>
    <x v="4"/>
  </r>
  <r>
    <s v="C0612"/>
    <x v="2"/>
    <d v="2022-03-04T00:00:00"/>
    <d v="2024-12-31T00:00:00"/>
    <n v="25"/>
    <x v="0"/>
    <s v="LinkedIn"/>
    <s v="Mar-2022"/>
    <s v="Dec-2024"/>
    <x v="3"/>
    <x v="1"/>
    <s v="Large"/>
    <x v="4"/>
  </r>
  <r>
    <s v="C0613"/>
    <x v="0"/>
    <d v="2023-07-19T00:00:00"/>
    <d v="2024-12-31T00:00:00"/>
    <n v="40"/>
    <x v="0"/>
    <s v="Facebook"/>
    <s v="Jul-2023"/>
    <s v="Dec-2024"/>
    <x v="5"/>
    <x v="5"/>
    <s v="Large"/>
    <x v="2"/>
  </r>
  <r>
    <s v="C0614"/>
    <x v="2"/>
    <d v="2022-08-03T00:00:00"/>
    <d v="2024-12-31T00:00:00"/>
    <n v="25"/>
    <x v="0"/>
    <s v="Facebook"/>
    <s v="Aug-2022"/>
    <s v="Dec-2024"/>
    <x v="5"/>
    <x v="0"/>
    <s v="Medium"/>
    <x v="4"/>
  </r>
  <r>
    <s v="C0615"/>
    <x v="1"/>
    <d v="2023-09-12T00:00:00"/>
    <d v="2024-04-19T00:00:00"/>
    <n v="15"/>
    <x v="1"/>
    <s v="Instagram"/>
    <s v="Sep-2023"/>
    <s v="Apr-2024"/>
    <x v="0"/>
    <x v="5"/>
    <s v="Medium"/>
    <x v="2"/>
  </r>
  <r>
    <s v="C0616"/>
    <x v="0"/>
    <d v="2024-05-23T00:00:00"/>
    <d v="2024-12-31T00:00:00"/>
    <n v="40"/>
    <x v="0"/>
    <s v="Referral"/>
    <s v="May-2024"/>
    <s v="Dec-2024"/>
    <x v="0"/>
    <x v="3"/>
    <s v="Small"/>
    <x v="3"/>
  </r>
  <r>
    <s v="C0617"/>
    <x v="1"/>
    <d v="2023-11-15T00:00:00"/>
    <d v="2024-01-26T00:00:00"/>
    <n v="15"/>
    <x v="1"/>
    <s v="Facebook"/>
    <s v="Nov-2023"/>
    <s v="Jan-2024"/>
    <x v="5"/>
    <x v="2"/>
    <s v="Enterprise"/>
    <x v="2"/>
  </r>
  <r>
    <s v="C0618"/>
    <x v="0"/>
    <d v="2020-03-19T00:00:00"/>
    <d v="2022-05-21T00:00:00"/>
    <n v="40"/>
    <x v="1"/>
    <s v="Google"/>
    <s v="Mar-2020"/>
    <s v="May-2022"/>
    <x v="4"/>
    <x v="1"/>
    <s v="Large"/>
    <x v="0"/>
  </r>
  <r>
    <s v="C0619"/>
    <x v="2"/>
    <d v="2020-09-09T00:00:00"/>
    <d v="2024-12-31T00:00:00"/>
    <n v="25"/>
    <x v="0"/>
    <s v="Facebook"/>
    <s v="Sep-2020"/>
    <s v="Dec-2024"/>
    <x v="4"/>
    <x v="5"/>
    <s v="Enterprise"/>
    <x v="0"/>
  </r>
  <r>
    <s v="C0620"/>
    <x v="1"/>
    <d v="2020-07-08T00:00:00"/>
    <d v="2024-12-31T00:00:00"/>
    <n v="15"/>
    <x v="0"/>
    <s v="Facebook"/>
    <s v="Jul-2020"/>
    <s v="Dec-2024"/>
    <x v="4"/>
    <x v="0"/>
    <s v="Medium"/>
    <x v="0"/>
  </r>
  <r>
    <s v="C0621"/>
    <x v="0"/>
    <d v="2021-12-09T00:00:00"/>
    <d v="2024-12-31T00:00:00"/>
    <n v="40"/>
    <x v="0"/>
    <s v="Referral"/>
    <s v="Dec-2021"/>
    <s v="Dec-2024"/>
    <x v="3"/>
    <x v="5"/>
    <s v="Medium"/>
    <x v="1"/>
  </r>
  <r>
    <s v="C0622"/>
    <x v="1"/>
    <d v="2022-06-10T00:00:00"/>
    <d v="2024-12-31T00:00:00"/>
    <n v="15"/>
    <x v="0"/>
    <s v="Referral"/>
    <s v="Jun-2022"/>
    <s v="Dec-2024"/>
    <x v="5"/>
    <x v="1"/>
    <s v="Large"/>
    <x v="4"/>
  </r>
  <r>
    <s v="C0623"/>
    <x v="1"/>
    <d v="2020-09-04T00:00:00"/>
    <d v="2024-12-31T00:00:00"/>
    <n v="15"/>
    <x v="0"/>
    <s v="Google"/>
    <s v="Sep-2020"/>
    <s v="Dec-2024"/>
    <x v="0"/>
    <x v="0"/>
    <s v="Small"/>
    <x v="0"/>
  </r>
  <r>
    <s v="C0624"/>
    <x v="2"/>
    <d v="2022-09-03T00:00:00"/>
    <d v="2024-10-19T00:00:00"/>
    <n v="25"/>
    <x v="1"/>
    <s v="Instagram"/>
    <s v="Sep-2022"/>
    <s v="Oct-2024"/>
    <x v="4"/>
    <x v="2"/>
    <s v="Small"/>
    <x v="4"/>
  </r>
  <r>
    <s v="C0625"/>
    <x v="1"/>
    <d v="2022-01-24T00:00:00"/>
    <d v="2022-06-02T00:00:00"/>
    <n v="15"/>
    <x v="1"/>
    <s v="Referral"/>
    <s v="Jan-2022"/>
    <s v="Jun-2022"/>
    <x v="3"/>
    <x v="4"/>
    <s v="Large"/>
    <x v="4"/>
  </r>
  <r>
    <s v="C0626"/>
    <x v="0"/>
    <d v="2023-08-12T00:00:00"/>
    <d v="2024-12-31T00:00:00"/>
    <n v="40"/>
    <x v="0"/>
    <s v="Facebook"/>
    <s v="Aug-2023"/>
    <s v="Dec-2024"/>
    <x v="1"/>
    <x v="1"/>
    <s v="Medium"/>
    <x v="2"/>
  </r>
  <r>
    <s v="C0627"/>
    <x v="0"/>
    <d v="2024-04-01T00:00:00"/>
    <d v="2024-12-31T00:00:00"/>
    <n v="40"/>
    <x v="0"/>
    <s v="LinkedIn"/>
    <s v="Apr-2024"/>
    <s v="Dec-2024"/>
    <x v="5"/>
    <x v="1"/>
    <s v="Large"/>
    <x v="3"/>
  </r>
  <r>
    <s v="C0628"/>
    <x v="0"/>
    <d v="2021-03-22T00:00:00"/>
    <d v="2024-12-31T00:00:00"/>
    <n v="40"/>
    <x v="0"/>
    <s v="LinkedIn"/>
    <s v="Mar-2021"/>
    <s v="Dec-2024"/>
    <x v="5"/>
    <x v="5"/>
    <s v="Small"/>
    <x v="1"/>
  </r>
  <r>
    <s v="C0629"/>
    <x v="1"/>
    <d v="2023-07-09T00:00:00"/>
    <d v="2024-12-31T00:00:00"/>
    <n v="15"/>
    <x v="0"/>
    <s v="Referral"/>
    <s v="Jul-2023"/>
    <s v="Dec-2024"/>
    <x v="4"/>
    <x v="5"/>
    <s v="Small"/>
    <x v="2"/>
  </r>
  <r>
    <s v="C0630"/>
    <x v="2"/>
    <d v="2023-02-20T00:00:00"/>
    <d v="2024-12-31T00:00:00"/>
    <n v="25"/>
    <x v="0"/>
    <s v="Facebook"/>
    <s v="Feb-2023"/>
    <s v="Dec-2024"/>
    <x v="1"/>
    <x v="1"/>
    <s v="Enterprise"/>
    <x v="2"/>
  </r>
  <r>
    <s v="C0631"/>
    <x v="2"/>
    <d v="2024-03-14T00:00:00"/>
    <d v="2024-12-31T00:00:00"/>
    <n v="25"/>
    <x v="0"/>
    <s v="Google"/>
    <s v="Mar-2024"/>
    <s v="Dec-2024"/>
    <x v="5"/>
    <x v="5"/>
    <s v="Enterprise"/>
    <x v="3"/>
  </r>
  <r>
    <s v="C0632"/>
    <x v="1"/>
    <d v="2024-02-23T00:00:00"/>
    <d v="2024-12-31T00:00:00"/>
    <n v="15"/>
    <x v="0"/>
    <s v="Referral"/>
    <s v="Feb-2024"/>
    <s v="Dec-2024"/>
    <x v="1"/>
    <x v="3"/>
    <s v="Medium"/>
    <x v="3"/>
  </r>
  <r>
    <s v="C0633"/>
    <x v="2"/>
    <d v="2022-05-17T00:00:00"/>
    <d v="2024-12-31T00:00:00"/>
    <n v="25"/>
    <x v="0"/>
    <s v="Google"/>
    <s v="May-2022"/>
    <s v="Dec-2024"/>
    <x v="3"/>
    <x v="2"/>
    <s v="Large"/>
    <x v="4"/>
  </r>
  <r>
    <s v="C0634"/>
    <x v="0"/>
    <d v="2021-12-17T00:00:00"/>
    <d v="2022-05-19T00:00:00"/>
    <n v="40"/>
    <x v="1"/>
    <s v="Google"/>
    <s v="Dec-2021"/>
    <s v="May-2022"/>
    <x v="0"/>
    <x v="0"/>
    <s v="Large"/>
    <x v="1"/>
  </r>
  <r>
    <s v="C0635"/>
    <x v="2"/>
    <d v="2023-09-29T00:00:00"/>
    <d v="2024-06-19T00:00:00"/>
    <n v="25"/>
    <x v="1"/>
    <s v="Facebook"/>
    <s v="Sep-2023"/>
    <s v="Jun-2024"/>
    <x v="0"/>
    <x v="3"/>
    <s v="Large"/>
    <x v="2"/>
  </r>
  <r>
    <s v="C0636"/>
    <x v="0"/>
    <d v="2022-04-11T00:00:00"/>
    <d v="2022-07-24T00:00:00"/>
    <n v="40"/>
    <x v="1"/>
    <s v="Facebook"/>
    <s v="Apr-2022"/>
    <s v="Jul-2022"/>
    <x v="4"/>
    <x v="3"/>
    <s v="Small"/>
    <x v="4"/>
  </r>
  <r>
    <s v="C0637"/>
    <x v="1"/>
    <d v="2020-06-26T00:00:00"/>
    <d v="2024-12-31T00:00:00"/>
    <n v="15"/>
    <x v="0"/>
    <s v="Google"/>
    <s v="Jun-2020"/>
    <s v="Dec-2024"/>
    <x v="0"/>
    <x v="2"/>
    <s v="Large"/>
    <x v="0"/>
  </r>
  <r>
    <s v="C0638"/>
    <x v="1"/>
    <d v="2022-06-30T00:00:00"/>
    <d v="2024-12-31T00:00:00"/>
    <n v="15"/>
    <x v="0"/>
    <s v="Referral"/>
    <s v="Jun-2022"/>
    <s v="Dec-2024"/>
    <x v="2"/>
    <x v="5"/>
    <s v="Enterprise"/>
    <x v="4"/>
  </r>
  <r>
    <s v="C0639"/>
    <x v="0"/>
    <d v="2021-12-01T00:00:00"/>
    <d v="2024-12-31T00:00:00"/>
    <n v="40"/>
    <x v="0"/>
    <s v="Google"/>
    <s v="Dec-2021"/>
    <s v="Dec-2024"/>
    <x v="4"/>
    <x v="1"/>
    <s v="Small"/>
    <x v="1"/>
  </r>
  <r>
    <s v="C0640"/>
    <x v="0"/>
    <d v="2020-01-02T00:00:00"/>
    <d v="2022-04-28T00:00:00"/>
    <n v="40"/>
    <x v="1"/>
    <s v="Google"/>
    <s v="Jan-2020"/>
    <s v="Apr-2022"/>
    <x v="0"/>
    <x v="5"/>
    <s v="Large"/>
    <x v="0"/>
  </r>
  <r>
    <s v="C0641"/>
    <x v="1"/>
    <d v="2023-10-29T00:00:00"/>
    <d v="2024-12-31T00:00:00"/>
    <n v="15"/>
    <x v="0"/>
    <s v="LinkedIn"/>
    <s v="Oct-2023"/>
    <s v="Dec-2024"/>
    <x v="1"/>
    <x v="4"/>
    <s v="Medium"/>
    <x v="2"/>
  </r>
  <r>
    <s v="C0642"/>
    <x v="1"/>
    <d v="2024-06-03T00:00:00"/>
    <d v="2024-12-31T00:00:00"/>
    <n v="15"/>
    <x v="0"/>
    <s v="LinkedIn"/>
    <s v="Jun-2024"/>
    <s v="Dec-2024"/>
    <x v="2"/>
    <x v="4"/>
    <s v="Medium"/>
    <x v="3"/>
  </r>
  <r>
    <s v="C0643"/>
    <x v="1"/>
    <d v="2023-04-13T00:00:00"/>
    <d v="2024-12-31T00:00:00"/>
    <n v="15"/>
    <x v="0"/>
    <s v="Google"/>
    <s v="Apr-2023"/>
    <s v="Dec-2024"/>
    <x v="1"/>
    <x v="5"/>
    <s v="Enterprise"/>
    <x v="2"/>
  </r>
  <r>
    <s v="C0644"/>
    <x v="1"/>
    <d v="2023-07-30T00:00:00"/>
    <d v="2024-12-31T00:00:00"/>
    <n v="15"/>
    <x v="1"/>
    <s v="Google"/>
    <s v="Jul-2023"/>
    <s v="Dec-2024"/>
    <x v="2"/>
    <x v="4"/>
    <s v="Small"/>
    <x v="2"/>
  </r>
  <r>
    <s v="C0645"/>
    <x v="2"/>
    <d v="2024-04-16T00:00:00"/>
    <d v="2024-12-31T00:00:00"/>
    <n v="25"/>
    <x v="1"/>
    <s v="Referral"/>
    <s v="Apr-2024"/>
    <s v="Dec-2024"/>
    <x v="2"/>
    <x v="4"/>
    <s v="Large"/>
    <x v="3"/>
  </r>
  <r>
    <s v="C0646"/>
    <x v="1"/>
    <d v="2020-07-20T00:00:00"/>
    <d v="2024-12-31T00:00:00"/>
    <n v="15"/>
    <x v="0"/>
    <s v="LinkedIn"/>
    <s v="Jul-2020"/>
    <s v="Dec-2024"/>
    <x v="0"/>
    <x v="4"/>
    <s v="Large"/>
    <x v="0"/>
  </r>
  <r>
    <s v="C0647"/>
    <x v="1"/>
    <d v="2022-04-24T00:00:00"/>
    <d v="2024-12-31T00:00:00"/>
    <n v="15"/>
    <x v="0"/>
    <s v="LinkedIn"/>
    <s v="Apr-2022"/>
    <s v="Dec-2024"/>
    <x v="2"/>
    <x v="3"/>
    <s v="Large"/>
    <x v="4"/>
  </r>
  <r>
    <s v="C0648"/>
    <x v="0"/>
    <d v="2023-11-25T00:00:00"/>
    <d v="2024-10-25T00:00:00"/>
    <n v="40"/>
    <x v="1"/>
    <s v="LinkedIn"/>
    <s v="Nov-2023"/>
    <s v="Oct-2024"/>
    <x v="1"/>
    <x v="2"/>
    <s v="Small"/>
    <x v="2"/>
  </r>
  <r>
    <s v="C0649"/>
    <x v="0"/>
    <d v="2021-01-19T00:00:00"/>
    <d v="2024-12-31T00:00:00"/>
    <n v="40"/>
    <x v="0"/>
    <s v="Instagram"/>
    <s v="Jan-2021"/>
    <s v="Dec-2024"/>
    <x v="2"/>
    <x v="2"/>
    <s v="Small"/>
    <x v="1"/>
  </r>
  <r>
    <s v="C0650"/>
    <x v="1"/>
    <d v="2024-01-27T00:00:00"/>
    <d v="2024-12-31T00:00:00"/>
    <n v="15"/>
    <x v="1"/>
    <s v="Instagram"/>
    <s v="Jan-2024"/>
    <s v="Dec-2024"/>
    <x v="0"/>
    <x v="5"/>
    <s v="Small"/>
    <x v="3"/>
  </r>
  <r>
    <s v="C0651"/>
    <x v="2"/>
    <d v="2022-12-16T00:00:00"/>
    <d v="2024-12-31T00:00:00"/>
    <n v="25"/>
    <x v="0"/>
    <s v="Facebook"/>
    <s v="Dec-2022"/>
    <s v="Dec-2024"/>
    <x v="3"/>
    <x v="4"/>
    <s v="Enterprise"/>
    <x v="4"/>
  </r>
  <r>
    <s v="C0652"/>
    <x v="2"/>
    <d v="2020-04-06T00:00:00"/>
    <d v="2024-12-31T00:00:00"/>
    <n v="25"/>
    <x v="0"/>
    <s v="Referral"/>
    <s v="Apr-2020"/>
    <s v="Dec-2024"/>
    <x v="0"/>
    <x v="2"/>
    <s v="Medium"/>
    <x v="0"/>
  </r>
  <r>
    <s v="C0653"/>
    <x v="0"/>
    <d v="2021-06-08T00:00:00"/>
    <d v="2022-11-19T00:00:00"/>
    <n v="40"/>
    <x v="1"/>
    <s v="Google"/>
    <s v="Jun-2021"/>
    <s v="Nov-2022"/>
    <x v="2"/>
    <x v="1"/>
    <s v="Medium"/>
    <x v="1"/>
  </r>
  <r>
    <s v="C0654"/>
    <x v="2"/>
    <d v="2022-11-15T00:00:00"/>
    <d v="2024-12-31T00:00:00"/>
    <n v="25"/>
    <x v="0"/>
    <s v="Instagram"/>
    <s v="Nov-2022"/>
    <s v="Dec-2024"/>
    <x v="0"/>
    <x v="5"/>
    <s v="Large"/>
    <x v="4"/>
  </r>
  <r>
    <s v="C0655"/>
    <x v="1"/>
    <d v="2024-01-23T00:00:00"/>
    <d v="2024-12-31T00:00:00"/>
    <n v="15"/>
    <x v="0"/>
    <s v="LinkedIn"/>
    <s v="Jan-2024"/>
    <s v="Dec-2024"/>
    <x v="3"/>
    <x v="2"/>
    <s v="Medium"/>
    <x v="3"/>
  </r>
  <r>
    <s v="C0656"/>
    <x v="0"/>
    <d v="2022-09-25T00:00:00"/>
    <d v="2023-03-09T00:00:00"/>
    <n v="40"/>
    <x v="1"/>
    <s v="LinkedIn"/>
    <s v="Sep-2022"/>
    <s v="Mar-2023"/>
    <x v="0"/>
    <x v="2"/>
    <s v="Small"/>
    <x v="4"/>
  </r>
  <r>
    <s v="C0657"/>
    <x v="1"/>
    <d v="2023-08-30T00:00:00"/>
    <d v="2024-12-31T00:00:00"/>
    <n v="15"/>
    <x v="1"/>
    <s v="Instagram"/>
    <s v="Aug-2023"/>
    <s v="Dec-2024"/>
    <x v="3"/>
    <x v="0"/>
    <s v="Medium"/>
    <x v="2"/>
  </r>
  <r>
    <s v="C0658"/>
    <x v="2"/>
    <d v="2024-03-14T00:00:00"/>
    <d v="2024-08-23T00:00:00"/>
    <n v="25"/>
    <x v="1"/>
    <s v="Facebook"/>
    <s v="Mar-2024"/>
    <s v="Aug-2024"/>
    <x v="4"/>
    <x v="3"/>
    <s v="Medium"/>
    <x v="3"/>
  </r>
  <r>
    <s v="C0659"/>
    <x v="2"/>
    <d v="2024-06-13T00:00:00"/>
    <d v="2024-12-31T00:00:00"/>
    <n v="25"/>
    <x v="0"/>
    <s v="LinkedIn"/>
    <s v="Jun-2024"/>
    <s v="Dec-2024"/>
    <x v="1"/>
    <x v="1"/>
    <s v="Enterprise"/>
    <x v="3"/>
  </r>
  <r>
    <s v="C0660"/>
    <x v="0"/>
    <d v="2022-06-17T00:00:00"/>
    <d v="2024-12-31T00:00:00"/>
    <n v="40"/>
    <x v="0"/>
    <s v="Instagram"/>
    <s v="Jun-2022"/>
    <s v="Dec-2024"/>
    <x v="1"/>
    <x v="4"/>
    <s v="Enterprise"/>
    <x v="4"/>
  </r>
  <r>
    <s v="C0661"/>
    <x v="1"/>
    <d v="2022-08-24T00:00:00"/>
    <d v="2024-12-31T00:00:00"/>
    <n v="15"/>
    <x v="0"/>
    <s v="LinkedIn"/>
    <s v="Aug-2022"/>
    <s v="Dec-2024"/>
    <x v="2"/>
    <x v="5"/>
    <s v="Medium"/>
    <x v="4"/>
  </r>
  <r>
    <s v="C0662"/>
    <x v="0"/>
    <d v="2023-10-01T00:00:00"/>
    <d v="2024-12-31T00:00:00"/>
    <n v="40"/>
    <x v="0"/>
    <s v="Facebook"/>
    <s v="Oct-2023"/>
    <s v="Dec-2024"/>
    <x v="4"/>
    <x v="2"/>
    <s v="Large"/>
    <x v="2"/>
  </r>
  <r>
    <s v="C0663"/>
    <x v="2"/>
    <d v="2021-01-06T00:00:00"/>
    <d v="2024-12-31T00:00:00"/>
    <n v="25"/>
    <x v="0"/>
    <s v="Referral"/>
    <s v="Jan-2021"/>
    <s v="Dec-2024"/>
    <x v="0"/>
    <x v="1"/>
    <s v="Medium"/>
    <x v="1"/>
  </r>
  <r>
    <s v="C0664"/>
    <x v="2"/>
    <d v="2021-11-18T00:00:00"/>
    <d v="2024-12-31T00:00:00"/>
    <n v="25"/>
    <x v="0"/>
    <s v="Referral"/>
    <s v="Nov-2021"/>
    <s v="Dec-2024"/>
    <x v="3"/>
    <x v="4"/>
    <s v="Enterprise"/>
    <x v="1"/>
  </r>
  <r>
    <s v="C0665"/>
    <x v="1"/>
    <d v="2022-11-16T00:00:00"/>
    <d v="2024-12-31T00:00:00"/>
    <n v="15"/>
    <x v="0"/>
    <s v="Facebook"/>
    <s v="Nov-2022"/>
    <s v="Dec-2024"/>
    <x v="4"/>
    <x v="5"/>
    <s v="Medium"/>
    <x v="4"/>
  </r>
  <r>
    <s v="C0666"/>
    <x v="2"/>
    <d v="2021-06-19T00:00:00"/>
    <d v="2023-03-31T00:00:00"/>
    <n v="25"/>
    <x v="1"/>
    <s v="Instagram"/>
    <s v="Jun-2021"/>
    <s v="Mar-2023"/>
    <x v="3"/>
    <x v="1"/>
    <s v="Enterprise"/>
    <x v="1"/>
  </r>
  <r>
    <s v="C0667"/>
    <x v="0"/>
    <d v="2024-01-11T00:00:00"/>
    <d v="2024-12-31T00:00:00"/>
    <n v="40"/>
    <x v="0"/>
    <s v="Google"/>
    <s v="Jan-2024"/>
    <s v="Dec-2024"/>
    <x v="1"/>
    <x v="5"/>
    <s v="Small"/>
    <x v="3"/>
  </r>
  <r>
    <s v="C0668"/>
    <x v="2"/>
    <d v="2020-01-07T00:00:00"/>
    <d v="2024-12-31T00:00:00"/>
    <n v="25"/>
    <x v="0"/>
    <s v="Facebook"/>
    <s v="Jan-2020"/>
    <s v="Dec-2024"/>
    <x v="4"/>
    <x v="2"/>
    <s v="Enterprise"/>
    <x v="0"/>
  </r>
  <r>
    <s v="C0669"/>
    <x v="1"/>
    <d v="2022-04-13T00:00:00"/>
    <d v="2024-12-31T00:00:00"/>
    <n v="15"/>
    <x v="0"/>
    <s v="Google"/>
    <s v="Apr-2022"/>
    <s v="Dec-2024"/>
    <x v="3"/>
    <x v="1"/>
    <s v="Medium"/>
    <x v="4"/>
  </r>
  <r>
    <s v="C0670"/>
    <x v="0"/>
    <d v="2020-10-27T00:00:00"/>
    <d v="2022-07-28T00:00:00"/>
    <n v="40"/>
    <x v="1"/>
    <s v="LinkedIn"/>
    <s v="Oct-2020"/>
    <s v="Jul-2022"/>
    <x v="1"/>
    <x v="2"/>
    <s v="Large"/>
    <x v="0"/>
  </r>
  <r>
    <s v="C0671"/>
    <x v="0"/>
    <d v="2023-08-16T00:00:00"/>
    <d v="2024-12-31T00:00:00"/>
    <n v="40"/>
    <x v="0"/>
    <s v="Google"/>
    <s v="Aug-2023"/>
    <s v="Dec-2024"/>
    <x v="0"/>
    <x v="3"/>
    <s v="Medium"/>
    <x v="2"/>
  </r>
  <r>
    <s v="C0672"/>
    <x v="0"/>
    <d v="2021-06-20T00:00:00"/>
    <d v="2024-12-31T00:00:00"/>
    <n v="40"/>
    <x v="0"/>
    <s v="LinkedIn"/>
    <s v="Jun-2021"/>
    <s v="Dec-2024"/>
    <x v="2"/>
    <x v="4"/>
    <s v="Medium"/>
    <x v="1"/>
  </r>
  <r>
    <s v="C0673"/>
    <x v="2"/>
    <d v="2022-07-03T00:00:00"/>
    <d v="2024-12-31T00:00:00"/>
    <n v="25"/>
    <x v="0"/>
    <s v="Google"/>
    <s v="Jul-2022"/>
    <s v="Dec-2024"/>
    <x v="1"/>
    <x v="5"/>
    <s v="Large"/>
    <x v="4"/>
  </r>
  <r>
    <s v="C0674"/>
    <x v="1"/>
    <d v="2020-11-14T00:00:00"/>
    <d v="2024-12-31T00:00:00"/>
    <n v="15"/>
    <x v="0"/>
    <s v="Facebook"/>
    <s v="Nov-2020"/>
    <s v="Dec-2024"/>
    <x v="4"/>
    <x v="2"/>
    <s v="Large"/>
    <x v="0"/>
  </r>
  <r>
    <s v="C0675"/>
    <x v="0"/>
    <d v="2020-10-20T00:00:00"/>
    <d v="2024-12-31T00:00:00"/>
    <n v="40"/>
    <x v="0"/>
    <s v="Referral"/>
    <s v="Oct-2020"/>
    <s v="Dec-2024"/>
    <x v="1"/>
    <x v="0"/>
    <s v="Medium"/>
    <x v="0"/>
  </r>
  <r>
    <s v="C0676"/>
    <x v="0"/>
    <d v="2020-02-01T00:00:00"/>
    <d v="2022-01-11T00:00:00"/>
    <n v="40"/>
    <x v="1"/>
    <s v="Referral"/>
    <s v="Feb-2020"/>
    <s v="Jan-2022"/>
    <x v="1"/>
    <x v="0"/>
    <s v="Enterprise"/>
    <x v="0"/>
  </r>
  <r>
    <s v="C0677"/>
    <x v="0"/>
    <d v="2023-05-31T00:00:00"/>
    <d v="2024-12-31T00:00:00"/>
    <n v="40"/>
    <x v="0"/>
    <s v="Facebook"/>
    <s v="May-2023"/>
    <s v="Dec-2024"/>
    <x v="2"/>
    <x v="4"/>
    <s v="Small"/>
    <x v="2"/>
  </r>
  <r>
    <s v="C0678"/>
    <x v="1"/>
    <d v="2021-06-12T00:00:00"/>
    <d v="2024-12-31T00:00:00"/>
    <n v="15"/>
    <x v="0"/>
    <s v="LinkedIn"/>
    <s v="Jun-2021"/>
    <s v="Dec-2024"/>
    <x v="1"/>
    <x v="3"/>
    <s v="Small"/>
    <x v="1"/>
  </r>
  <r>
    <s v="C0679"/>
    <x v="2"/>
    <d v="2020-07-24T00:00:00"/>
    <d v="2022-05-17T00:00:00"/>
    <n v="25"/>
    <x v="1"/>
    <s v="Referral"/>
    <s v="Jul-2020"/>
    <s v="May-2022"/>
    <x v="0"/>
    <x v="0"/>
    <s v="Enterprise"/>
    <x v="0"/>
  </r>
  <r>
    <s v="C0680"/>
    <x v="0"/>
    <d v="2024-03-20T00:00:00"/>
    <d v="2024-12-31T00:00:00"/>
    <n v="40"/>
    <x v="0"/>
    <s v="Instagram"/>
    <s v="Mar-2024"/>
    <s v="Dec-2024"/>
    <x v="0"/>
    <x v="0"/>
    <s v="Enterprise"/>
    <x v="3"/>
  </r>
  <r>
    <s v="C0681"/>
    <x v="1"/>
    <d v="2024-04-25T00:00:00"/>
    <d v="2024-12-31T00:00:00"/>
    <n v="15"/>
    <x v="1"/>
    <s v="Referral"/>
    <s v="Apr-2024"/>
    <s v="Dec-2024"/>
    <x v="2"/>
    <x v="2"/>
    <s v="Medium"/>
    <x v="3"/>
  </r>
  <r>
    <s v="C0682"/>
    <x v="1"/>
    <d v="2022-08-19T00:00:00"/>
    <d v="2024-12-31T00:00:00"/>
    <n v="15"/>
    <x v="0"/>
    <s v="LinkedIn"/>
    <s v="Aug-2022"/>
    <s v="Dec-2024"/>
    <x v="5"/>
    <x v="2"/>
    <s v="Small"/>
    <x v="4"/>
  </r>
  <r>
    <s v="C0683"/>
    <x v="1"/>
    <d v="2022-08-29T00:00:00"/>
    <d v="2024-12-31T00:00:00"/>
    <n v="15"/>
    <x v="0"/>
    <s v="Instagram"/>
    <s v="Aug-2022"/>
    <s v="Dec-2024"/>
    <x v="0"/>
    <x v="3"/>
    <s v="Enterprise"/>
    <x v="4"/>
  </r>
  <r>
    <s v="C0684"/>
    <x v="2"/>
    <d v="2020-08-12T00:00:00"/>
    <d v="2024-12-31T00:00:00"/>
    <n v="25"/>
    <x v="0"/>
    <s v="Facebook"/>
    <s v="Aug-2020"/>
    <s v="Dec-2024"/>
    <x v="2"/>
    <x v="4"/>
    <s v="Medium"/>
    <x v="0"/>
  </r>
  <r>
    <s v="C0685"/>
    <x v="2"/>
    <d v="2021-02-24T00:00:00"/>
    <d v="2024-12-31T00:00:00"/>
    <n v="25"/>
    <x v="0"/>
    <s v="Referral"/>
    <s v="Feb-2021"/>
    <s v="Dec-2024"/>
    <x v="0"/>
    <x v="0"/>
    <s v="Medium"/>
    <x v="1"/>
  </r>
  <r>
    <s v="C0686"/>
    <x v="1"/>
    <d v="2024-03-10T00:00:00"/>
    <d v="2024-09-07T00:00:00"/>
    <n v="15"/>
    <x v="1"/>
    <s v="Referral"/>
    <s v="Mar-2024"/>
    <s v="Sep-2024"/>
    <x v="1"/>
    <x v="4"/>
    <s v="Enterprise"/>
    <x v="3"/>
  </r>
  <r>
    <s v="C0687"/>
    <x v="1"/>
    <d v="2024-05-17T00:00:00"/>
    <d v="2024-12-31T00:00:00"/>
    <n v="15"/>
    <x v="0"/>
    <s v="LinkedIn"/>
    <s v="May-2024"/>
    <s v="Dec-2024"/>
    <x v="2"/>
    <x v="4"/>
    <s v="Medium"/>
    <x v="3"/>
  </r>
  <r>
    <s v="C0688"/>
    <x v="0"/>
    <d v="2022-05-22T00:00:00"/>
    <d v="2024-12-31T00:00:00"/>
    <n v="40"/>
    <x v="0"/>
    <s v="Instagram"/>
    <s v="May-2022"/>
    <s v="Dec-2024"/>
    <x v="1"/>
    <x v="1"/>
    <s v="Enterprise"/>
    <x v="4"/>
  </r>
  <r>
    <s v="C0689"/>
    <x v="2"/>
    <d v="2021-02-06T00:00:00"/>
    <d v="2023-05-19T00:00:00"/>
    <n v="25"/>
    <x v="1"/>
    <s v="Google"/>
    <s v="Feb-2021"/>
    <s v="May-2023"/>
    <x v="1"/>
    <x v="5"/>
    <s v="Medium"/>
    <x v="1"/>
  </r>
  <r>
    <s v="C0690"/>
    <x v="0"/>
    <d v="2021-05-28T00:00:00"/>
    <d v="2022-02-22T00:00:00"/>
    <n v="40"/>
    <x v="1"/>
    <s v="LinkedIn"/>
    <s v="May-2021"/>
    <s v="Feb-2022"/>
    <x v="3"/>
    <x v="5"/>
    <s v="Enterprise"/>
    <x v="1"/>
  </r>
  <r>
    <s v="C0691"/>
    <x v="0"/>
    <d v="2023-10-10T00:00:00"/>
    <d v="2024-07-03T00:00:00"/>
    <n v="40"/>
    <x v="1"/>
    <s v="Facebook"/>
    <s v="Oct-2023"/>
    <s v="Jul-2024"/>
    <x v="4"/>
    <x v="1"/>
    <s v="Large"/>
    <x v="2"/>
  </r>
  <r>
    <s v="C0692"/>
    <x v="0"/>
    <d v="2020-01-14T00:00:00"/>
    <d v="2024-12-31T00:00:00"/>
    <n v="40"/>
    <x v="0"/>
    <s v="Instagram"/>
    <s v="Jan-2020"/>
    <s v="Dec-2024"/>
    <x v="2"/>
    <x v="1"/>
    <s v="Enterprise"/>
    <x v="0"/>
  </r>
  <r>
    <s v="C0693"/>
    <x v="1"/>
    <d v="2021-07-09T00:00:00"/>
    <d v="2022-07-30T00:00:00"/>
    <n v="15"/>
    <x v="1"/>
    <s v="Referral"/>
    <s v="Jul-2021"/>
    <s v="Jul-2022"/>
    <x v="2"/>
    <x v="3"/>
    <s v="Medium"/>
    <x v="1"/>
  </r>
  <r>
    <s v="C0694"/>
    <x v="1"/>
    <d v="2020-07-27T00:00:00"/>
    <d v="2024-12-31T00:00:00"/>
    <n v="15"/>
    <x v="0"/>
    <s v="Referral"/>
    <s v="Jul-2020"/>
    <s v="Dec-2024"/>
    <x v="4"/>
    <x v="5"/>
    <s v="Large"/>
    <x v="0"/>
  </r>
  <r>
    <s v="C0695"/>
    <x v="0"/>
    <d v="2021-02-01T00:00:00"/>
    <d v="2024-12-31T00:00:00"/>
    <n v="40"/>
    <x v="0"/>
    <s v="Instagram"/>
    <s v="Feb-2021"/>
    <s v="Dec-2024"/>
    <x v="2"/>
    <x v="1"/>
    <s v="Small"/>
    <x v="1"/>
  </r>
  <r>
    <s v="C0696"/>
    <x v="0"/>
    <d v="2022-02-10T00:00:00"/>
    <d v="2024-12-31T00:00:00"/>
    <n v="40"/>
    <x v="0"/>
    <s v="LinkedIn"/>
    <s v="Feb-2022"/>
    <s v="Dec-2024"/>
    <x v="2"/>
    <x v="3"/>
    <s v="Small"/>
    <x v="4"/>
  </r>
  <r>
    <s v="C0697"/>
    <x v="1"/>
    <d v="2023-09-24T00:00:00"/>
    <d v="2024-12-31T00:00:00"/>
    <n v="15"/>
    <x v="0"/>
    <s v="Instagram"/>
    <s v="Sep-2023"/>
    <s v="Dec-2024"/>
    <x v="4"/>
    <x v="2"/>
    <s v="Small"/>
    <x v="2"/>
  </r>
  <r>
    <s v="C0698"/>
    <x v="0"/>
    <d v="2021-11-13T00:00:00"/>
    <d v="2024-12-31T00:00:00"/>
    <n v="40"/>
    <x v="0"/>
    <s v="Google"/>
    <s v="Nov-2021"/>
    <s v="Dec-2024"/>
    <x v="4"/>
    <x v="2"/>
    <s v="Small"/>
    <x v="1"/>
  </r>
  <r>
    <s v="C0699"/>
    <x v="2"/>
    <d v="2022-09-27T00:00:00"/>
    <d v="2024-12-31T00:00:00"/>
    <n v="25"/>
    <x v="0"/>
    <s v="Instagram"/>
    <s v="Sep-2022"/>
    <s v="Dec-2024"/>
    <x v="2"/>
    <x v="5"/>
    <s v="Medium"/>
    <x v="4"/>
  </r>
  <r>
    <s v="C0700"/>
    <x v="0"/>
    <d v="2023-05-14T00:00:00"/>
    <d v="2024-12-31T00:00:00"/>
    <n v="40"/>
    <x v="0"/>
    <s v="Facebook"/>
    <s v="May-2023"/>
    <s v="Dec-2024"/>
    <x v="1"/>
    <x v="0"/>
    <s v="Large"/>
    <x v="2"/>
  </r>
  <r>
    <s v="C0701"/>
    <x v="0"/>
    <d v="2021-12-31T00:00:00"/>
    <d v="2024-05-18T00:00:00"/>
    <n v="40"/>
    <x v="1"/>
    <s v="LinkedIn"/>
    <s v="Dec-2021"/>
    <s v="May-2024"/>
    <x v="4"/>
    <x v="0"/>
    <s v="Enterprise"/>
    <x v="1"/>
  </r>
  <r>
    <s v="C0702"/>
    <x v="2"/>
    <d v="2020-04-01T00:00:00"/>
    <d v="2024-12-31T00:00:00"/>
    <n v="25"/>
    <x v="0"/>
    <s v="Google"/>
    <s v="Apr-2020"/>
    <s v="Dec-2024"/>
    <x v="1"/>
    <x v="5"/>
    <s v="Small"/>
    <x v="0"/>
  </r>
  <r>
    <s v="C0703"/>
    <x v="0"/>
    <d v="2021-09-06T00:00:00"/>
    <d v="2024-12-31T00:00:00"/>
    <n v="40"/>
    <x v="0"/>
    <s v="Google"/>
    <s v="Sep-2021"/>
    <s v="Dec-2024"/>
    <x v="2"/>
    <x v="4"/>
    <s v="Small"/>
    <x v="1"/>
  </r>
  <r>
    <s v="C0704"/>
    <x v="1"/>
    <d v="2024-07-03T00:00:00"/>
    <d v="2024-12-31T00:00:00"/>
    <n v="15"/>
    <x v="0"/>
    <s v="Facebook"/>
    <s v="Jul-2024"/>
    <s v="Dec-2024"/>
    <x v="5"/>
    <x v="0"/>
    <s v="Small"/>
    <x v="3"/>
  </r>
  <r>
    <s v="C0705"/>
    <x v="0"/>
    <d v="2021-04-21T00:00:00"/>
    <d v="2022-05-28T00:00:00"/>
    <n v="40"/>
    <x v="1"/>
    <s v="LinkedIn"/>
    <s v="Apr-2021"/>
    <s v="May-2022"/>
    <x v="4"/>
    <x v="2"/>
    <s v="Enterprise"/>
    <x v="1"/>
  </r>
  <r>
    <s v="C0706"/>
    <x v="1"/>
    <d v="2023-11-10T00:00:00"/>
    <d v="2024-12-31T00:00:00"/>
    <n v="15"/>
    <x v="1"/>
    <s v="Google"/>
    <s v="Nov-2023"/>
    <s v="Dec-2024"/>
    <x v="3"/>
    <x v="3"/>
    <s v="Enterprise"/>
    <x v="2"/>
  </r>
  <r>
    <s v="C0707"/>
    <x v="2"/>
    <d v="2021-06-04T00:00:00"/>
    <d v="2024-12-31T00:00:00"/>
    <n v="25"/>
    <x v="0"/>
    <s v="Facebook"/>
    <s v="Jun-2021"/>
    <s v="Dec-2024"/>
    <x v="0"/>
    <x v="2"/>
    <s v="Medium"/>
    <x v="1"/>
  </r>
  <r>
    <s v="C0708"/>
    <x v="0"/>
    <d v="2021-06-14T00:00:00"/>
    <d v="2024-12-31T00:00:00"/>
    <n v="40"/>
    <x v="0"/>
    <s v="Referral"/>
    <s v="Jun-2021"/>
    <s v="Dec-2024"/>
    <x v="2"/>
    <x v="4"/>
    <s v="Small"/>
    <x v="1"/>
  </r>
  <r>
    <s v="C0709"/>
    <x v="1"/>
    <d v="2023-02-21T00:00:00"/>
    <d v="2024-12-31T00:00:00"/>
    <n v="15"/>
    <x v="0"/>
    <s v="Facebook"/>
    <s v="Feb-2023"/>
    <s v="Dec-2024"/>
    <x v="2"/>
    <x v="0"/>
    <s v="Enterprise"/>
    <x v="2"/>
  </r>
  <r>
    <s v="C0710"/>
    <x v="2"/>
    <d v="2020-04-04T00:00:00"/>
    <d v="2024-12-31T00:00:00"/>
    <n v="25"/>
    <x v="0"/>
    <s v="Instagram"/>
    <s v="Apr-2020"/>
    <s v="Dec-2024"/>
    <x v="4"/>
    <x v="5"/>
    <s v="Enterprise"/>
    <x v="0"/>
  </r>
  <r>
    <s v="C0711"/>
    <x v="2"/>
    <d v="2023-12-27T00:00:00"/>
    <d v="2024-12-31T00:00:00"/>
    <n v="25"/>
    <x v="0"/>
    <s v="LinkedIn"/>
    <s v="Dec-2023"/>
    <s v="Dec-2024"/>
    <x v="4"/>
    <x v="5"/>
    <s v="Medium"/>
    <x v="2"/>
  </r>
  <r>
    <s v="C0712"/>
    <x v="0"/>
    <d v="2023-04-18T00:00:00"/>
    <d v="2024-12-31T00:00:00"/>
    <n v="40"/>
    <x v="0"/>
    <s v="LinkedIn"/>
    <s v="Apr-2023"/>
    <s v="Dec-2024"/>
    <x v="3"/>
    <x v="5"/>
    <s v="Enterprise"/>
    <x v="2"/>
  </r>
  <r>
    <s v="C0713"/>
    <x v="1"/>
    <d v="2023-09-13T00:00:00"/>
    <d v="2024-12-31T00:00:00"/>
    <n v="15"/>
    <x v="0"/>
    <s v="Google"/>
    <s v="Sep-2023"/>
    <s v="Dec-2024"/>
    <x v="5"/>
    <x v="5"/>
    <s v="Small"/>
    <x v="2"/>
  </r>
  <r>
    <s v="C0714"/>
    <x v="2"/>
    <d v="2023-05-26T00:00:00"/>
    <d v="2024-12-31T00:00:00"/>
    <n v="25"/>
    <x v="0"/>
    <s v="Instagram"/>
    <s v="May-2023"/>
    <s v="Dec-2024"/>
    <x v="2"/>
    <x v="1"/>
    <s v="Enterprise"/>
    <x v="2"/>
  </r>
  <r>
    <s v="C0715"/>
    <x v="0"/>
    <d v="2023-05-12T00:00:00"/>
    <d v="2024-12-06T00:00:00"/>
    <n v="40"/>
    <x v="1"/>
    <s v="Facebook"/>
    <s v="May-2023"/>
    <s v="Dec-2024"/>
    <x v="4"/>
    <x v="2"/>
    <s v="Large"/>
    <x v="2"/>
  </r>
  <r>
    <s v="C0716"/>
    <x v="1"/>
    <d v="2022-04-03T00:00:00"/>
    <d v="2024-12-31T00:00:00"/>
    <n v="15"/>
    <x v="0"/>
    <s v="Referral"/>
    <s v="Apr-2022"/>
    <s v="Dec-2024"/>
    <x v="2"/>
    <x v="2"/>
    <s v="Large"/>
    <x v="4"/>
  </r>
  <r>
    <s v="C0717"/>
    <x v="2"/>
    <d v="2020-09-16T00:00:00"/>
    <d v="2024-12-31T00:00:00"/>
    <n v="25"/>
    <x v="0"/>
    <s v="Instagram"/>
    <s v="Sep-2020"/>
    <s v="Dec-2024"/>
    <x v="2"/>
    <x v="3"/>
    <s v="Small"/>
    <x v="0"/>
  </r>
  <r>
    <s v="C0718"/>
    <x v="0"/>
    <d v="2022-12-16T00:00:00"/>
    <d v="2024-10-07T00:00:00"/>
    <n v="40"/>
    <x v="1"/>
    <s v="Google"/>
    <s v="Dec-2022"/>
    <s v="Oct-2024"/>
    <x v="5"/>
    <x v="5"/>
    <s v="Large"/>
    <x v="4"/>
  </r>
  <r>
    <s v="C0719"/>
    <x v="2"/>
    <d v="2021-09-19T00:00:00"/>
    <d v="2023-09-06T00:00:00"/>
    <n v="25"/>
    <x v="1"/>
    <s v="LinkedIn"/>
    <s v="Sep-2021"/>
    <s v="Sep-2023"/>
    <x v="2"/>
    <x v="1"/>
    <s v="Small"/>
    <x v="1"/>
  </r>
  <r>
    <s v="C0720"/>
    <x v="1"/>
    <d v="2022-08-25T00:00:00"/>
    <d v="2024-12-31T00:00:00"/>
    <n v="15"/>
    <x v="0"/>
    <s v="Instagram"/>
    <s v="Aug-2022"/>
    <s v="Dec-2024"/>
    <x v="5"/>
    <x v="0"/>
    <s v="Medium"/>
    <x v="4"/>
  </r>
  <r>
    <s v="C0721"/>
    <x v="1"/>
    <d v="2020-02-01T00:00:00"/>
    <d v="2024-12-31T00:00:00"/>
    <n v="15"/>
    <x v="0"/>
    <s v="LinkedIn"/>
    <s v="Feb-2020"/>
    <s v="Dec-2024"/>
    <x v="3"/>
    <x v="0"/>
    <s v="Small"/>
    <x v="0"/>
  </r>
  <r>
    <s v="C0722"/>
    <x v="0"/>
    <d v="2021-11-18T00:00:00"/>
    <d v="2022-07-29T00:00:00"/>
    <n v="40"/>
    <x v="1"/>
    <s v="Referral"/>
    <s v="Nov-2021"/>
    <s v="Jul-2022"/>
    <x v="0"/>
    <x v="3"/>
    <s v="Small"/>
    <x v="1"/>
  </r>
  <r>
    <s v="C0723"/>
    <x v="2"/>
    <d v="2020-03-21T00:00:00"/>
    <d v="2024-12-31T00:00:00"/>
    <n v="25"/>
    <x v="0"/>
    <s v="LinkedIn"/>
    <s v="Mar-2020"/>
    <s v="Dec-2024"/>
    <x v="2"/>
    <x v="5"/>
    <s v="Small"/>
    <x v="0"/>
  </r>
  <r>
    <s v="C0724"/>
    <x v="1"/>
    <d v="2022-11-21T00:00:00"/>
    <d v="2024-10-25T00:00:00"/>
    <n v="15"/>
    <x v="1"/>
    <s v="LinkedIn"/>
    <s v="Nov-2022"/>
    <s v="Oct-2024"/>
    <x v="5"/>
    <x v="2"/>
    <s v="Medium"/>
    <x v="4"/>
  </r>
  <r>
    <s v="C0725"/>
    <x v="2"/>
    <d v="2022-10-23T00:00:00"/>
    <d v="2024-07-17T00:00:00"/>
    <n v="25"/>
    <x v="1"/>
    <s v="LinkedIn"/>
    <s v="Oct-2022"/>
    <s v="Jul-2024"/>
    <x v="5"/>
    <x v="2"/>
    <s v="Small"/>
    <x v="4"/>
  </r>
  <r>
    <s v="C0726"/>
    <x v="2"/>
    <d v="2023-06-18T00:00:00"/>
    <d v="2024-12-31T00:00:00"/>
    <n v="25"/>
    <x v="0"/>
    <s v="Google"/>
    <s v="Jun-2023"/>
    <s v="Dec-2024"/>
    <x v="5"/>
    <x v="3"/>
    <s v="Medium"/>
    <x v="2"/>
  </r>
  <r>
    <s v="C0727"/>
    <x v="1"/>
    <d v="2020-06-22T00:00:00"/>
    <d v="2024-12-31T00:00:00"/>
    <n v="15"/>
    <x v="0"/>
    <s v="Facebook"/>
    <s v="Jun-2020"/>
    <s v="Dec-2024"/>
    <x v="3"/>
    <x v="5"/>
    <s v="Large"/>
    <x v="0"/>
  </r>
  <r>
    <s v="C0728"/>
    <x v="2"/>
    <d v="2022-01-15T00:00:00"/>
    <d v="2024-12-31T00:00:00"/>
    <n v="25"/>
    <x v="0"/>
    <s v="Facebook"/>
    <s v="Jan-2022"/>
    <s v="Dec-2024"/>
    <x v="1"/>
    <x v="1"/>
    <s v="Large"/>
    <x v="4"/>
  </r>
  <r>
    <s v="C0729"/>
    <x v="1"/>
    <d v="2021-05-19T00:00:00"/>
    <d v="2024-12-31T00:00:00"/>
    <n v="15"/>
    <x v="0"/>
    <s v="Referral"/>
    <s v="May-2021"/>
    <s v="Dec-2024"/>
    <x v="2"/>
    <x v="0"/>
    <s v="Large"/>
    <x v="1"/>
  </r>
  <r>
    <s v="C0730"/>
    <x v="0"/>
    <d v="2020-11-28T00:00:00"/>
    <d v="2024-12-31T00:00:00"/>
    <n v="40"/>
    <x v="0"/>
    <s v="LinkedIn"/>
    <s v="Nov-2020"/>
    <s v="Dec-2024"/>
    <x v="5"/>
    <x v="4"/>
    <s v="Enterprise"/>
    <x v="0"/>
  </r>
  <r>
    <s v="C0731"/>
    <x v="2"/>
    <d v="2022-11-14T00:00:00"/>
    <d v="2024-01-22T00:00:00"/>
    <n v="25"/>
    <x v="1"/>
    <s v="Instagram"/>
    <s v="Nov-2022"/>
    <s v="Jan-2024"/>
    <x v="3"/>
    <x v="4"/>
    <s v="Small"/>
    <x v="4"/>
  </r>
  <r>
    <s v="C0732"/>
    <x v="1"/>
    <d v="2021-08-18T00:00:00"/>
    <d v="2023-09-29T00:00:00"/>
    <n v="15"/>
    <x v="1"/>
    <s v="LinkedIn"/>
    <s v="Aug-2021"/>
    <s v="Sep-2023"/>
    <x v="4"/>
    <x v="1"/>
    <s v="Enterprise"/>
    <x v="1"/>
  </r>
  <r>
    <s v="C0733"/>
    <x v="2"/>
    <d v="2021-01-07T00:00:00"/>
    <d v="2024-12-31T00:00:00"/>
    <n v="25"/>
    <x v="0"/>
    <s v="Facebook"/>
    <s v="Jan-2021"/>
    <s v="Dec-2024"/>
    <x v="0"/>
    <x v="1"/>
    <s v="Small"/>
    <x v="1"/>
  </r>
  <r>
    <s v="C0734"/>
    <x v="1"/>
    <d v="2021-04-07T00:00:00"/>
    <d v="2024-12-31T00:00:00"/>
    <n v="15"/>
    <x v="0"/>
    <s v="Referral"/>
    <s v="Apr-2021"/>
    <s v="Dec-2024"/>
    <x v="2"/>
    <x v="2"/>
    <s v="Medium"/>
    <x v="1"/>
  </r>
  <r>
    <s v="C0735"/>
    <x v="0"/>
    <d v="2020-08-04T00:00:00"/>
    <d v="2024-12-31T00:00:00"/>
    <n v="40"/>
    <x v="0"/>
    <s v="Instagram"/>
    <s v="Aug-2020"/>
    <s v="Dec-2024"/>
    <x v="1"/>
    <x v="3"/>
    <s v="Medium"/>
    <x v="0"/>
  </r>
  <r>
    <s v="C0736"/>
    <x v="1"/>
    <d v="2021-08-22T00:00:00"/>
    <d v="2024-12-31T00:00:00"/>
    <n v="15"/>
    <x v="0"/>
    <s v="Referral"/>
    <s v="Aug-2021"/>
    <s v="Dec-2024"/>
    <x v="0"/>
    <x v="0"/>
    <s v="Small"/>
    <x v="1"/>
  </r>
  <r>
    <s v="C0737"/>
    <x v="1"/>
    <d v="2022-02-12T00:00:00"/>
    <d v="2024-12-31T00:00:00"/>
    <n v="15"/>
    <x v="0"/>
    <s v="Facebook"/>
    <s v="Feb-2022"/>
    <s v="Dec-2024"/>
    <x v="1"/>
    <x v="2"/>
    <s v="Small"/>
    <x v="4"/>
  </r>
  <r>
    <s v="C0738"/>
    <x v="0"/>
    <d v="2022-10-17T00:00:00"/>
    <d v="2024-12-31T00:00:00"/>
    <n v="40"/>
    <x v="0"/>
    <s v="Facebook"/>
    <s v="Oct-2022"/>
    <s v="Dec-2024"/>
    <x v="5"/>
    <x v="2"/>
    <s v="Medium"/>
    <x v="4"/>
  </r>
  <r>
    <s v="C0739"/>
    <x v="2"/>
    <d v="2020-08-26T00:00:00"/>
    <d v="2024-12-31T00:00:00"/>
    <n v="25"/>
    <x v="0"/>
    <s v="Instagram"/>
    <s v="Aug-2020"/>
    <s v="Dec-2024"/>
    <x v="1"/>
    <x v="3"/>
    <s v="Enterprise"/>
    <x v="0"/>
  </r>
  <r>
    <s v="C0740"/>
    <x v="2"/>
    <d v="2023-01-16T00:00:00"/>
    <d v="2024-07-09T00:00:00"/>
    <n v="25"/>
    <x v="1"/>
    <s v="Referral"/>
    <s v="Jan-2023"/>
    <s v="Jul-2024"/>
    <x v="4"/>
    <x v="3"/>
    <s v="Medium"/>
    <x v="2"/>
  </r>
  <r>
    <s v="C0741"/>
    <x v="2"/>
    <d v="2020-10-12T00:00:00"/>
    <d v="2024-12-31T00:00:00"/>
    <n v="25"/>
    <x v="0"/>
    <s v="Facebook"/>
    <s v="Oct-2020"/>
    <s v="Dec-2024"/>
    <x v="2"/>
    <x v="2"/>
    <s v="Medium"/>
    <x v="0"/>
  </r>
  <r>
    <s v="C0742"/>
    <x v="2"/>
    <d v="2020-03-04T00:00:00"/>
    <d v="2024-12-31T00:00:00"/>
    <n v="25"/>
    <x v="0"/>
    <s v="Instagram"/>
    <s v="Mar-2020"/>
    <s v="Dec-2024"/>
    <x v="2"/>
    <x v="0"/>
    <s v="Medium"/>
    <x v="0"/>
  </r>
  <r>
    <s v="C0743"/>
    <x v="2"/>
    <d v="2024-02-22T00:00:00"/>
    <d v="2024-12-31T00:00:00"/>
    <n v="25"/>
    <x v="0"/>
    <s v="LinkedIn"/>
    <s v="Feb-2024"/>
    <s v="Dec-2024"/>
    <x v="4"/>
    <x v="0"/>
    <s v="Enterprise"/>
    <x v="3"/>
  </r>
  <r>
    <s v="C0744"/>
    <x v="0"/>
    <d v="2023-04-26T00:00:00"/>
    <d v="2024-12-31T00:00:00"/>
    <n v="40"/>
    <x v="0"/>
    <s v="Instagram"/>
    <s v="Apr-2023"/>
    <s v="Dec-2024"/>
    <x v="5"/>
    <x v="0"/>
    <s v="Medium"/>
    <x v="2"/>
  </r>
  <r>
    <s v="C0745"/>
    <x v="0"/>
    <d v="2022-09-29T00:00:00"/>
    <d v="2024-12-31T00:00:00"/>
    <n v="40"/>
    <x v="0"/>
    <s v="Google"/>
    <s v="Sep-2022"/>
    <s v="Dec-2024"/>
    <x v="2"/>
    <x v="2"/>
    <s v="Medium"/>
    <x v="4"/>
  </r>
  <r>
    <s v="C0746"/>
    <x v="2"/>
    <d v="2020-02-24T00:00:00"/>
    <d v="2022-07-31T00:00:00"/>
    <n v="25"/>
    <x v="1"/>
    <s v="Referral"/>
    <s v="Feb-2020"/>
    <s v="Jul-2022"/>
    <x v="5"/>
    <x v="3"/>
    <s v="Enterprise"/>
    <x v="0"/>
  </r>
  <r>
    <s v="C0747"/>
    <x v="1"/>
    <d v="2022-09-23T00:00:00"/>
    <d v="2024-12-31T00:00:00"/>
    <n v="15"/>
    <x v="0"/>
    <s v="Facebook"/>
    <s v="Sep-2022"/>
    <s v="Dec-2024"/>
    <x v="1"/>
    <x v="1"/>
    <s v="Small"/>
    <x v="4"/>
  </r>
  <r>
    <s v="C0748"/>
    <x v="2"/>
    <d v="2020-12-08T00:00:00"/>
    <d v="2024-12-31T00:00:00"/>
    <n v="25"/>
    <x v="0"/>
    <s v="LinkedIn"/>
    <s v="Dec-2020"/>
    <s v="Dec-2024"/>
    <x v="3"/>
    <x v="3"/>
    <s v="Large"/>
    <x v="0"/>
  </r>
  <r>
    <s v="C0749"/>
    <x v="0"/>
    <d v="2024-06-13T00:00:00"/>
    <d v="2024-12-31T00:00:00"/>
    <n v="40"/>
    <x v="0"/>
    <s v="Instagram"/>
    <s v="Jun-2024"/>
    <s v="Dec-2024"/>
    <x v="2"/>
    <x v="1"/>
    <s v="Large"/>
    <x v="3"/>
  </r>
  <r>
    <s v="C0750"/>
    <x v="0"/>
    <d v="2024-06-05T00:00:00"/>
    <d v="2024-12-31T00:00:00"/>
    <n v="40"/>
    <x v="1"/>
    <s v="Instagram"/>
    <s v="Jun-2024"/>
    <s v="Dec-2024"/>
    <x v="0"/>
    <x v="2"/>
    <s v="Small"/>
    <x v="3"/>
  </r>
  <r>
    <s v="C0751"/>
    <x v="0"/>
    <d v="2022-03-02T00:00:00"/>
    <d v="2024-03-22T00:00:00"/>
    <n v="40"/>
    <x v="1"/>
    <s v="Referral"/>
    <s v="Mar-2022"/>
    <s v="Mar-2024"/>
    <x v="4"/>
    <x v="1"/>
    <s v="Medium"/>
    <x v="4"/>
  </r>
  <r>
    <s v="C0752"/>
    <x v="1"/>
    <d v="2023-03-06T00:00:00"/>
    <d v="2024-12-31T00:00:00"/>
    <n v="15"/>
    <x v="1"/>
    <s v="Instagram"/>
    <s v="Mar-2023"/>
    <s v="Dec-2024"/>
    <x v="2"/>
    <x v="5"/>
    <s v="Large"/>
    <x v="2"/>
  </r>
  <r>
    <s v="C0753"/>
    <x v="2"/>
    <d v="2020-07-26T00:00:00"/>
    <d v="2021-11-22T00:00:00"/>
    <n v="25"/>
    <x v="1"/>
    <s v="Google"/>
    <s v="Jul-2020"/>
    <s v="Nov-2021"/>
    <x v="2"/>
    <x v="3"/>
    <s v="Medium"/>
    <x v="0"/>
  </r>
  <r>
    <s v="C0754"/>
    <x v="2"/>
    <d v="2023-07-15T00:00:00"/>
    <d v="2024-12-31T00:00:00"/>
    <n v="25"/>
    <x v="0"/>
    <s v="Instagram"/>
    <s v="Jul-2023"/>
    <s v="Dec-2024"/>
    <x v="4"/>
    <x v="5"/>
    <s v="Small"/>
    <x v="2"/>
  </r>
  <r>
    <s v="C0755"/>
    <x v="2"/>
    <d v="2021-03-14T00:00:00"/>
    <d v="2024-12-31T00:00:00"/>
    <n v="25"/>
    <x v="0"/>
    <s v="Google"/>
    <s v="Mar-2021"/>
    <s v="Dec-2024"/>
    <x v="3"/>
    <x v="3"/>
    <s v="Medium"/>
    <x v="1"/>
  </r>
  <r>
    <s v="C0756"/>
    <x v="1"/>
    <d v="2022-06-13T00:00:00"/>
    <d v="2024-12-31T00:00:00"/>
    <n v="15"/>
    <x v="0"/>
    <s v="Facebook"/>
    <s v="Jun-2022"/>
    <s v="Dec-2024"/>
    <x v="0"/>
    <x v="3"/>
    <s v="Small"/>
    <x v="4"/>
  </r>
  <r>
    <s v="C0757"/>
    <x v="0"/>
    <d v="2022-08-08T00:00:00"/>
    <d v="2023-09-30T00:00:00"/>
    <n v="40"/>
    <x v="1"/>
    <s v="Referral"/>
    <s v="Aug-2022"/>
    <s v="Sep-2023"/>
    <x v="1"/>
    <x v="0"/>
    <s v="Enterprise"/>
    <x v="4"/>
  </r>
  <r>
    <s v="C0758"/>
    <x v="2"/>
    <d v="2022-12-26T00:00:00"/>
    <d v="2024-12-31T00:00:00"/>
    <n v="25"/>
    <x v="0"/>
    <s v="Instagram"/>
    <s v="Dec-2022"/>
    <s v="Dec-2024"/>
    <x v="4"/>
    <x v="0"/>
    <s v="Large"/>
    <x v="4"/>
  </r>
  <r>
    <s v="C0759"/>
    <x v="0"/>
    <d v="2023-03-28T00:00:00"/>
    <d v="2024-12-31T00:00:00"/>
    <n v="40"/>
    <x v="1"/>
    <s v="Facebook"/>
    <s v="Mar-2023"/>
    <s v="Dec-2024"/>
    <x v="2"/>
    <x v="2"/>
    <s v="Medium"/>
    <x v="2"/>
  </r>
  <r>
    <s v="C0760"/>
    <x v="0"/>
    <d v="2021-03-30T00:00:00"/>
    <d v="2024-12-31T00:00:00"/>
    <n v="40"/>
    <x v="0"/>
    <s v="Google"/>
    <s v="Mar-2021"/>
    <s v="Dec-2024"/>
    <x v="4"/>
    <x v="3"/>
    <s v="Medium"/>
    <x v="1"/>
  </r>
  <r>
    <s v="C0761"/>
    <x v="1"/>
    <d v="2024-04-20T00:00:00"/>
    <d v="2024-12-31T00:00:00"/>
    <n v="15"/>
    <x v="1"/>
    <s v="Referral"/>
    <s v="Apr-2024"/>
    <s v="Dec-2024"/>
    <x v="4"/>
    <x v="1"/>
    <s v="Enterprise"/>
    <x v="3"/>
  </r>
  <r>
    <s v="C0762"/>
    <x v="2"/>
    <d v="2023-09-07T00:00:00"/>
    <d v="2024-12-31T00:00:00"/>
    <n v="25"/>
    <x v="0"/>
    <s v="Referral"/>
    <s v="Sep-2023"/>
    <s v="Dec-2024"/>
    <x v="5"/>
    <x v="1"/>
    <s v="Enterprise"/>
    <x v="2"/>
  </r>
  <r>
    <s v="C0763"/>
    <x v="2"/>
    <d v="2020-11-02T00:00:00"/>
    <d v="2024-12-31T00:00:00"/>
    <n v="25"/>
    <x v="0"/>
    <s v="Google"/>
    <s v="Nov-2020"/>
    <s v="Dec-2024"/>
    <x v="4"/>
    <x v="3"/>
    <s v="Small"/>
    <x v="0"/>
  </r>
  <r>
    <s v="C0764"/>
    <x v="1"/>
    <d v="2021-04-08T00:00:00"/>
    <d v="2024-12-31T00:00:00"/>
    <n v="15"/>
    <x v="0"/>
    <s v="Facebook"/>
    <s v="Apr-2021"/>
    <s v="Dec-2024"/>
    <x v="2"/>
    <x v="4"/>
    <s v="Large"/>
    <x v="1"/>
  </r>
  <r>
    <s v="C0765"/>
    <x v="2"/>
    <d v="2020-01-26T00:00:00"/>
    <d v="2024-12-31T00:00:00"/>
    <n v="25"/>
    <x v="0"/>
    <s v="Google"/>
    <s v="Jan-2020"/>
    <s v="Dec-2024"/>
    <x v="3"/>
    <x v="1"/>
    <s v="Medium"/>
    <x v="0"/>
  </r>
  <r>
    <s v="C0766"/>
    <x v="1"/>
    <d v="2021-10-26T00:00:00"/>
    <d v="2024-12-31T00:00:00"/>
    <n v="15"/>
    <x v="0"/>
    <s v="Instagram"/>
    <s v="Oct-2021"/>
    <s v="Dec-2024"/>
    <x v="2"/>
    <x v="1"/>
    <s v="Large"/>
    <x v="1"/>
  </r>
  <r>
    <s v="C0767"/>
    <x v="0"/>
    <d v="2021-03-18T00:00:00"/>
    <d v="2023-04-22T00:00:00"/>
    <n v="40"/>
    <x v="1"/>
    <s v="Referral"/>
    <s v="Mar-2021"/>
    <s v="Apr-2023"/>
    <x v="2"/>
    <x v="3"/>
    <s v="Small"/>
    <x v="1"/>
  </r>
  <r>
    <s v="C0768"/>
    <x v="2"/>
    <d v="2023-02-06T00:00:00"/>
    <d v="2024-12-31T00:00:00"/>
    <n v="25"/>
    <x v="0"/>
    <s v="LinkedIn"/>
    <s v="Feb-2023"/>
    <s v="Dec-2024"/>
    <x v="3"/>
    <x v="3"/>
    <s v="Small"/>
    <x v="2"/>
  </r>
  <r>
    <s v="C0769"/>
    <x v="0"/>
    <d v="2022-06-01T00:00:00"/>
    <d v="2024-12-31T00:00:00"/>
    <n v="40"/>
    <x v="0"/>
    <s v="Referral"/>
    <s v="Jun-2022"/>
    <s v="Dec-2024"/>
    <x v="1"/>
    <x v="0"/>
    <s v="Small"/>
    <x v="4"/>
  </r>
  <r>
    <s v="C0770"/>
    <x v="1"/>
    <d v="2024-06-27T00:00:00"/>
    <d v="2024-11-22T00:00:00"/>
    <n v="15"/>
    <x v="1"/>
    <s v="Instagram"/>
    <s v="Jun-2024"/>
    <s v="Nov-2024"/>
    <x v="2"/>
    <x v="0"/>
    <s v="Small"/>
    <x v="3"/>
  </r>
  <r>
    <s v="C0771"/>
    <x v="0"/>
    <d v="2022-09-19T00:00:00"/>
    <d v="2024-12-31T00:00:00"/>
    <n v="40"/>
    <x v="0"/>
    <s v="Google"/>
    <s v="Sep-2022"/>
    <s v="Dec-2024"/>
    <x v="5"/>
    <x v="5"/>
    <s v="Small"/>
    <x v="4"/>
  </r>
  <r>
    <s v="C0772"/>
    <x v="2"/>
    <d v="2023-01-14T00:00:00"/>
    <d v="2024-12-31T00:00:00"/>
    <n v="25"/>
    <x v="0"/>
    <s v="Google"/>
    <s v="Jan-2023"/>
    <s v="Dec-2024"/>
    <x v="5"/>
    <x v="3"/>
    <s v="Enterprise"/>
    <x v="2"/>
  </r>
  <r>
    <s v="C0773"/>
    <x v="2"/>
    <d v="2024-01-25T00:00:00"/>
    <d v="2024-12-31T00:00:00"/>
    <n v="25"/>
    <x v="1"/>
    <s v="Facebook"/>
    <s v="Jan-2024"/>
    <s v="Dec-2024"/>
    <x v="1"/>
    <x v="0"/>
    <s v="Large"/>
    <x v="3"/>
  </r>
  <r>
    <s v="C0774"/>
    <x v="2"/>
    <d v="2021-09-02T00:00:00"/>
    <d v="2022-02-22T00:00:00"/>
    <n v="25"/>
    <x v="1"/>
    <s v="Instagram"/>
    <s v="Sep-2021"/>
    <s v="Feb-2022"/>
    <x v="2"/>
    <x v="3"/>
    <s v="Large"/>
    <x v="1"/>
  </r>
  <r>
    <s v="C0775"/>
    <x v="1"/>
    <d v="2022-12-20T00:00:00"/>
    <d v="2024-12-31T00:00:00"/>
    <n v="15"/>
    <x v="0"/>
    <s v="LinkedIn"/>
    <s v="Dec-2022"/>
    <s v="Dec-2024"/>
    <x v="2"/>
    <x v="1"/>
    <s v="Medium"/>
    <x v="4"/>
  </r>
  <r>
    <s v="C0776"/>
    <x v="2"/>
    <d v="2020-09-06T00:00:00"/>
    <d v="2023-01-23T00:00:00"/>
    <n v="25"/>
    <x v="1"/>
    <s v="Instagram"/>
    <s v="Sep-2020"/>
    <s v="Jan-2023"/>
    <x v="4"/>
    <x v="4"/>
    <s v="Small"/>
    <x v="0"/>
  </r>
  <r>
    <s v="C0777"/>
    <x v="2"/>
    <d v="2022-07-28T00:00:00"/>
    <d v="2024-12-31T00:00:00"/>
    <n v="25"/>
    <x v="0"/>
    <s v="Referral"/>
    <s v="Jul-2022"/>
    <s v="Dec-2024"/>
    <x v="2"/>
    <x v="2"/>
    <s v="Small"/>
    <x v="4"/>
  </r>
  <r>
    <s v="C0778"/>
    <x v="0"/>
    <d v="2021-10-09T00:00:00"/>
    <d v="2024-12-31T00:00:00"/>
    <n v="40"/>
    <x v="0"/>
    <s v="Referral"/>
    <s v="Oct-2021"/>
    <s v="Dec-2024"/>
    <x v="1"/>
    <x v="3"/>
    <s v="Small"/>
    <x v="1"/>
  </r>
  <r>
    <s v="C0779"/>
    <x v="0"/>
    <d v="2021-01-13T00:00:00"/>
    <d v="2024-12-31T00:00:00"/>
    <n v="40"/>
    <x v="0"/>
    <s v="LinkedIn"/>
    <s v="Jan-2021"/>
    <s v="Dec-2024"/>
    <x v="4"/>
    <x v="4"/>
    <s v="Large"/>
    <x v="1"/>
  </r>
  <r>
    <s v="C0780"/>
    <x v="0"/>
    <d v="2020-05-20T00:00:00"/>
    <d v="2021-06-06T00:00:00"/>
    <n v="40"/>
    <x v="1"/>
    <s v="LinkedIn"/>
    <s v="May-2020"/>
    <s v="Jun-2021"/>
    <x v="5"/>
    <x v="5"/>
    <s v="Large"/>
    <x v="0"/>
  </r>
  <r>
    <s v="C0781"/>
    <x v="1"/>
    <d v="2024-04-19T00:00:00"/>
    <d v="2024-12-31T00:00:00"/>
    <n v="15"/>
    <x v="0"/>
    <s v="Facebook"/>
    <s v="Apr-2024"/>
    <s v="Dec-2024"/>
    <x v="4"/>
    <x v="1"/>
    <s v="Medium"/>
    <x v="3"/>
  </r>
  <r>
    <s v="C0782"/>
    <x v="2"/>
    <d v="2020-09-03T00:00:00"/>
    <d v="2024-12-31T00:00:00"/>
    <n v="25"/>
    <x v="0"/>
    <s v="Instagram"/>
    <s v="Sep-2020"/>
    <s v="Dec-2024"/>
    <x v="1"/>
    <x v="0"/>
    <s v="Medium"/>
    <x v="0"/>
  </r>
  <r>
    <s v="C0783"/>
    <x v="0"/>
    <d v="2021-05-29T00:00:00"/>
    <d v="2024-12-31T00:00:00"/>
    <n v="40"/>
    <x v="0"/>
    <s v="Facebook"/>
    <s v="May-2021"/>
    <s v="Dec-2024"/>
    <x v="5"/>
    <x v="4"/>
    <s v="Small"/>
    <x v="1"/>
  </r>
  <r>
    <s v="C0784"/>
    <x v="0"/>
    <d v="2023-05-10T00:00:00"/>
    <d v="2024-12-31T00:00:00"/>
    <n v="40"/>
    <x v="0"/>
    <s v="Referral"/>
    <s v="May-2023"/>
    <s v="Dec-2024"/>
    <x v="1"/>
    <x v="0"/>
    <s v="Enterprise"/>
    <x v="2"/>
  </r>
  <r>
    <s v="C0785"/>
    <x v="1"/>
    <d v="2021-10-30T00:00:00"/>
    <d v="2024-12-31T00:00:00"/>
    <n v="15"/>
    <x v="0"/>
    <s v="Referral"/>
    <s v="Oct-2021"/>
    <s v="Dec-2024"/>
    <x v="0"/>
    <x v="4"/>
    <s v="Small"/>
    <x v="1"/>
  </r>
  <r>
    <s v="C0786"/>
    <x v="1"/>
    <d v="2021-02-28T00:00:00"/>
    <d v="2024-12-31T00:00:00"/>
    <n v="15"/>
    <x v="0"/>
    <s v="Facebook"/>
    <s v="Feb-2021"/>
    <s v="Dec-2024"/>
    <x v="4"/>
    <x v="0"/>
    <s v="Small"/>
    <x v="1"/>
  </r>
  <r>
    <s v="C0787"/>
    <x v="0"/>
    <d v="2020-12-14T00:00:00"/>
    <d v="2021-10-15T00:00:00"/>
    <n v="40"/>
    <x v="1"/>
    <s v="LinkedIn"/>
    <s v="Dec-2020"/>
    <s v="Oct-2021"/>
    <x v="5"/>
    <x v="1"/>
    <s v="Enterprise"/>
    <x v="0"/>
  </r>
  <r>
    <s v="C0788"/>
    <x v="2"/>
    <d v="2020-07-22T00:00:00"/>
    <d v="2024-12-31T00:00:00"/>
    <n v="25"/>
    <x v="0"/>
    <s v="Referral"/>
    <s v="Jul-2020"/>
    <s v="Dec-2024"/>
    <x v="5"/>
    <x v="3"/>
    <s v="Small"/>
    <x v="0"/>
  </r>
  <r>
    <s v="C0789"/>
    <x v="1"/>
    <d v="2020-02-27T00:00:00"/>
    <d v="2024-12-31T00:00:00"/>
    <n v="15"/>
    <x v="0"/>
    <s v="LinkedIn"/>
    <s v="Feb-2020"/>
    <s v="Dec-2024"/>
    <x v="5"/>
    <x v="3"/>
    <s v="Enterprise"/>
    <x v="0"/>
  </r>
  <r>
    <s v="C0790"/>
    <x v="1"/>
    <d v="2021-06-18T00:00:00"/>
    <d v="2024-12-31T00:00:00"/>
    <n v="15"/>
    <x v="0"/>
    <s v="Instagram"/>
    <s v="Jun-2021"/>
    <s v="Dec-2024"/>
    <x v="0"/>
    <x v="1"/>
    <s v="Enterprise"/>
    <x v="1"/>
  </r>
  <r>
    <s v="C0791"/>
    <x v="1"/>
    <d v="2020-07-26T00:00:00"/>
    <d v="2024-12-31T00:00:00"/>
    <n v="15"/>
    <x v="0"/>
    <s v="Google"/>
    <s v="Jul-2020"/>
    <s v="Dec-2024"/>
    <x v="2"/>
    <x v="0"/>
    <s v="Medium"/>
    <x v="0"/>
  </r>
  <r>
    <s v="C0792"/>
    <x v="2"/>
    <d v="2020-08-29T00:00:00"/>
    <d v="2024-12-31T00:00:00"/>
    <n v="25"/>
    <x v="0"/>
    <s v="LinkedIn"/>
    <s v="Aug-2020"/>
    <s v="Dec-2024"/>
    <x v="3"/>
    <x v="4"/>
    <s v="Medium"/>
    <x v="0"/>
  </r>
  <r>
    <s v="C0793"/>
    <x v="1"/>
    <d v="2023-08-15T00:00:00"/>
    <d v="2024-12-31T00:00:00"/>
    <n v="15"/>
    <x v="0"/>
    <s v="Facebook"/>
    <s v="Aug-2023"/>
    <s v="Dec-2024"/>
    <x v="4"/>
    <x v="4"/>
    <s v="Medium"/>
    <x v="2"/>
  </r>
  <r>
    <s v="C0794"/>
    <x v="0"/>
    <d v="2021-09-26T00:00:00"/>
    <d v="2024-12-31T00:00:00"/>
    <n v="40"/>
    <x v="0"/>
    <s v="Instagram"/>
    <s v="Sep-2021"/>
    <s v="Dec-2024"/>
    <x v="1"/>
    <x v="1"/>
    <s v="Large"/>
    <x v="1"/>
  </r>
  <r>
    <s v="C0795"/>
    <x v="1"/>
    <d v="2022-05-30T00:00:00"/>
    <d v="2024-12-31T00:00:00"/>
    <n v="15"/>
    <x v="0"/>
    <s v="Referral"/>
    <s v="May-2022"/>
    <s v="Dec-2024"/>
    <x v="2"/>
    <x v="5"/>
    <s v="Small"/>
    <x v="4"/>
  </r>
  <r>
    <s v="C0796"/>
    <x v="1"/>
    <d v="2022-10-03T00:00:00"/>
    <d v="2024-12-31T00:00:00"/>
    <n v="15"/>
    <x v="1"/>
    <s v="LinkedIn"/>
    <s v="Oct-2022"/>
    <s v="Dec-2024"/>
    <x v="4"/>
    <x v="2"/>
    <s v="Small"/>
    <x v="4"/>
  </r>
  <r>
    <s v="C0797"/>
    <x v="2"/>
    <d v="2021-09-01T00:00:00"/>
    <d v="2023-08-29T00:00:00"/>
    <n v="25"/>
    <x v="1"/>
    <s v="Google"/>
    <s v="Sep-2021"/>
    <s v="Aug-2023"/>
    <x v="0"/>
    <x v="4"/>
    <s v="Medium"/>
    <x v="1"/>
  </r>
  <r>
    <s v="C0798"/>
    <x v="0"/>
    <d v="2022-12-26T00:00:00"/>
    <d v="2024-12-31T00:00:00"/>
    <n v="40"/>
    <x v="0"/>
    <s v="Facebook"/>
    <s v="Dec-2022"/>
    <s v="Dec-2024"/>
    <x v="3"/>
    <x v="3"/>
    <s v="Large"/>
    <x v="4"/>
  </r>
  <r>
    <s v="C0799"/>
    <x v="2"/>
    <d v="2022-11-24T00:00:00"/>
    <d v="2023-06-07T00:00:00"/>
    <n v="25"/>
    <x v="1"/>
    <s v="Referral"/>
    <s v="Nov-2022"/>
    <s v="Jun-2023"/>
    <x v="0"/>
    <x v="1"/>
    <s v="Small"/>
    <x v="4"/>
  </r>
  <r>
    <s v="C0800"/>
    <x v="1"/>
    <d v="2024-04-07T00:00:00"/>
    <d v="2024-12-31T00:00:00"/>
    <n v="15"/>
    <x v="1"/>
    <s v="LinkedIn"/>
    <s v="Apr-2024"/>
    <s v="Dec-2024"/>
    <x v="1"/>
    <x v="0"/>
    <s v="Large"/>
    <x v="3"/>
  </r>
</pivotCacheRecords>
</file>

<file path=xl/pivotCache/pivotCacheRecords3.xml><?xml version="1.0" encoding="utf-8"?>
<pivotCacheRecords xmlns="http://schemas.openxmlformats.org/spreadsheetml/2006/main" count="800">
  <r>
    <s v="C0001"/>
    <s v="Premium"/>
    <d v="2020-02-23T00:00:00"/>
    <d v="2024-12-31T00:00:00"/>
    <n v="40"/>
    <s v="Active"/>
    <s v="LinkedIn"/>
    <s v="Feb-2020"/>
    <s v="Dec-2024"/>
    <x v="0"/>
    <s v="Finance"/>
    <s v="Large"/>
    <n v="2020"/>
  </r>
  <r>
    <s v="C0002"/>
    <s v="Basic"/>
    <d v="2020-09-18T00:00:00"/>
    <d v="2024-12-31T00:00:00"/>
    <n v="15"/>
    <s v="Active"/>
    <s v="Instagram"/>
    <s v="Sep-2020"/>
    <s v="Dec-2024"/>
    <x v="1"/>
    <s v="Finance"/>
    <s v="Enterprise"/>
    <n v="2020"/>
  </r>
  <r>
    <s v="C0003"/>
    <s v="Premium"/>
    <d v="2021-08-13T00:00:00"/>
    <d v="2022-03-31T00:00:00"/>
    <n v="40"/>
    <s v="Churned"/>
    <s v="Facebook"/>
    <s v="Aug-2021"/>
    <s v="Mar-2022"/>
    <x v="2"/>
    <s v="Retail"/>
    <s v="Small"/>
    <n v="2021"/>
  </r>
  <r>
    <s v="C0004"/>
    <s v="Basic"/>
    <d v="2021-12-17T00:00:00"/>
    <d v="2024-12-31T00:00:00"/>
    <n v="15"/>
    <s v="Active"/>
    <s v="Instagram"/>
    <s v="Dec-2021"/>
    <s v="Dec-2024"/>
    <x v="3"/>
    <s v="Healthcare"/>
    <s v="Enterprise"/>
    <n v="2021"/>
  </r>
  <r>
    <s v="C0005"/>
    <s v="Standard"/>
    <d v="2023-06-14T00:00:00"/>
    <d v="2024-12-31T00:00:00"/>
    <n v="25"/>
    <s v="Active"/>
    <s v="Referral"/>
    <s v="Jun-2023"/>
    <s v="Dec-2024"/>
    <x v="4"/>
    <s v="Education"/>
    <s v="Large"/>
    <n v="2023"/>
  </r>
  <r>
    <s v="C0006"/>
    <s v="Basic"/>
    <d v="2024-05-13T00:00:00"/>
    <d v="2024-11-19T00:00:00"/>
    <n v="15"/>
    <s v="Churned"/>
    <s v="LinkedIn"/>
    <s v="May-2024"/>
    <s v="Nov-2024"/>
    <x v="3"/>
    <s v="Retail"/>
    <s v="Medium"/>
    <n v="2024"/>
  </r>
  <r>
    <s v="C0007"/>
    <s v="Standard"/>
    <d v="2020-08-17T00:00:00"/>
    <d v="2024-12-31T00:00:00"/>
    <n v="25"/>
    <s v="Active"/>
    <s v="Facebook"/>
    <s v="Aug-2020"/>
    <s v="Dec-2024"/>
    <x v="1"/>
    <s v="Tech"/>
    <s v="Enterprise"/>
    <n v="2020"/>
  </r>
  <r>
    <s v="C0008"/>
    <s v="Premium"/>
    <d v="2024-01-06T00:00:00"/>
    <d v="2024-12-31T00:00:00"/>
    <n v="40"/>
    <s v="Active"/>
    <s v="Google"/>
    <s v="Jan-2024"/>
    <s v="Dec-2024"/>
    <x v="4"/>
    <s v="Retail"/>
    <s v="Large"/>
    <n v="2024"/>
  </r>
  <r>
    <s v="C0009"/>
    <s v="Premium"/>
    <d v="2021-07-26T00:00:00"/>
    <d v="2024-12-31T00:00:00"/>
    <n v="40"/>
    <s v="Active"/>
    <s v="Referral"/>
    <s v="Jul-2021"/>
    <s v="Dec-2024"/>
    <x v="2"/>
    <s v="E-commerce"/>
    <s v="Small"/>
    <n v="2021"/>
  </r>
  <r>
    <s v="C0010"/>
    <s v="Premium"/>
    <d v="2021-10-22T00:00:00"/>
    <d v="2022-02-15T00:00:00"/>
    <n v="40"/>
    <s v="Churned"/>
    <s v="Google"/>
    <s v="Oct-2021"/>
    <s v="Feb-2022"/>
    <x v="4"/>
    <s v="E-commerce"/>
    <s v="Large"/>
    <n v="2021"/>
  </r>
  <r>
    <s v="C0011"/>
    <s v="Standard"/>
    <d v="2021-04-03T00:00:00"/>
    <d v="2024-12-31T00:00:00"/>
    <n v="25"/>
    <s v="Active"/>
    <s v="Facebook"/>
    <s v="Apr-2021"/>
    <s v="Dec-2024"/>
    <x v="5"/>
    <s v="Finance"/>
    <s v="Small"/>
    <n v="2021"/>
  </r>
  <r>
    <s v="C0012"/>
    <s v="Basic"/>
    <d v="2024-02-19T00:00:00"/>
    <d v="2024-12-31T00:00:00"/>
    <n v="15"/>
    <s v="Active"/>
    <s v="Google"/>
    <s v="Feb-2024"/>
    <s v="Dec-2024"/>
    <x v="0"/>
    <s v="Finance"/>
    <s v="Enterprise"/>
    <n v="2024"/>
  </r>
  <r>
    <s v="C0013"/>
    <s v="Standard"/>
    <d v="2020-04-02T00:00:00"/>
    <d v="2024-12-31T00:00:00"/>
    <n v="25"/>
    <s v="Active"/>
    <s v="Referral"/>
    <s v="Apr-2020"/>
    <s v="Dec-2024"/>
    <x v="5"/>
    <s v="Healthcare"/>
    <s v="Enterprise"/>
    <n v="2020"/>
  </r>
  <r>
    <s v="C0014"/>
    <s v="Premium"/>
    <d v="2021-02-02T00:00:00"/>
    <d v="2024-12-31T00:00:00"/>
    <n v="40"/>
    <s v="Active"/>
    <s v="Referral"/>
    <s v="Feb-2021"/>
    <s v="Dec-2024"/>
    <x v="0"/>
    <s v="E-commerce"/>
    <s v="Small"/>
    <n v="2021"/>
  </r>
  <r>
    <s v="C0015"/>
    <s v="Basic"/>
    <d v="2021-02-23T00:00:00"/>
    <d v="2024-12-31T00:00:00"/>
    <n v="15"/>
    <s v="Active"/>
    <s v="Instagram"/>
    <s v="Feb-2021"/>
    <s v="Dec-2024"/>
    <x v="1"/>
    <s v="E-commerce"/>
    <s v="Large"/>
    <n v="2021"/>
  </r>
  <r>
    <s v="C0016"/>
    <s v="Basic"/>
    <d v="2020-08-17T00:00:00"/>
    <d v="2024-12-31T00:00:00"/>
    <n v="15"/>
    <s v="Active"/>
    <s v="LinkedIn"/>
    <s v="Aug-2020"/>
    <s v="Dec-2024"/>
    <x v="3"/>
    <s v="Education"/>
    <s v="Small"/>
    <n v="2020"/>
  </r>
  <r>
    <s v="C0017"/>
    <s v="Basic"/>
    <d v="2022-01-14T00:00:00"/>
    <d v="2024-01-28T00:00:00"/>
    <n v="15"/>
    <s v="Churned"/>
    <s v="Facebook"/>
    <s v="Jan-2022"/>
    <s v="Jan-2024"/>
    <x v="1"/>
    <s v="Tech"/>
    <s v="Enterprise"/>
    <n v="2022"/>
  </r>
  <r>
    <s v="C0018"/>
    <s v="Premium"/>
    <d v="2024-04-09T00:00:00"/>
    <d v="2024-12-31T00:00:00"/>
    <n v="40"/>
    <s v="Active"/>
    <s v="Referral"/>
    <s v="Apr-2024"/>
    <s v="Dec-2024"/>
    <x v="4"/>
    <s v="Tech"/>
    <s v="Small"/>
    <n v="2024"/>
  </r>
  <r>
    <s v="C0019"/>
    <s v="Basic"/>
    <d v="2021-12-27T00:00:00"/>
    <d v="2024-12-31T00:00:00"/>
    <n v="15"/>
    <s v="Active"/>
    <s v="Instagram"/>
    <s v="Dec-2021"/>
    <s v="Dec-2024"/>
    <x v="3"/>
    <s v="Tech"/>
    <s v="Enterprise"/>
    <n v="2021"/>
  </r>
  <r>
    <s v="C0020"/>
    <s v="Premium"/>
    <d v="2024-02-03T00:00:00"/>
    <d v="2024-12-31T00:00:00"/>
    <n v="40"/>
    <s v="Active"/>
    <s v="Referral"/>
    <s v="Feb-2024"/>
    <s v="Dec-2024"/>
    <x v="1"/>
    <s v="Retail"/>
    <s v="Large"/>
    <n v="2024"/>
  </r>
  <r>
    <s v="C0021"/>
    <s v="Basic"/>
    <d v="2021-10-12T00:00:00"/>
    <d v="2023-09-29T00:00:00"/>
    <n v="15"/>
    <s v="Churned"/>
    <s v="Google"/>
    <s v="Oct-2021"/>
    <s v="Sep-2023"/>
    <x v="4"/>
    <s v="Retail"/>
    <s v="Small"/>
    <n v="2021"/>
  </r>
  <r>
    <s v="C0022"/>
    <s v="Standard"/>
    <d v="2022-04-09T00:00:00"/>
    <d v="2022-07-26T00:00:00"/>
    <n v="25"/>
    <s v="Churned"/>
    <s v="LinkedIn"/>
    <s v="Apr-2022"/>
    <s v="Jul-2022"/>
    <x v="2"/>
    <s v="E-commerce"/>
    <s v="Large"/>
    <n v="2022"/>
  </r>
  <r>
    <s v="C0023"/>
    <s v="Standard"/>
    <d v="2020-10-18T00:00:00"/>
    <d v="2024-12-31T00:00:00"/>
    <n v="25"/>
    <s v="Active"/>
    <s v="Google"/>
    <s v="Oct-2020"/>
    <s v="Dec-2024"/>
    <x v="0"/>
    <s v="Retail"/>
    <s v="Large"/>
    <n v="2020"/>
  </r>
  <r>
    <s v="C0024"/>
    <s v="Basic"/>
    <d v="2023-06-24T00:00:00"/>
    <d v="2024-12-31T00:00:00"/>
    <n v="15"/>
    <s v="Active"/>
    <s v="LinkedIn"/>
    <s v="Jun-2023"/>
    <s v="Dec-2024"/>
    <x v="3"/>
    <s v="Tech"/>
    <s v="Large"/>
    <n v="2023"/>
  </r>
  <r>
    <s v="C0025"/>
    <s v="Premium"/>
    <d v="2022-08-14T00:00:00"/>
    <d v="2024-12-31T00:00:00"/>
    <n v="40"/>
    <s v="Active"/>
    <s v="Instagram"/>
    <s v="Aug-2022"/>
    <s v="Dec-2024"/>
    <x v="1"/>
    <s v="Retail"/>
    <s v="Enterprise"/>
    <n v="2022"/>
  </r>
  <r>
    <s v="C0026"/>
    <s v="Standard"/>
    <d v="2020-02-23T00:00:00"/>
    <d v="2024-12-31T00:00:00"/>
    <n v="25"/>
    <s v="Active"/>
    <s v="Google"/>
    <s v="Feb-2020"/>
    <s v="Dec-2024"/>
    <x v="1"/>
    <s v="Retail"/>
    <s v="Small"/>
    <n v="2020"/>
  </r>
  <r>
    <s v="C0027"/>
    <s v="Premium"/>
    <d v="2022-10-14T00:00:00"/>
    <d v="2024-12-31T00:00:00"/>
    <n v="40"/>
    <s v="Active"/>
    <s v="Google"/>
    <s v="Oct-2022"/>
    <s v="Dec-2024"/>
    <x v="2"/>
    <s v="E-commerce"/>
    <s v="Medium"/>
    <n v="2022"/>
  </r>
  <r>
    <s v="C0028"/>
    <s v="Basic"/>
    <d v="2024-02-23T00:00:00"/>
    <d v="2024-12-31T00:00:00"/>
    <n v="15"/>
    <s v="Active"/>
    <s v="Instagram"/>
    <s v="Feb-2024"/>
    <s v="Dec-2024"/>
    <x v="0"/>
    <s v="Finance"/>
    <s v="Medium"/>
    <n v="2024"/>
  </r>
  <r>
    <s v="C0029"/>
    <s v="Basic"/>
    <d v="2023-02-10T00:00:00"/>
    <d v="2024-12-31T00:00:00"/>
    <n v="15"/>
    <s v="Active"/>
    <s v="Instagram"/>
    <s v="Feb-2023"/>
    <s v="Dec-2024"/>
    <x v="1"/>
    <s v="Tech"/>
    <s v="Large"/>
    <n v="2023"/>
  </r>
  <r>
    <s v="C0030"/>
    <s v="Premium"/>
    <d v="2023-02-01T00:00:00"/>
    <d v="2023-08-06T00:00:00"/>
    <n v="40"/>
    <s v="Churned"/>
    <s v="LinkedIn"/>
    <s v="Feb-2023"/>
    <s v="Aug-2023"/>
    <x v="4"/>
    <s v="Healthcare"/>
    <s v="Small"/>
    <n v="2023"/>
  </r>
  <r>
    <s v="C0031"/>
    <s v="Standard"/>
    <d v="2020-02-29T00:00:00"/>
    <d v="2024-12-31T00:00:00"/>
    <n v="25"/>
    <s v="Active"/>
    <s v="Google"/>
    <s v="Feb-2020"/>
    <s v="Dec-2024"/>
    <x v="0"/>
    <s v="Tech"/>
    <s v="Medium"/>
    <n v="2020"/>
  </r>
  <r>
    <s v="C0032"/>
    <s v="Standard"/>
    <d v="2021-01-28T00:00:00"/>
    <d v="2024-12-31T00:00:00"/>
    <n v="25"/>
    <s v="Active"/>
    <s v="LinkedIn"/>
    <s v="Jan-2021"/>
    <s v="Dec-2024"/>
    <x v="3"/>
    <s v="Education"/>
    <s v="Large"/>
    <n v="2021"/>
  </r>
  <r>
    <s v="C0033"/>
    <s v="Basic"/>
    <d v="2021-11-14T00:00:00"/>
    <d v="2022-07-16T00:00:00"/>
    <n v="15"/>
    <s v="Churned"/>
    <s v="LinkedIn"/>
    <s v="Nov-2021"/>
    <s v="Jul-2022"/>
    <x v="0"/>
    <s v="Healthcare"/>
    <s v="Large"/>
    <n v="2021"/>
  </r>
  <r>
    <s v="C0034"/>
    <s v="Basic"/>
    <d v="2022-09-09T00:00:00"/>
    <d v="2024-12-31T00:00:00"/>
    <n v="15"/>
    <s v="Active"/>
    <s v="LinkedIn"/>
    <s v="Sep-2022"/>
    <s v="Dec-2024"/>
    <x v="5"/>
    <s v="Finance"/>
    <s v="Large"/>
    <n v="2022"/>
  </r>
  <r>
    <s v="C0035"/>
    <s v="Standard"/>
    <d v="2022-09-06T00:00:00"/>
    <d v="2024-12-31T00:00:00"/>
    <n v="25"/>
    <s v="Active"/>
    <s v="Referral"/>
    <s v="Sep-2022"/>
    <s v="Dec-2024"/>
    <x v="4"/>
    <s v="Education"/>
    <s v="Small"/>
    <n v="2022"/>
  </r>
  <r>
    <s v="C0036"/>
    <s v="Standard"/>
    <d v="2020-08-28T00:00:00"/>
    <d v="2021-09-28T00:00:00"/>
    <n v="25"/>
    <s v="Churned"/>
    <s v="Referral"/>
    <s v="Aug-2020"/>
    <s v="Sep-2021"/>
    <x v="5"/>
    <s v="E-commerce"/>
    <s v="Small"/>
    <n v="2020"/>
  </r>
  <r>
    <s v="C0037"/>
    <s v="Premium"/>
    <d v="2021-09-20T00:00:00"/>
    <d v="2024-12-31T00:00:00"/>
    <n v="40"/>
    <s v="Active"/>
    <s v="Referral"/>
    <s v="Sep-2021"/>
    <s v="Dec-2024"/>
    <x v="4"/>
    <s v="Retail"/>
    <s v="Medium"/>
    <n v="2021"/>
  </r>
  <r>
    <s v="C0038"/>
    <s v="Premium"/>
    <d v="2023-07-29T00:00:00"/>
    <d v="2024-12-31T00:00:00"/>
    <n v="40"/>
    <s v="Churned"/>
    <s v="Instagram"/>
    <s v="Jul-2023"/>
    <s v="Dec-2024"/>
    <x v="1"/>
    <s v="Healthcare"/>
    <s v="Enterprise"/>
    <n v="2023"/>
  </r>
  <r>
    <s v="C0039"/>
    <s v="Premium"/>
    <d v="2020-11-22T00:00:00"/>
    <d v="2024-12-31T00:00:00"/>
    <n v="40"/>
    <s v="Active"/>
    <s v="LinkedIn"/>
    <s v="Nov-2020"/>
    <s v="Dec-2024"/>
    <x v="4"/>
    <s v="E-commerce"/>
    <s v="Large"/>
    <n v="2020"/>
  </r>
  <r>
    <s v="C0040"/>
    <s v="Premium"/>
    <d v="2020-06-03T00:00:00"/>
    <d v="2024-12-31T00:00:00"/>
    <n v="40"/>
    <s v="Active"/>
    <s v="Instagram"/>
    <s v="Jun-2020"/>
    <s v="Dec-2024"/>
    <x v="1"/>
    <s v="Education"/>
    <s v="Medium"/>
    <n v="2020"/>
  </r>
  <r>
    <s v="C0041"/>
    <s v="Basic"/>
    <d v="2022-06-13T00:00:00"/>
    <d v="2024-03-19T00:00:00"/>
    <n v="15"/>
    <s v="Churned"/>
    <s v="LinkedIn"/>
    <s v="Jun-2022"/>
    <s v="Mar-2024"/>
    <x v="4"/>
    <s v="E-commerce"/>
    <s v="Small"/>
    <n v="2022"/>
  </r>
  <r>
    <s v="C0042"/>
    <s v="Standard"/>
    <d v="2023-08-13T00:00:00"/>
    <d v="2024-12-31T00:00:00"/>
    <n v="25"/>
    <s v="Churned"/>
    <s v="Referral"/>
    <s v="Aug-2023"/>
    <s v="Dec-2024"/>
    <x v="5"/>
    <s v="Tech"/>
    <s v="Medium"/>
    <n v="2023"/>
  </r>
  <r>
    <s v="C0043"/>
    <s v="Premium"/>
    <d v="2020-10-28T00:00:00"/>
    <d v="2022-06-09T00:00:00"/>
    <n v="40"/>
    <s v="Churned"/>
    <s v="Instagram"/>
    <s v="Oct-2020"/>
    <s v="Jun-2022"/>
    <x v="0"/>
    <s v="Finance"/>
    <s v="Large"/>
    <n v="2020"/>
  </r>
  <r>
    <s v="C0044"/>
    <s v="Premium"/>
    <d v="2020-10-18T00:00:00"/>
    <d v="2022-06-01T00:00:00"/>
    <n v="40"/>
    <s v="Churned"/>
    <s v="Google"/>
    <s v="Oct-2020"/>
    <s v="Jun-2022"/>
    <x v="4"/>
    <s v="Tech"/>
    <s v="Medium"/>
    <n v="2020"/>
  </r>
  <r>
    <s v="C0045"/>
    <s v="Basic"/>
    <d v="2022-11-12T00:00:00"/>
    <d v="2024-12-31T00:00:00"/>
    <n v="15"/>
    <s v="Active"/>
    <s v="Referral"/>
    <s v="Nov-2022"/>
    <s v="Dec-2024"/>
    <x v="0"/>
    <s v="Tech"/>
    <s v="Small"/>
    <n v="2022"/>
  </r>
  <r>
    <s v="C0046"/>
    <s v="Standard"/>
    <d v="2020-09-12T00:00:00"/>
    <d v="2021-11-01T00:00:00"/>
    <n v="25"/>
    <s v="Churned"/>
    <s v="LinkedIn"/>
    <s v="Sep-2020"/>
    <s v="Nov-2021"/>
    <x v="3"/>
    <s v="Healthcare"/>
    <s v="Large"/>
    <n v="2020"/>
  </r>
  <r>
    <s v="C0047"/>
    <s v="Standard"/>
    <d v="2024-02-22T00:00:00"/>
    <d v="2024-12-31T00:00:00"/>
    <n v="25"/>
    <s v="Active"/>
    <s v="LinkedIn"/>
    <s v="Feb-2024"/>
    <s v="Dec-2024"/>
    <x v="2"/>
    <s v="Healthcare"/>
    <s v="Medium"/>
    <n v="2024"/>
  </r>
  <r>
    <s v="C0048"/>
    <s v="Premium"/>
    <d v="2022-11-02T00:00:00"/>
    <d v="2024-12-31T00:00:00"/>
    <n v="40"/>
    <s v="Active"/>
    <s v="Facebook"/>
    <s v="Nov-2022"/>
    <s v="Dec-2024"/>
    <x v="1"/>
    <s v="Finance"/>
    <s v="Small"/>
    <n v="2022"/>
  </r>
  <r>
    <s v="C0049"/>
    <s v="Basic"/>
    <d v="2022-06-10T00:00:00"/>
    <d v="2024-12-31T00:00:00"/>
    <n v="15"/>
    <s v="Active"/>
    <s v="Instagram"/>
    <s v="Jun-2022"/>
    <s v="Dec-2024"/>
    <x v="4"/>
    <s v="Tech"/>
    <s v="Enterprise"/>
    <n v="2022"/>
  </r>
  <r>
    <s v="C0050"/>
    <s v="Standard"/>
    <d v="2021-11-07T00:00:00"/>
    <d v="2024-12-31T00:00:00"/>
    <n v="25"/>
    <s v="Active"/>
    <s v="Google"/>
    <s v="Nov-2021"/>
    <s v="Dec-2024"/>
    <x v="0"/>
    <s v="Healthcare"/>
    <s v="Small"/>
    <n v="2021"/>
  </r>
  <r>
    <s v="C0051"/>
    <s v="Basic"/>
    <d v="2023-11-27T00:00:00"/>
    <d v="2024-12-31T00:00:00"/>
    <n v="15"/>
    <s v="Active"/>
    <s v="Facebook"/>
    <s v="Nov-2023"/>
    <s v="Dec-2024"/>
    <x v="2"/>
    <s v="Tech"/>
    <s v="Small"/>
    <n v="2023"/>
  </r>
  <r>
    <s v="C0052"/>
    <s v="Basic"/>
    <d v="2020-09-30T00:00:00"/>
    <d v="2022-08-08T00:00:00"/>
    <n v="15"/>
    <s v="Churned"/>
    <s v="Facebook"/>
    <s v="Sep-2020"/>
    <s v="Aug-2022"/>
    <x v="0"/>
    <s v="Education"/>
    <s v="Large"/>
    <n v="2020"/>
  </r>
  <r>
    <s v="C0053"/>
    <s v="Premium"/>
    <d v="2022-07-31T00:00:00"/>
    <d v="2023-12-30T00:00:00"/>
    <n v="40"/>
    <s v="Churned"/>
    <s v="Facebook"/>
    <s v="Jul-2022"/>
    <s v="Dec-2023"/>
    <x v="1"/>
    <s v="Healthcare"/>
    <s v="Medium"/>
    <n v="2022"/>
  </r>
  <r>
    <s v="C0054"/>
    <s v="Premium"/>
    <d v="2021-12-29T00:00:00"/>
    <d v="2024-12-31T00:00:00"/>
    <n v="40"/>
    <s v="Active"/>
    <s v="Facebook"/>
    <s v="Dec-2021"/>
    <s v="Dec-2024"/>
    <x v="2"/>
    <s v="E-commerce"/>
    <s v="Large"/>
    <n v="2021"/>
  </r>
  <r>
    <s v="C0055"/>
    <s v="Basic"/>
    <d v="2024-04-12T00:00:00"/>
    <d v="2024-12-31T00:00:00"/>
    <n v="15"/>
    <s v="Active"/>
    <s v="Referral"/>
    <s v="Apr-2024"/>
    <s v="Dec-2024"/>
    <x v="0"/>
    <s v="E-commerce"/>
    <s v="Large"/>
    <n v="2024"/>
  </r>
  <r>
    <s v="C0056"/>
    <s v="Standard"/>
    <d v="2022-12-17T00:00:00"/>
    <d v="2024-12-31T00:00:00"/>
    <n v="25"/>
    <s v="Active"/>
    <s v="Facebook"/>
    <s v="Dec-2022"/>
    <s v="Dec-2024"/>
    <x v="3"/>
    <s v="Tech"/>
    <s v="Medium"/>
    <n v="2022"/>
  </r>
  <r>
    <s v="C0057"/>
    <s v="Standard"/>
    <d v="2024-05-29T00:00:00"/>
    <d v="2024-12-31T00:00:00"/>
    <n v="25"/>
    <s v="Churned"/>
    <s v="Google"/>
    <s v="May-2024"/>
    <s v="Dec-2024"/>
    <x v="2"/>
    <s v="Finance"/>
    <s v="Medium"/>
    <n v="2024"/>
  </r>
  <r>
    <s v="C0058"/>
    <s v="Basic"/>
    <d v="2023-01-01T00:00:00"/>
    <d v="2024-12-31T00:00:00"/>
    <n v="15"/>
    <s v="Churned"/>
    <s v="Referral"/>
    <s v="Jan-2023"/>
    <s v="Dec-2024"/>
    <x v="5"/>
    <s v="Education"/>
    <s v="Enterprise"/>
    <n v="2023"/>
  </r>
  <r>
    <s v="C0059"/>
    <s v="Premium"/>
    <d v="2022-06-29T00:00:00"/>
    <d v="2024-02-16T00:00:00"/>
    <n v="40"/>
    <s v="Churned"/>
    <s v="LinkedIn"/>
    <s v="Jun-2022"/>
    <s v="Feb-2024"/>
    <x v="5"/>
    <s v="E-commerce"/>
    <s v="Enterprise"/>
    <n v="2022"/>
  </r>
  <r>
    <s v="C0060"/>
    <s v="Basic"/>
    <d v="2022-04-24T00:00:00"/>
    <d v="2024-03-06T00:00:00"/>
    <n v="15"/>
    <s v="Churned"/>
    <s v="LinkedIn"/>
    <s v="Apr-2022"/>
    <s v="Mar-2024"/>
    <x v="5"/>
    <s v="Finance"/>
    <s v="Medium"/>
    <n v="2022"/>
  </r>
  <r>
    <s v="C0061"/>
    <s v="Premium"/>
    <d v="2024-03-26T00:00:00"/>
    <d v="2024-12-31T00:00:00"/>
    <n v="40"/>
    <s v="Active"/>
    <s v="Instagram"/>
    <s v="Mar-2024"/>
    <s v="Dec-2024"/>
    <x v="4"/>
    <s v="Education"/>
    <s v="Enterprise"/>
    <n v="2024"/>
  </r>
  <r>
    <s v="C0062"/>
    <s v="Standard"/>
    <d v="2021-03-24T00:00:00"/>
    <d v="2024-12-31T00:00:00"/>
    <n v="25"/>
    <s v="Active"/>
    <s v="Facebook"/>
    <s v="Mar-2021"/>
    <s v="Dec-2024"/>
    <x v="3"/>
    <s v="E-commerce"/>
    <s v="Enterprise"/>
    <n v="2021"/>
  </r>
  <r>
    <s v="C0063"/>
    <s v="Basic"/>
    <d v="2023-12-20T00:00:00"/>
    <d v="2024-12-31T00:00:00"/>
    <n v="15"/>
    <s v="Churned"/>
    <s v="Referral"/>
    <s v="Dec-2023"/>
    <s v="Dec-2024"/>
    <x v="0"/>
    <s v="Tech"/>
    <s v="Medium"/>
    <n v="2023"/>
  </r>
  <r>
    <s v="C0064"/>
    <s v="Standard"/>
    <d v="2021-09-12T00:00:00"/>
    <d v="2024-12-31T00:00:00"/>
    <n v="25"/>
    <s v="Active"/>
    <s v="Google"/>
    <s v="Sep-2021"/>
    <s v="Dec-2024"/>
    <x v="5"/>
    <s v="Tech"/>
    <s v="Enterprise"/>
    <n v="2021"/>
  </r>
  <r>
    <s v="C0065"/>
    <s v="Standard"/>
    <d v="2024-04-01T00:00:00"/>
    <d v="2024-12-31T00:00:00"/>
    <n v="25"/>
    <s v="Active"/>
    <s v="Google"/>
    <s v="Apr-2024"/>
    <s v="Dec-2024"/>
    <x v="3"/>
    <s v="Healthcare"/>
    <s v="Medium"/>
    <n v="2024"/>
  </r>
  <r>
    <s v="C0066"/>
    <s v="Premium"/>
    <d v="2020-02-29T00:00:00"/>
    <d v="2024-12-31T00:00:00"/>
    <n v="40"/>
    <s v="Active"/>
    <s v="Google"/>
    <s v="Feb-2020"/>
    <s v="Dec-2024"/>
    <x v="5"/>
    <s v="Healthcare"/>
    <s v="Large"/>
    <n v="2020"/>
  </r>
  <r>
    <s v="C0067"/>
    <s v="Basic"/>
    <d v="2021-10-24T00:00:00"/>
    <d v="2024-12-31T00:00:00"/>
    <n v="15"/>
    <s v="Active"/>
    <s v="Referral"/>
    <s v="Oct-2021"/>
    <s v="Dec-2024"/>
    <x v="0"/>
    <s v="Education"/>
    <s v="Enterprise"/>
    <n v="2021"/>
  </r>
  <r>
    <s v="C0068"/>
    <s v="Basic"/>
    <d v="2021-04-26T00:00:00"/>
    <d v="2024-12-31T00:00:00"/>
    <n v="15"/>
    <s v="Active"/>
    <s v="Instagram"/>
    <s v="Apr-2021"/>
    <s v="Dec-2024"/>
    <x v="1"/>
    <s v="Healthcare"/>
    <s v="Small"/>
    <n v="2021"/>
  </r>
  <r>
    <s v="C0069"/>
    <s v="Standard"/>
    <d v="2020-04-16T00:00:00"/>
    <d v="2024-12-31T00:00:00"/>
    <n v="25"/>
    <s v="Active"/>
    <s v="Instagram"/>
    <s v="Apr-2020"/>
    <s v="Dec-2024"/>
    <x v="1"/>
    <s v="Retail"/>
    <s v="Medium"/>
    <n v="2020"/>
  </r>
  <r>
    <s v="C0070"/>
    <s v="Standard"/>
    <d v="2021-08-09T00:00:00"/>
    <d v="2024-12-31T00:00:00"/>
    <n v="25"/>
    <s v="Active"/>
    <s v="Instagram"/>
    <s v="Aug-2021"/>
    <s v="Dec-2024"/>
    <x v="5"/>
    <s v="Tech"/>
    <s v="Small"/>
    <n v="2021"/>
  </r>
  <r>
    <s v="C0071"/>
    <s v="Premium"/>
    <d v="2023-03-16T00:00:00"/>
    <d v="2024-12-31T00:00:00"/>
    <n v="40"/>
    <s v="Active"/>
    <s v="Facebook"/>
    <s v="Mar-2023"/>
    <s v="Dec-2024"/>
    <x v="0"/>
    <s v="Healthcare"/>
    <s v="Medium"/>
    <n v="2023"/>
  </r>
  <r>
    <s v="C0072"/>
    <s v="Standard"/>
    <d v="2020-03-16T00:00:00"/>
    <d v="2024-12-31T00:00:00"/>
    <n v="25"/>
    <s v="Active"/>
    <s v="Google"/>
    <s v="Mar-2020"/>
    <s v="Dec-2024"/>
    <x v="0"/>
    <s v="Education"/>
    <s v="Small"/>
    <n v="2020"/>
  </r>
  <r>
    <s v="C0073"/>
    <s v="Standard"/>
    <d v="2020-01-05T00:00:00"/>
    <d v="2024-12-31T00:00:00"/>
    <n v="25"/>
    <s v="Active"/>
    <s v="Facebook"/>
    <s v="Jan-2020"/>
    <s v="Dec-2024"/>
    <x v="2"/>
    <s v="Finance"/>
    <s v="Large"/>
    <n v="2020"/>
  </r>
  <r>
    <s v="C0074"/>
    <s v="Premium"/>
    <d v="2022-12-13T00:00:00"/>
    <d v="2024-12-31T00:00:00"/>
    <n v="40"/>
    <s v="Active"/>
    <s v="Instagram"/>
    <s v="Dec-2022"/>
    <s v="Dec-2024"/>
    <x v="1"/>
    <s v="Retail"/>
    <s v="Small"/>
    <n v="2022"/>
  </r>
  <r>
    <s v="C0075"/>
    <s v="Premium"/>
    <d v="2023-02-15T00:00:00"/>
    <d v="2024-12-31T00:00:00"/>
    <n v="40"/>
    <s v="Active"/>
    <s v="Facebook"/>
    <s v="Feb-2023"/>
    <s v="Dec-2024"/>
    <x v="0"/>
    <s v="Retail"/>
    <s v="Large"/>
    <n v="2023"/>
  </r>
  <r>
    <s v="C0076"/>
    <s v="Standard"/>
    <d v="2021-06-10T00:00:00"/>
    <d v="2024-12-31T00:00:00"/>
    <n v="25"/>
    <s v="Active"/>
    <s v="Google"/>
    <s v="Jun-2021"/>
    <s v="Dec-2024"/>
    <x v="3"/>
    <s v="Education"/>
    <s v="Large"/>
    <n v="2021"/>
  </r>
  <r>
    <s v="C0077"/>
    <s v="Premium"/>
    <d v="2020-12-15T00:00:00"/>
    <d v="2024-12-31T00:00:00"/>
    <n v="40"/>
    <s v="Active"/>
    <s v="Referral"/>
    <s v="Dec-2020"/>
    <s v="Dec-2024"/>
    <x v="1"/>
    <s v="Education"/>
    <s v="Small"/>
    <n v="2020"/>
  </r>
  <r>
    <s v="C0078"/>
    <s v="Premium"/>
    <d v="2021-11-22T00:00:00"/>
    <d v="2023-04-18T00:00:00"/>
    <n v="40"/>
    <s v="Churned"/>
    <s v="Facebook"/>
    <s v="Nov-2021"/>
    <s v="Apr-2023"/>
    <x v="0"/>
    <s v="E-commerce"/>
    <s v="Large"/>
    <n v="2021"/>
  </r>
  <r>
    <s v="C0079"/>
    <s v="Basic"/>
    <d v="2020-01-25T00:00:00"/>
    <d v="2024-12-31T00:00:00"/>
    <n v="15"/>
    <s v="Active"/>
    <s v="Instagram"/>
    <s v="Jan-2020"/>
    <s v="Dec-2024"/>
    <x v="0"/>
    <s v="Healthcare"/>
    <s v="Small"/>
    <n v="2020"/>
  </r>
  <r>
    <s v="C0080"/>
    <s v="Basic"/>
    <d v="2024-01-02T00:00:00"/>
    <d v="2024-12-31T00:00:00"/>
    <n v="15"/>
    <s v="Active"/>
    <s v="Google"/>
    <s v="Jan-2024"/>
    <s v="Dec-2024"/>
    <x v="5"/>
    <s v="Healthcare"/>
    <s v="Enterprise"/>
    <n v="2024"/>
  </r>
  <r>
    <s v="C0081"/>
    <s v="Premium"/>
    <d v="2022-04-07T00:00:00"/>
    <d v="2024-12-31T00:00:00"/>
    <n v="40"/>
    <s v="Active"/>
    <s v="Referral"/>
    <s v="Apr-2022"/>
    <s v="Dec-2024"/>
    <x v="4"/>
    <s v="Retail"/>
    <s v="Large"/>
    <n v="2022"/>
  </r>
  <r>
    <s v="C0082"/>
    <s v="Basic"/>
    <d v="2020-07-11T00:00:00"/>
    <d v="2021-03-13T00:00:00"/>
    <n v="15"/>
    <s v="Churned"/>
    <s v="LinkedIn"/>
    <s v="Jul-2020"/>
    <s v="Mar-2021"/>
    <x v="3"/>
    <s v="Healthcare"/>
    <s v="Enterprise"/>
    <n v="2020"/>
  </r>
  <r>
    <s v="C0083"/>
    <s v="Basic"/>
    <d v="2022-03-02T00:00:00"/>
    <d v="2024-12-31T00:00:00"/>
    <n v="15"/>
    <s v="Active"/>
    <s v="Referral"/>
    <s v="Mar-2022"/>
    <s v="Dec-2024"/>
    <x v="2"/>
    <s v="Finance"/>
    <s v="Medium"/>
    <n v="2022"/>
  </r>
  <r>
    <s v="C0084"/>
    <s v="Basic"/>
    <d v="2021-05-24T00:00:00"/>
    <d v="2021-09-09T00:00:00"/>
    <n v="15"/>
    <s v="Churned"/>
    <s v="Facebook"/>
    <s v="May-2021"/>
    <s v="Sep-2021"/>
    <x v="3"/>
    <s v="Tech"/>
    <s v="Medium"/>
    <n v="2021"/>
  </r>
  <r>
    <s v="C0085"/>
    <s v="Premium"/>
    <d v="2021-07-01T00:00:00"/>
    <d v="2024-12-31T00:00:00"/>
    <n v="40"/>
    <s v="Active"/>
    <s v="Instagram"/>
    <s v="Jul-2021"/>
    <s v="Dec-2024"/>
    <x v="3"/>
    <s v="Healthcare"/>
    <s v="Small"/>
    <n v="2021"/>
  </r>
  <r>
    <s v="C0086"/>
    <s v="Standard"/>
    <d v="2021-10-18T00:00:00"/>
    <d v="2022-12-04T00:00:00"/>
    <n v="25"/>
    <s v="Churned"/>
    <s v="Google"/>
    <s v="Oct-2021"/>
    <s v="Dec-2022"/>
    <x v="3"/>
    <s v="Finance"/>
    <s v="Medium"/>
    <n v="2021"/>
  </r>
  <r>
    <s v="C0087"/>
    <s v="Premium"/>
    <d v="2023-09-18T00:00:00"/>
    <d v="2024-12-31T00:00:00"/>
    <n v="40"/>
    <s v="Active"/>
    <s v="Google"/>
    <s v="Sep-2023"/>
    <s v="Dec-2024"/>
    <x v="3"/>
    <s v="Retail"/>
    <s v="Large"/>
    <n v="2023"/>
  </r>
  <r>
    <s v="C0088"/>
    <s v="Premium"/>
    <d v="2022-05-10T00:00:00"/>
    <d v="2024-06-09T00:00:00"/>
    <n v="40"/>
    <s v="Churned"/>
    <s v="Referral"/>
    <s v="May-2022"/>
    <s v="Jun-2024"/>
    <x v="1"/>
    <s v="Healthcare"/>
    <s v="Large"/>
    <n v="2022"/>
  </r>
  <r>
    <s v="C0089"/>
    <s v="Standard"/>
    <d v="2020-11-08T00:00:00"/>
    <d v="2024-12-31T00:00:00"/>
    <n v="25"/>
    <s v="Active"/>
    <s v="Google"/>
    <s v="Nov-2020"/>
    <s v="Dec-2024"/>
    <x v="2"/>
    <s v="Retail"/>
    <s v="Medium"/>
    <n v="2020"/>
  </r>
  <r>
    <s v="C0090"/>
    <s v="Standard"/>
    <d v="2021-02-21T00:00:00"/>
    <d v="2021-11-06T00:00:00"/>
    <n v="25"/>
    <s v="Churned"/>
    <s v="Facebook"/>
    <s v="Feb-2021"/>
    <s v="Nov-2021"/>
    <x v="3"/>
    <s v="E-commerce"/>
    <s v="Enterprise"/>
    <n v="2021"/>
  </r>
  <r>
    <s v="C0091"/>
    <s v="Basic"/>
    <d v="2022-03-23T00:00:00"/>
    <d v="2024-05-23T00:00:00"/>
    <n v="15"/>
    <s v="Churned"/>
    <s v="Facebook"/>
    <s v="Mar-2022"/>
    <s v="May-2024"/>
    <x v="1"/>
    <s v="Retail"/>
    <s v="Large"/>
    <n v="2022"/>
  </r>
  <r>
    <s v="C0092"/>
    <s v="Standard"/>
    <d v="2024-01-13T00:00:00"/>
    <d v="2024-12-31T00:00:00"/>
    <n v="25"/>
    <s v="Active"/>
    <s v="Facebook"/>
    <s v="Jan-2024"/>
    <s v="Dec-2024"/>
    <x v="3"/>
    <s v="Retail"/>
    <s v="Medium"/>
    <n v="2024"/>
  </r>
  <r>
    <s v="C0093"/>
    <s v="Premium"/>
    <d v="2023-09-25T00:00:00"/>
    <d v="2024-12-31T00:00:00"/>
    <n v="40"/>
    <s v="Active"/>
    <s v="Referral"/>
    <s v="Sep-2023"/>
    <s v="Dec-2024"/>
    <x v="5"/>
    <s v="Healthcare"/>
    <s v="Large"/>
    <n v="2023"/>
  </r>
  <r>
    <s v="C0094"/>
    <s v="Standard"/>
    <d v="2020-08-14T00:00:00"/>
    <d v="2024-12-31T00:00:00"/>
    <n v="25"/>
    <s v="Active"/>
    <s v="LinkedIn"/>
    <s v="Aug-2020"/>
    <s v="Dec-2024"/>
    <x v="5"/>
    <s v="Retail"/>
    <s v="Small"/>
    <n v="2020"/>
  </r>
  <r>
    <s v="C0095"/>
    <s v="Standard"/>
    <d v="2020-03-14T00:00:00"/>
    <d v="2024-12-31T00:00:00"/>
    <n v="25"/>
    <s v="Active"/>
    <s v="Instagram"/>
    <s v="Mar-2020"/>
    <s v="Dec-2024"/>
    <x v="5"/>
    <s v="Tech"/>
    <s v="Large"/>
    <n v="2020"/>
  </r>
  <r>
    <s v="C0096"/>
    <s v="Basic"/>
    <d v="2021-02-23T00:00:00"/>
    <d v="2024-12-31T00:00:00"/>
    <n v="15"/>
    <s v="Active"/>
    <s v="Facebook"/>
    <s v="Feb-2021"/>
    <s v="Dec-2024"/>
    <x v="1"/>
    <s v="Education"/>
    <s v="Medium"/>
    <n v="2021"/>
  </r>
  <r>
    <s v="C0097"/>
    <s v="Standard"/>
    <d v="2020-08-25T00:00:00"/>
    <d v="2024-12-31T00:00:00"/>
    <n v="25"/>
    <s v="Active"/>
    <s v="Facebook"/>
    <s v="Aug-2020"/>
    <s v="Dec-2024"/>
    <x v="3"/>
    <s v="Healthcare"/>
    <s v="Medium"/>
    <n v="2020"/>
  </r>
  <r>
    <s v="C0098"/>
    <s v="Standard"/>
    <d v="2024-05-03T00:00:00"/>
    <d v="2024-12-31T00:00:00"/>
    <n v="25"/>
    <s v="Churned"/>
    <s v="Facebook"/>
    <s v="May-2024"/>
    <s v="Dec-2024"/>
    <x v="1"/>
    <s v="Retail"/>
    <s v="Enterprise"/>
    <n v="2024"/>
  </r>
  <r>
    <s v="C0099"/>
    <s v="Basic"/>
    <d v="2022-09-12T00:00:00"/>
    <d v="2024-12-31T00:00:00"/>
    <n v="15"/>
    <s v="Active"/>
    <s v="Google"/>
    <s v="Sep-2022"/>
    <s v="Dec-2024"/>
    <x v="3"/>
    <s v="Healthcare"/>
    <s v="Enterprise"/>
    <n v="2022"/>
  </r>
  <r>
    <s v="C0100"/>
    <s v="Standard"/>
    <d v="2020-08-14T00:00:00"/>
    <d v="2024-12-31T00:00:00"/>
    <n v="25"/>
    <s v="Active"/>
    <s v="Instagram"/>
    <s v="Aug-2020"/>
    <s v="Dec-2024"/>
    <x v="0"/>
    <s v="Tech"/>
    <s v="Medium"/>
    <n v="2020"/>
  </r>
  <r>
    <s v="C0101"/>
    <s v="Premium"/>
    <d v="2020-08-05T00:00:00"/>
    <d v="2024-12-31T00:00:00"/>
    <n v="40"/>
    <s v="Active"/>
    <s v="Facebook"/>
    <s v="Aug-2020"/>
    <s v="Dec-2024"/>
    <x v="3"/>
    <s v="Retail"/>
    <s v="Medium"/>
    <n v="2020"/>
  </r>
  <r>
    <s v="C0102"/>
    <s v="Premium"/>
    <d v="2023-12-18T00:00:00"/>
    <d v="2024-12-31T00:00:00"/>
    <n v="40"/>
    <s v="Active"/>
    <s v="Referral"/>
    <s v="Dec-2023"/>
    <s v="Dec-2024"/>
    <x v="0"/>
    <s v="Healthcare"/>
    <s v="Enterprise"/>
    <n v="2023"/>
  </r>
  <r>
    <s v="C0103"/>
    <s v="Standard"/>
    <d v="2021-03-10T00:00:00"/>
    <d v="2021-09-16T00:00:00"/>
    <n v="25"/>
    <s v="Churned"/>
    <s v="Google"/>
    <s v="Mar-2021"/>
    <s v="Sep-2021"/>
    <x v="4"/>
    <s v="Retail"/>
    <s v="Small"/>
    <n v="2021"/>
  </r>
  <r>
    <s v="C0104"/>
    <s v="Premium"/>
    <d v="2024-03-20T00:00:00"/>
    <d v="2024-12-31T00:00:00"/>
    <n v="40"/>
    <s v="Active"/>
    <s v="Facebook"/>
    <s v="Mar-2024"/>
    <s v="Dec-2024"/>
    <x v="3"/>
    <s v="Healthcare"/>
    <s v="Small"/>
    <n v="2024"/>
  </r>
  <r>
    <s v="C0105"/>
    <s v="Standard"/>
    <d v="2020-05-04T00:00:00"/>
    <d v="2024-12-31T00:00:00"/>
    <n v="25"/>
    <s v="Active"/>
    <s v="Facebook"/>
    <s v="May-2020"/>
    <s v="Dec-2024"/>
    <x v="3"/>
    <s v="Tech"/>
    <s v="Enterprise"/>
    <n v="2020"/>
  </r>
  <r>
    <s v="C0106"/>
    <s v="Standard"/>
    <d v="2024-06-17T00:00:00"/>
    <d v="2024-12-31T00:00:00"/>
    <n v="25"/>
    <s v="Churned"/>
    <s v="Instagram"/>
    <s v="Jun-2024"/>
    <s v="Dec-2024"/>
    <x v="0"/>
    <s v="Tech"/>
    <s v="Medium"/>
    <n v="2024"/>
  </r>
  <r>
    <s v="C0107"/>
    <s v="Premium"/>
    <d v="2020-11-11T00:00:00"/>
    <d v="2021-02-12T00:00:00"/>
    <n v="40"/>
    <s v="Churned"/>
    <s v="Google"/>
    <s v="Nov-2020"/>
    <s v="Feb-2021"/>
    <x v="1"/>
    <s v="E-commerce"/>
    <s v="Large"/>
    <n v="2020"/>
  </r>
  <r>
    <s v="C0108"/>
    <s v="Premium"/>
    <d v="2022-01-25T00:00:00"/>
    <d v="2024-12-31T00:00:00"/>
    <n v="40"/>
    <s v="Active"/>
    <s v="Referral"/>
    <s v="Jan-2022"/>
    <s v="Dec-2024"/>
    <x v="5"/>
    <s v="Healthcare"/>
    <s v="Enterprise"/>
    <n v="2022"/>
  </r>
  <r>
    <s v="C0109"/>
    <s v="Basic"/>
    <d v="2021-11-21T00:00:00"/>
    <d v="2024-12-31T00:00:00"/>
    <n v="15"/>
    <s v="Active"/>
    <s v="Facebook"/>
    <s v="Nov-2021"/>
    <s v="Dec-2024"/>
    <x v="0"/>
    <s v="Retail"/>
    <s v="Large"/>
    <n v="2021"/>
  </r>
  <r>
    <s v="C0110"/>
    <s v="Premium"/>
    <d v="2023-04-15T00:00:00"/>
    <d v="2024-12-31T00:00:00"/>
    <n v="40"/>
    <s v="Active"/>
    <s v="Instagram"/>
    <s v="Apr-2023"/>
    <s v="Dec-2024"/>
    <x v="5"/>
    <s v="Healthcare"/>
    <s v="Large"/>
    <n v="2023"/>
  </r>
  <r>
    <s v="C0111"/>
    <s v="Standard"/>
    <d v="2022-12-11T00:00:00"/>
    <d v="2023-08-31T00:00:00"/>
    <n v="25"/>
    <s v="Churned"/>
    <s v="Instagram"/>
    <s v="Dec-2022"/>
    <s v="Aug-2023"/>
    <x v="5"/>
    <s v="Finance"/>
    <s v="Enterprise"/>
    <n v="2022"/>
  </r>
  <r>
    <s v="C0112"/>
    <s v="Basic"/>
    <d v="2023-08-25T00:00:00"/>
    <d v="2024-09-18T00:00:00"/>
    <n v="15"/>
    <s v="Churned"/>
    <s v="Referral"/>
    <s v="Aug-2023"/>
    <s v="Sep-2024"/>
    <x v="2"/>
    <s v="Retail"/>
    <s v="Medium"/>
    <n v="2023"/>
  </r>
  <r>
    <s v="C0113"/>
    <s v="Standard"/>
    <d v="2024-04-08T00:00:00"/>
    <d v="2024-12-31T00:00:00"/>
    <n v="25"/>
    <s v="Churned"/>
    <s v="Google"/>
    <s v="Apr-2024"/>
    <s v="Dec-2024"/>
    <x v="4"/>
    <s v="Finance"/>
    <s v="Enterprise"/>
    <n v="2024"/>
  </r>
  <r>
    <s v="C0114"/>
    <s v="Standard"/>
    <d v="2020-04-10T00:00:00"/>
    <d v="2024-12-31T00:00:00"/>
    <n v="25"/>
    <s v="Active"/>
    <s v="Facebook"/>
    <s v="Apr-2020"/>
    <s v="Dec-2024"/>
    <x v="0"/>
    <s v="Tech"/>
    <s v="Small"/>
    <n v="2020"/>
  </r>
  <r>
    <s v="C0115"/>
    <s v="Premium"/>
    <d v="2020-11-06T00:00:00"/>
    <d v="2024-12-31T00:00:00"/>
    <n v="40"/>
    <s v="Active"/>
    <s v="Referral"/>
    <s v="Nov-2020"/>
    <s v="Dec-2024"/>
    <x v="1"/>
    <s v="Tech"/>
    <s v="Enterprise"/>
    <n v="2020"/>
  </r>
  <r>
    <s v="C0116"/>
    <s v="Premium"/>
    <d v="2021-08-05T00:00:00"/>
    <d v="2024-12-31T00:00:00"/>
    <n v="40"/>
    <s v="Active"/>
    <s v="Facebook"/>
    <s v="Aug-2021"/>
    <s v="Dec-2024"/>
    <x v="0"/>
    <s v="Retail"/>
    <s v="Medium"/>
    <n v="2021"/>
  </r>
  <r>
    <s v="C0117"/>
    <s v="Standard"/>
    <d v="2024-03-19T00:00:00"/>
    <d v="2024-12-31T00:00:00"/>
    <n v="25"/>
    <s v="Churned"/>
    <s v="Google"/>
    <s v="Mar-2024"/>
    <s v="Dec-2024"/>
    <x v="2"/>
    <s v="Tech"/>
    <s v="Small"/>
    <n v="2024"/>
  </r>
  <r>
    <s v="C0118"/>
    <s v="Standard"/>
    <d v="2024-04-13T00:00:00"/>
    <d v="2024-12-31T00:00:00"/>
    <n v="25"/>
    <s v="Churned"/>
    <s v="Instagram"/>
    <s v="Apr-2024"/>
    <s v="Dec-2024"/>
    <x v="1"/>
    <s v="Education"/>
    <s v="Medium"/>
    <n v="2024"/>
  </r>
  <r>
    <s v="C0119"/>
    <s v="Standard"/>
    <d v="2023-12-03T00:00:00"/>
    <d v="2024-12-31T00:00:00"/>
    <n v="25"/>
    <s v="Active"/>
    <s v="Instagram"/>
    <s v="Dec-2023"/>
    <s v="Dec-2024"/>
    <x v="2"/>
    <s v="Education"/>
    <s v="Large"/>
    <n v="2023"/>
  </r>
  <r>
    <s v="C0120"/>
    <s v="Standard"/>
    <d v="2023-02-14T00:00:00"/>
    <d v="2024-12-31T00:00:00"/>
    <n v="25"/>
    <s v="Active"/>
    <s v="Referral"/>
    <s v="Feb-2023"/>
    <s v="Dec-2024"/>
    <x v="5"/>
    <s v="E-commerce"/>
    <s v="Medium"/>
    <n v="2023"/>
  </r>
  <r>
    <s v="C0121"/>
    <s v="Premium"/>
    <d v="2021-06-06T00:00:00"/>
    <d v="2024-12-31T00:00:00"/>
    <n v="40"/>
    <s v="Active"/>
    <s v="Facebook"/>
    <s v="Jun-2021"/>
    <s v="Dec-2024"/>
    <x v="3"/>
    <s v="Retail"/>
    <s v="Enterprise"/>
    <n v="2021"/>
  </r>
  <r>
    <s v="C0122"/>
    <s v="Premium"/>
    <d v="2023-05-06T00:00:00"/>
    <d v="2024-12-31T00:00:00"/>
    <n v="40"/>
    <s v="Active"/>
    <s v="Google"/>
    <s v="May-2023"/>
    <s v="Dec-2024"/>
    <x v="1"/>
    <s v="Retail"/>
    <s v="Small"/>
    <n v="2023"/>
  </r>
  <r>
    <s v="C0123"/>
    <s v="Premium"/>
    <d v="2024-04-07T00:00:00"/>
    <d v="2024-12-31T00:00:00"/>
    <n v="40"/>
    <s v="Churned"/>
    <s v="Google"/>
    <s v="Apr-2024"/>
    <s v="Dec-2024"/>
    <x v="3"/>
    <s v="E-commerce"/>
    <s v="Small"/>
    <n v="2024"/>
  </r>
  <r>
    <s v="C0124"/>
    <s v="Premium"/>
    <d v="2024-04-13T00:00:00"/>
    <d v="2024-12-31T00:00:00"/>
    <n v="40"/>
    <s v="Active"/>
    <s v="Facebook"/>
    <s v="Apr-2024"/>
    <s v="Dec-2024"/>
    <x v="5"/>
    <s v="Finance"/>
    <s v="Enterprise"/>
    <n v="2024"/>
  </r>
  <r>
    <s v="C0125"/>
    <s v="Premium"/>
    <d v="2023-12-19T00:00:00"/>
    <d v="2024-12-31T00:00:00"/>
    <n v="40"/>
    <s v="Active"/>
    <s v="Referral"/>
    <s v="Dec-2023"/>
    <s v="Dec-2024"/>
    <x v="0"/>
    <s v="Education"/>
    <s v="Small"/>
    <n v="2023"/>
  </r>
  <r>
    <s v="C0126"/>
    <s v="Premium"/>
    <d v="2022-03-26T00:00:00"/>
    <d v="2024-12-31T00:00:00"/>
    <n v="40"/>
    <s v="Active"/>
    <s v="Instagram"/>
    <s v="Mar-2022"/>
    <s v="Dec-2024"/>
    <x v="4"/>
    <s v="Education"/>
    <s v="Small"/>
    <n v="2022"/>
  </r>
  <r>
    <s v="C0127"/>
    <s v="Standard"/>
    <d v="2021-03-16T00:00:00"/>
    <d v="2022-11-01T00:00:00"/>
    <n v="25"/>
    <s v="Churned"/>
    <s v="Google"/>
    <s v="Mar-2021"/>
    <s v="Nov-2022"/>
    <x v="3"/>
    <s v="E-commerce"/>
    <s v="Large"/>
    <n v="2021"/>
  </r>
  <r>
    <s v="C0128"/>
    <s v="Basic"/>
    <d v="2022-04-02T00:00:00"/>
    <d v="2024-12-31T00:00:00"/>
    <n v="15"/>
    <s v="Active"/>
    <s v="Facebook"/>
    <s v="Apr-2022"/>
    <s v="Dec-2024"/>
    <x v="0"/>
    <s v="Education"/>
    <s v="Medium"/>
    <n v="2022"/>
  </r>
  <r>
    <s v="C0129"/>
    <s v="Standard"/>
    <d v="2022-11-30T00:00:00"/>
    <d v="2024-12-31T00:00:00"/>
    <n v="25"/>
    <s v="Churned"/>
    <s v="LinkedIn"/>
    <s v="Nov-2022"/>
    <s v="Dec-2024"/>
    <x v="4"/>
    <s v="Retail"/>
    <s v="Small"/>
    <n v="2022"/>
  </r>
  <r>
    <s v="C0130"/>
    <s v="Premium"/>
    <d v="2023-08-16T00:00:00"/>
    <d v="2024-12-31T00:00:00"/>
    <n v="40"/>
    <s v="Active"/>
    <s v="Instagram"/>
    <s v="Aug-2023"/>
    <s v="Dec-2024"/>
    <x v="4"/>
    <s v="Education"/>
    <s v="Enterprise"/>
    <n v="2023"/>
  </r>
  <r>
    <s v="C0131"/>
    <s v="Premium"/>
    <d v="2023-02-04T00:00:00"/>
    <d v="2024-12-31T00:00:00"/>
    <n v="40"/>
    <s v="Active"/>
    <s v="Google"/>
    <s v="Feb-2023"/>
    <s v="Dec-2024"/>
    <x v="3"/>
    <s v="E-commerce"/>
    <s v="Medium"/>
    <n v="2023"/>
  </r>
  <r>
    <s v="C0132"/>
    <s v="Premium"/>
    <d v="2021-05-22T00:00:00"/>
    <d v="2024-12-31T00:00:00"/>
    <n v="40"/>
    <s v="Active"/>
    <s v="Google"/>
    <s v="May-2021"/>
    <s v="Dec-2024"/>
    <x v="1"/>
    <s v="E-commerce"/>
    <s v="Enterprise"/>
    <n v="2021"/>
  </r>
  <r>
    <s v="C0133"/>
    <s v="Basic"/>
    <d v="2023-03-06T00:00:00"/>
    <d v="2024-12-31T00:00:00"/>
    <n v="15"/>
    <s v="Churned"/>
    <s v="LinkedIn"/>
    <s v="Mar-2023"/>
    <s v="Dec-2024"/>
    <x v="3"/>
    <s v="Finance"/>
    <s v="Medium"/>
    <n v="2023"/>
  </r>
  <r>
    <s v="C0134"/>
    <s v="Basic"/>
    <d v="2023-07-08T00:00:00"/>
    <d v="2024-12-31T00:00:00"/>
    <n v="15"/>
    <s v="Active"/>
    <s v="Google"/>
    <s v="Jul-2023"/>
    <s v="Dec-2024"/>
    <x v="2"/>
    <s v="Finance"/>
    <s v="Medium"/>
    <n v="2023"/>
  </r>
  <r>
    <s v="C0135"/>
    <s v="Basic"/>
    <d v="2022-08-28T00:00:00"/>
    <d v="2024-12-31T00:00:00"/>
    <n v="15"/>
    <s v="Active"/>
    <s v="Instagram"/>
    <s v="Aug-2022"/>
    <s v="Dec-2024"/>
    <x v="1"/>
    <s v="Education"/>
    <s v="Enterprise"/>
    <n v="2022"/>
  </r>
  <r>
    <s v="C0136"/>
    <s v="Premium"/>
    <d v="2024-06-10T00:00:00"/>
    <d v="2024-12-31T00:00:00"/>
    <n v="40"/>
    <s v="Active"/>
    <s v="Facebook"/>
    <s v="Jun-2024"/>
    <s v="Dec-2024"/>
    <x v="0"/>
    <s v="Education"/>
    <s v="Small"/>
    <n v="2024"/>
  </r>
  <r>
    <s v="C0137"/>
    <s v="Premium"/>
    <d v="2022-05-11T00:00:00"/>
    <d v="2024-12-31T00:00:00"/>
    <n v="40"/>
    <s v="Active"/>
    <s v="Google"/>
    <s v="May-2022"/>
    <s v="Dec-2024"/>
    <x v="1"/>
    <s v="Tech"/>
    <s v="Enterprise"/>
    <n v="2022"/>
  </r>
  <r>
    <s v="C0138"/>
    <s v="Premium"/>
    <d v="2020-06-18T00:00:00"/>
    <d v="2021-10-11T00:00:00"/>
    <n v="40"/>
    <s v="Churned"/>
    <s v="Referral"/>
    <s v="Jun-2020"/>
    <s v="Oct-2021"/>
    <x v="0"/>
    <s v="Tech"/>
    <s v="Medium"/>
    <n v="2020"/>
  </r>
  <r>
    <s v="C0139"/>
    <s v="Premium"/>
    <d v="2020-08-26T00:00:00"/>
    <d v="2024-12-31T00:00:00"/>
    <n v="40"/>
    <s v="Active"/>
    <s v="Facebook"/>
    <s v="Aug-2020"/>
    <s v="Dec-2024"/>
    <x v="1"/>
    <s v="Healthcare"/>
    <s v="Small"/>
    <n v="2020"/>
  </r>
  <r>
    <s v="C0140"/>
    <s v="Premium"/>
    <d v="2021-11-01T00:00:00"/>
    <d v="2024-01-01T00:00:00"/>
    <n v="40"/>
    <s v="Churned"/>
    <s v="Referral"/>
    <s v="Nov-2021"/>
    <s v="Jan-2024"/>
    <x v="1"/>
    <s v="E-commerce"/>
    <s v="Large"/>
    <n v="2021"/>
  </r>
  <r>
    <s v="C0141"/>
    <s v="Standard"/>
    <d v="2023-09-10T00:00:00"/>
    <d v="2024-12-31T00:00:00"/>
    <n v="25"/>
    <s v="Active"/>
    <s v="Referral"/>
    <s v="Sep-2023"/>
    <s v="Dec-2024"/>
    <x v="3"/>
    <s v="Finance"/>
    <s v="Medium"/>
    <n v="2023"/>
  </r>
  <r>
    <s v="C0142"/>
    <s v="Premium"/>
    <d v="2022-07-19T00:00:00"/>
    <d v="2024-09-26T00:00:00"/>
    <n v="40"/>
    <s v="Churned"/>
    <s v="Google"/>
    <s v="Jul-2022"/>
    <s v="Sep-2024"/>
    <x v="4"/>
    <s v="Healthcare"/>
    <s v="Large"/>
    <n v="2022"/>
  </r>
  <r>
    <s v="C0143"/>
    <s v="Standard"/>
    <d v="2021-03-06T00:00:00"/>
    <d v="2024-12-31T00:00:00"/>
    <n v="25"/>
    <s v="Active"/>
    <s v="LinkedIn"/>
    <s v="Mar-2021"/>
    <s v="Dec-2024"/>
    <x v="2"/>
    <s v="Retail"/>
    <s v="Small"/>
    <n v="2021"/>
  </r>
  <r>
    <s v="C0144"/>
    <s v="Premium"/>
    <d v="2022-06-11T00:00:00"/>
    <d v="2024-05-29T00:00:00"/>
    <n v="40"/>
    <s v="Churned"/>
    <s v="Facebook"/>
    <s v="Jun-2022"/>
    <s v="May-2024"/>
    <x v="0"/>
    <s v="Education"/>
    <s v="Enterprise"/>
    <n v="2022"/>
  </r>
  <r>
    <s v="C0145"/>
    <s v="Standard"/>
    <d v="2021-01-13T00:00:00"/>
    <d v="2022-08-06T00:00:00"/>
    <n v="25"/>
    <s v="Churned"/>
    <s v="LinkedIn"/>
    <s v="Jan-2021"/>
    <s v="Aug-2022"/>
    <x v="4"/>
    <s v="Retail"/>
    <s v="Medium"/>
    <n v="2021"/>
  </r>
  <r>
    <s v="C0146"/>
    <s v="Standard"/>
    <d v="2024-06-13T00:00:00"/>
    <d v="2024-12-31T00:00:00"/>
    <n v="25"/>
    <s v="Churned"/>
    <s v="Facebook"/>
    <s v="Jun-2024"/>
    <s v="Dec-2024"/>
    <x v="4"/>
    <s v="Tech"/>
    <s v="Large"/>
    <n v="2024"/>
  </r>
  <r>
    <s v="C0147"/>
    <s v="Standard"/>
    <d v="2024-04-02T00:00:00"/>
    <d v="2024-12-31T00:00:00"/>
    <n v="25"/>
    <s v="Active"/>
    <s v="LinkedIn"/>
    <s v="Apr-2024"/>
    <s v="Dec-2024"/>
    <x v="0"/>
    <s v="Finance"/>
    <s v="Medium"/>
    <n v="2024"/>
  </r>
  <r>
    <s v="C0148"/>
    <s v="Basic"/>
    <d v="2024-05-23T00:00:00"/>
    <d v="2024-12-31T00:00:00"/>
    <n v="15"/>
    <s v="Active"/>
    <s v="Referral"/>
    <s v="May-2024"/>
    <s v="Dec-2024"/>
    <x v="3"/>
    <s v="Education"/>
    <s v="Small"/>
    <n v="2024"/>
  </r>
  <r>
    <s v="C0149"/>
    <s v="Premium"/>
    <d v="2021-08-24T00:00:00"/>
    <d v="2024-12-31T00:00:00"/>
    <n v="40"/>
    <s v="Active"/>
    <s v="LinkedIn"/>
    <s v="Aug-2021"/>
    <s v="Dec-2024"/>
    <x v="1"/>
    <s v="Education"/>
    <s v="Enterprise"/>
    <n v="2021"/>
  </r>
  <r>
    <s v="C0150"/>
    <s v="Premium"/>
    <d v="2021-02-23T00:00:00"/>
    <d v="2024-12-31T00:00:00"/>
    <n v="40"/>
    <s v="Active"/>
    <s v="LinkedIn"/>
    <s v="Feb-2021"/>
    <s v="Dec-2024"/>
    <x v="2"/>
    <s v="Finance"/>
    <s v="Enterprise"/>
    <n v="2021"/>
  </r>
  <r>
    <s v="C0151"/>
    <s v="Standard"/>
    <d v="2022-11-01T00:00:00"/>
    <d v="2024-12-31T00:00:00"/>
    <n v="25"/>
    <s v="Active"/>
    <s v="Referral"/>
    <s v="Nov-2022"/>
    <s v="Dec-2024"/>
    <x v="1"/>
    <s v="Finance"/>
    <s v="Medium"/>
    <n v="2022"/>
  </r>
  <r>
    <s v="C0152"/>
    <s v="Basic"/>
    <d v="2021-11-24T00:00:00"/>
    <d v="2023-04-24T00:00:00"/>
    <n v="15"/>
    <s v="Churned"/>
    <s v="LinkedIn"/>
    <s v="Nov-2021"/>
    <s v="Apr-2023"/>
    <x v="2"/>
    <s v="Healthcare"/>
    <s v="Enterprise"/>
    <n v="2021"/>
  </r>
  <r>
    <s v="C0153"/>
    <s v="Standard"/>
    <d v="2023-01-29T00:00:00"/>
    <d v="2024-12-31T00:00:00"/>
    <n v="25"/>
    <s v="Active"/>
    <s v="Google"/>
    <s v="Jan-2023"/>
    <s v="Dec-2024"/>
    <x v="3"/>
    <s v="E-commerce"/>
    <s v="Enterprise"/>
    <n v="2023"/>
  </r>
  <r>
    <s v="C0154"/>
    <s v="Standard"/>
    <d v="2021-12-08T00:00:00"/>
    <d v="2024-12-31T00:00:00"/>
    <n v="25"/>
    <s v="Active"/>
    <s v="Referral"/>
    <s v="Dec-2021"/>
    <s v="Dec-2024"/>
    <x v="3"/>
    <s v="Retail"/>
    <s v="Enterprise"/>
    <n v="2021"/>
  </r>
  <r>
    <s v="C0155"/>
    <s v="Premium"/>
    <d v="2024-04-07T00:00:00"/>
    <d v="2024-12-31T00:00:00"/>
    <n v="40"/>
    <s v="Active"/>
    <s v="LinkedIn"/>
    <s v="Apr-2024"/>
    <s v="Dec-2024"/>
    <x v="5"/>
    <s v="E-commerce"/>
    <s v="Enterprise"/>
    <n v="2024"/>
  </r>
  <r>
    <s v="C0156"/>
    <s v="Standard"/>
    <d v="2021-01-23T00:00:00"/>
    <d v="2021-06-24T00:00:00"/>
    <n v="25"/>
    <s v="Churned"/>
    <s v="Google"/>
    <s v="Jan-2021"/>
    <s v="Jun-2021"/>
    <x v="4"/>
    <s v="Retail"/>
    <s v="Small"/>
    <n v="2021"/>
  </r>
  <r>
    <s v="C0157"/>
    <s v="Basic"/>
    <d v="2022-07-23T00:00:00"/>
    <d v="2024-12-31T00:00:00"/>
    <n v="15"/>
    <s v="Active"/>
    <s v="LinkedIn"/>
    <s v="Jul-2022"/>
    <s v="Dec-2024"/>
    <x v="4"/>
    <s v="Healthcare"/>
    <s v="Medium"/>
    <n v="2022"/>
  </r>
  <r>
    <s v="C0158"/>
    <s v="Basic"/>
    <d v="2021-07-18T00:00:00"/>
    <d v="2024-12-31T00:00:00"/>
    <n v="15"/>
    <s v="Active"/>
    <s v="Google"/>
    <s v="Jul-2021"/>
    <s v="Dec-2024"/>
    <x v="1"/>
    <s v="Healthcare"/>
    <s v="Small"/>
    <n v="2021"/>
  </r>
  <r>
    <s v="C0159"/>
    <s v="Standard"/>
    <d v="2023-05-30T00:00:00"/>
    <d v="2024-12-31T00:00:00"/>
    <n v="25"/>
    <s v="Churned"/>
    <s v="Google"/>
    <s v="May-2023"/>
    <s v="Dec-2024"/>
    <x v="2"/>
    <s v="Tech"/>
    <s v="Large"/>
    <n v="2023"/>
  </r>
  <r>
    <s v="C0160"/>
    <s v="Premium"/>
    <d v="2020-01-29T00:00:00"/>
    <d v="2024-12-31T00:00:00"/>
    <n v="40"/>
    <s v="Active"/>
    <s v="LinkedIn"/>
    <s v="Jan-2020"/>
    <s v="Dec-2024"/>
    <x v="2"/>
    <s v="Finance"/>
    <s v="Enterprise"/>
    <n v="2020"/>
  </r>
  <r>
    <s v="C0161"/>
    <s v="Standard"/>
    <d v="2023-04-18T00:00:00"/>
    <d v="2024-12-31T00:00:00"/>
    <n v="25"/>
    <s v="Active"/>
    <s v="Facebook"/>
    <s v="Apr-2023"/>
    <s v="Dec-2024"/>
    <x v="2"/>
    <s v="Healthcare"/>
    <s v="Small"/>
    <n v="2023"/>
  </r>
  <r>
    <s v="C0162"/>
    <s v="Standard"/>
    <d v="2023-11-24T00:00:00"/>
    <d v="2024-12-31T00:00:00"/>
    <n v="25"/>
    <s v="Active"/>
    <s v="Facebook"/>
    <s v="Nov-2023"/>
    <s v="Dec-2024"/>
    <x v="5"/>
    <s v="Education"/>
    <s v="Medium"/>
    <n v="2023"/>
  </r>
  <r>
    <s v="C0163"/>
    <s v="Premium"/>
    <d v="2021-12-02T00:00:00"/>
    <d v="2024-12-31T00:00:00"/>
    <n v="40"/>
    <s v="Active"/>
    <s v="Instagram"/>
    <s v="Dec-2021"/>
    <s v="Dec-2024"/>
    <x v="2"/>
    <s v="Tech"/>
    <s v="Small"/>
    <n v="2021"/>
  </r>
  <r>
    <s v="C0164"/>
    <s v="Standard"/>
    <d v="2023-10-23T00:00:00"/>
    <d v="2024-12-31T00:00:00"/>
    <n v="25"/>
    <s v="Active"/>
    <s v="Google"/>
    <s v="Oct-2023"/>
    <s v="Dec-2024"/>
    <x v="1"/>
    <s v="Tech"/>
    <s v="Enterprise"/>
    <n v="2023"/>
  </r>
  <r>
    <s v="C0165"/>
    <s v="Premium"/>
    <d v="2024-05-08T00:00:00"/>
    <d v="2024-12-31T00:00:00"/>
    <n v="40"/>
    <s v="Active"/>
    <s v="Instagram"/>
    <s v="May-2024"/>
    <s v="Dec-2024"/>
    <x v="1"/>
    <s v="Retail"/>
    <s v="Small"/>
    <n v="2024"/>
  </r>
  <r>
    <s v="C0166"/>
    <s v="Premium"/>
    <d v="2023-04-08T00:00:00"/>
    <d v="2024-12-31T00:00:00"/>
    <n v="40"/>
    <s v="Active"/>
    <s v="Referral"/>
    <s v="Apr-2023"/>
    <s v="Dec-2024"/>
    <x v="2"/>
    <s v="E-commerce"/>
    <s v="Large"/>
    <n v="2023"/>
  </r>
  <r>
    <s v="C0167"/>
    <s v="Basic"/>
    <d v="2023-11-23T00:00:00"/>
    <d v="2024-12-31T00:00:00"/>
    <n v="15"/>
    <s v="Active"/>
    <s v="Facebook"/>
    <s v="Nov-2023"/>
    <s v="Dec-2024"/>
    <x v="1"/>
    <s v="E-commerce"/>
    <s v="Small"/>
    <n v="2023"/>
  </r>
  <r>
    <s v="C0168"/>
    <s v="Premium"/>
    <d v="2023-09-08T00:00:00"/>
    <d v="2024-12-31T00:00:00"/>
    <n v="40"/>
    <s v="Active"/>
    <s v="Google"/>
    <s v="Sep-2023"/>
    <s v="Dec-2024"/>
    <x v="5"/>
    <s v="Education"/>
    <s v="Medium"/>
    <n v="2023"/>
  </r>
  <r>
    <s v="C0169"/>
    <s v="Standard"/>
    <d v="2021-07-08T00:00:00"/>
    <d v="2023-04-11T00:00:00"/>
    <n v="25"/>
    <s v="Churned"/>
    <s v="Facebook"/>
    <s v="Jul-2021"/>
    <s v="Apr-2023"/>
    <x v="0"/>
    <s v="Retail"/>
    <s v="Large"/>
    <n v="2021"/>
  </r>
  <r>
    <s v="C0170"/>
    <s v="Premium"/>
    <d v="2020-05-21T00:00:00"/>
    <d v="2024-12-31T00:00:00"/>
    <n v="40"/>
    <s v="Active"/>
    <s v="Facebook"/>
    <s v="May-2020"/>
    <s v="Dec-2024"/>
    <x v="2"/>
    <s v="Tech"/>
    <s v="Medium"/>
    <n v="2020"/>
  </r>
  <r>
    <s v="C0171"/>
    <s v="Basic"/>
    <d v="2023-06-05T00:00:00"/>
    <d v="2024-12-31T00:00:00"/>
    <n v="15"/>
    <s v="Churned"/>
    <s v="LinkedIn"/>
    <s v="Jun-2023"/>
    <s v="Dec-2024"/>
    <x v="3"/>
    <s v="Finance"/>
    <s v="Medium"/>
    <n v="2023"/>
  </r>
  <r>
    <s v="C0172"/>
    <s v="Basic"/>
    <d v="2022-05-18T00:00:00"/>
    <d v="2024-12-31T00:00:00"/>
    <n v="15"/>
    <s v="Active"/>
    <s v="Google"/>
    <s v="May-2022"/>
    <s v="Dec-2024"/>
    <x v="1"/>
    <s v="Retail"/>
    <s v="Large"/>
    <n v="2022"/>
  </r>
  <r>
    <s v="C0173"/>
    <s v="Premium"/>
    <d v="2020-11-10T00:00:00"/>
    <d v="2024-12-31T00:00:00"/>
    <n v="40"/>
    <s v="Active"/>
    <s v="LinkedIn"/>
    <s v="Nov-2020"/>
    <s v="Dec-2024"/>
    <x v="3"/>
    <s v="Finance"/>
    <s v="Medium"/>
    <n v="2020"/>
  </r>
  <r>
    <s v="C0174"/>
    <s v="Standard"/>
    <d v="2021-03-17T00:00:00"/>
    <d v="2021-07-10T00:00:00"/>
    <n v="25"/>
    <s v="Churned"/>
    <s v="LinkedIn"/>
    <s v="Mar-2021"/>
    <s v="Jul-2021"/>
    <x v="5"/>
    <s v="Retail"/>
    <s v="Enterprise"/>
    <n v="2021"/>
  </r>
  <r>
    <s v="C0175"/>
    <s v="Premium"/>
    <d v="2023-12-13T00:00:00"/>
    <d v="2024-12-31T00:00:00"/>
    <n v="40"/>
    <s v="Active"/>
    <s v="LinkedIn"/>
    <s v="Dec-2023"/>
    <s v="Dec-2024"/>
    <x v="5"/>
    <s v="Healthcare"/>
    <s v="Medium"/>
    <n v="2023"/>
  </r>
  <r>
    <s v="C0176"/>
    <s v="Premium"/>
    <d v="2021-07-14T00:00:00"/>
    <d v="2024-12-31T00:00:00"/>
    <n v="40"/>
    <s v="Active"/>
    <s v="Instagram"/>
    <s v="Jul-2021"/>
    <s v="Dec-2024"/>
    <x v="0"/>
    <s v="E-commerce"/>
    <s v="Large"/>
    <n v="2021"/>
  </r>
  <r>
    <s v="C0177"/>
    <s v="Basic"/>
    <d v="2020-12-03T00:00:00"/>
    <d v="2024-12-31T00:00:00"/>
    <n v="15"/>
    <s v="Active"/>
    <s v="Referral"/>
    <s v="Dec-2020"/>
    <s v="Dec-2024"/>
    <x v="5"/>
    <s v="E-commerce"/>
    <s v="Medium"/>
    <n v="2020"/>
  </r>
  <r>
    <s v="C0178"/>
    <s v="Premium"/>
    <d v="2023-10-04T00:00:00"/>
    <d v="2024-12-31T00:00:00"/>
    <n v="40"/>
    <s v="Active"/>
    <s v="Instagram"/>
    <s v="Oct-2023"/>
    <s v="Dec-2024"/>
    <x v="4"/>
    <s v="Finance"/>
    <s v="Medium"/>
    <n v="2023"/>
  </r>
  <r>
    <s v="C0179"/>
    <s v="Premium"/>
    <d v="2021-05-05T00:00:00"/>
    <d v="2024-12-31T00:00:00"/>
    <n v="40"/>
    <s v="Active"/>
    <s v="Referral"/>
    <s v="May-2021"/>
    <s v="Dec-2024"/>
    <x v="4"/>
    <s v="Finance"/>
    <s v="Enterprise"/>
    <n v="2021"/>
  </r>
  <r>
    <s v="C0180"/>
    <s v="Basic"/>
    <d v="2021-01-03T00:00:00"/>
    <d v="2023-01-20T00:00:00"/>
    <n v="15"/>
    <s v="Churned"/>
    <s v="Referral"/>
    <s v="Jan-2021"/>
    <s v="Jan-2023"/>
    <x v="4"/>
    <s v="Finance"/>
    <s v="Large"/>
    <n v="2021"/>
  </r>
  <r>
    <s v="C0181"/>
    <s v="Standard"/>
    <d v="2020-10-19T00:00:00"/>
    <d v="2024-12-31T00:00:00"/>
    <n v="25"/>
    <s v="Active"/>
    <s v="Instagram"/>
    <s v="Oct-2020"/>
    <s v="Dec-2024"/>
    <x v="3"/>
    <s v="Retail"/>
    <s v="Large"/>
    <n v="2020"/>
  </r>
  <r>
    <s v="C0182"/>
    <s v="Standard"/>
    <d v="2020-03-12T00:00:00"/>
    <d v="2024-12-31T00:00:00"/>
    <n v="25"/>
    <s v="Active"/>
    <s v="Facebook"/>
    <s v="Mar-2020"/>
    <s v="Dec-2024"/>
    <x v="0"/>
    <s v="Retail"/>
    <s v="Medium"/>
    <n v="2020"/>
  </r>
  <r>
    <s v="C0183"/>
    <s v="Basic"/>
    <d v="2024-03-31T00:00:00"/>
    <d v="2024-12-31T00:00:00"/>
    <n v="15"/>
    <s v="Churned"/>
    <s v="Facebook"/>
    <s v="Mar-2024"/>
    <s v="Dec-2024"/>
    <x v="3"/>
    <s v="Finance"/>
    <s v="Medium"/>
    <n v="2024"/>
  </r>
  <r>
    <s v="C0184"/>
    <s v="Premium"/>
    <d v="2021-05-25T00:00:00"/>
    <d v="2024-12-31T00:00:00"/>
    <n v="40"/>
    <s v="Active"/>
    <s v="Google"/>
    <s v="May-2021"/>
    <s v="Dec-2024"/>
    <x v="4"/>
    <s v="Retail"/>
    <s v="Enterprise"/>
    <n v="2021"/>
  </r>
  <r>
    <s v="C0185"/>
    <s v="Standard"/>
    <d v="2020-06-08T00:00:00"/>
    <d v="2024-12-31T00:00:00"/>
    <n v="25"/>
    <s v="Active"/>
    <s v="Google"/>
    <s v="Jun-2020"/>
    <s v="Dec-2024"/>
    <x v="5"/>
    <s v="E-commerce"/>
    <s v="Medium"/>
    <n v="2020"/>
  </r>
  <r>
    <s v="C0186"/>
    <s v="Premium"/>
    <d v="2023-01-29T00:00:00"/>
    <d v="2024-12-31T00:00:00"/>
    <n v="40"/>
    <s v="Active"/>
    <s v="LinkedIn"/>
    <s v="Jan-2023"/>
    <s v="Dec-2024"/>
    <x v="2"/>
    <s v="Education"/>
    <s v="Medium"/>
    <n v="2023"/>
  </r>
  <r>
    <s v="C0187"/>
    <s v="Standard"/>
    <d v="2022-01-19T00:00:00"/>
    <d v="2024-12-31T00:00:00"/>
    <n v="25"/>
    <s v="Active"/>
    <s v="LinkedIn"/>
    <s v="Jan-2022"/>
    <s v="Dec-2024"/>
    <x v="5"/>
    <s v="Education"/>
    <s v="Large"/>
    <n v="2022"/>
  </r>
  <r>
    <s v="C0188"/>
    <s v="Standard"/>
    <d v="2020-11-24T00:00:00"/>
    <d v="2022-11-02T00:00:00"/>
    <n v="25"/>
    <s v="Churned"/>
    <s v="Facebook"/>
    <s v="Nov-2020"/>
    <s v="Nov-2022"/>
    <x v="5"/>
    <s v="Retail"/>
    <s v="Large"/>
    <n v="2020"/>
  </r>
  <r>
    <s v="C0189"/>
    <s v="Basic"/>
    <d v="2023-08-24T00:00:00"/>
    <d v="2024-12-31T00:00:00"/>
    <n v="15"/>
    <s v="Churned"/>
    <s v="LinkedIn"/>
    <s v="Aug-2023"/>
    <s v="Dec-2024"/>
    <x v="3"/>
    <s v="Retail"/>
    <s v="Large"/>
    <n v="2023"/>
  </r>
  <r>
    <s v="C0190"/>
    <s v="Basic"/>
    <d v="2021-03-02T00:00:00"/>
    <d v="2024-12-31T00:00:00"/>
    <n v="15"/>
    <s v="Active"/>
    <s v="Instagram"/>
    <s v="Mar-2021"/>
    <s v="Dec-2024"/>
    <x v="1"/>
    <s v="Education"/>
    <s v="Enterprise"/>
    <n v="2021"/>
  </r>
  <r>
    <s v="C0191"/>
    <s v="Standard"/>
    <d v="2020-01-05T00:00:00"/>
    <d v="2024-12-31T00:00:00"/>
    <n v="25"/>
    <s v="Active"/>
    <s v="Google"/>
    <s v="Jan-2020"/>
    <s v="Dec-2024"/>
    <x v="5"/>
    <s v="Education"/>
    <s v="Small"/>
    <n v="2020"/>
  </r>
  <r>
    <s v="C0192"/>
    <s v="Premium"/>
    <d v="2021-02-22T00:00:00"/>
    <d v="2024-12-31T00:00:00"/>
    <n v="40"/>
    <s v="Active"/>
    <s v="Referral"/>
    <s v="Feb-2021"/>
    <s v="Dec-2024"/>
    <x v="3"/>
    <s v="Tech"/>
    <s v="Enterprise"/>
    <n v="2021"/>
  </r>
  <r>
    <s v="C0193"/>
    <s v="Premium"/>
    <d v="2024-03-27T00:00:00"/>
    <d v="2024-12-31T00:00:00"/>
    <n v="40"/>
    <s v="Active"/>
    <s v="Instagram"/>
    <s v="Mar-2024"/>
    <s v="Dec-2024"/>
    <x v="4"/>
    <s v="Tech"/>
    <s v="Small"/>
    <n v="2024"/>
  </r>
  <r>
    <s v="C0194"/>
    <s v="Premium"/>
    <d v="2021-07-19T00:00:00"/>
    <d v="2024-12-31T00:00:00"/>
    <n v="40"/>
    <s v="Active"/>
    <s v="Facebook"/>
    <s v="Jul-2021"/>
    <s v="Dec-2024"/>
    <x v="1"/>
    <s v="Tech"/>
    <s v="Enterprise"/>
    <n v="2021"/>
  </r>
  <r>
    <s v="C0195"/>
    <s v="Premium"/>
    <d v="2020-06-02T00:00:00"/>
    <d v="2024-12-31T00:00:00"/>
    <n v="40"/>
    <s v="Active"/>
    <s v="Google"/>
    <s v="Jun-2020"/>
    <s v="Dec-2024"/>
    <x v="2"/>
    <s v="Tech"/>
    <s v="Medium"/>
    <n v="2020"/>
  </r>
  <r>
    <s v="C0196"/>
    <s v="Standard"/>
    <d v="2024-01-13T00:00:00"/>
    <d v="2024-12-31T00:00:00"/>
    <n v="25"/>
    <s v="Active"/>
    <s v="Facebook"/>
    <s v="Jan-2024"/>
    <s v="Dec-2024"/>
    <x v="2"/>
    <s v="Retail"/>
    <s v="Small"/>
    <n v="2024"/>
  </r>
  <r>
    <s v="C0197"/>
    <s v="Standard"/>
    <d v="2022-04-27T00:00:00"/>
    <d v="2024-12-31T00:00:00"/>
    <n v="25"/>
    <s v="Active"/>
    <s v="Referral"/>
    <s v="Apr-2022"/>
    <s v="Dec-2024"/>
    <x v="4"/>
    <s v="Retail"/>
    <s v="Enterprise"/>
    <n v="2022"/>
  </r>
  <r>
    <s v="C0198"/>
    <s v="Premium"/>
    <d v="2024-05-02T00:00:00"/>
    <d v="2024-12-31T00:00:00"/>
    <n v="40"/>
    <s v="Churned"/>
    <s v="LinkedIn"/>
    <s v="May-2024"/>
    <s v="Dec-2024"/>
    <x v="1"/>
    <s v="Education"/>
    <s v="Large"/>
    <n v="2024"/>
  </r>
  <r>
    <s v="C0199"/>
    <s v="Basic"/>
    <d v="2022-05-25T00:00:00"/>
    <d v="2024-12-31T00:00:00"/>
    <n v="15"/>
    <s v="Active"/>
    <s v="LinkedIn"/>
    <s v="May-2022"/>
    <s v="Dec-2024"/>
    <x v="1"/>
    <s v="Education"/>
    <s v="Enterprise"/>
    <n v="2022"/>
  </r>
  <r>
    <s v="C0200"/>
    <s v="Premium"/>
    <d v="2022-01-28T00:00:00"/>
    <d v="2023-03-28T00:00:00"/>
    <n v="40"/>
    <s v="Churned"/>
    <s v="Facebook"/>
    <s v="Jan-2022"/>
    <s v="Mar-2023"/>
    <x v="3"/>
    <s v="E-commerce"/>
    <s v="Large"/>
    <n v="2022"/>
  </r>
  <r>
    <s v="C0201"/>
    <s v="Premium"/>
    <d v="2021-06-01T00:00:00"/>
    <d v="2024-12-31T00:00:00"/>
    <n v="40"/>
    <s v="Active"/>
    <s v="Google"/>
    <s v="Jun-2021"/>
    <s v="Dec-2024"/>
    <x v="3"/>
    <s v="E-commerce"/>
    <s v="Enterprise"/>
    <n v="2021"/>
  </r>
  <r>
    <s v="C0202"/>
    <s v="Standard"/>
    <d v="2020-02-16T00:00:00"/>
    <d v="2024-12-31T00:00:00"/>
    <n v="25"/>
    <s v="Active"/>
    <s v="Referral"/>
    <s v="Feb-2020"/>
    <s v="Dec-2024"/>
    <x v="3"/>
    <s v="Tech"/>
    <s v="Small"/>
    <n v="2020"/>
  </r>
  <r>
    <s v="C0203"/>
    <s v="Premium"/>
    <d v="2021-12-15T00:00:00"/>
    <d v="2024-12-31T00:00:00"/>
    <n v="40"/>
    <s v="Active"/>
    <s v="Referral"/>
    <s v="Dec-2021"/>
    <s v="Dec-2024"/>
    <x v="1"/>
    <s v="Education"/>
    <s v="Medium"/>
    <n v="2021"/>
  </r>
  <r>
    <s v="C0204"/>
    <s v="Basic"/>
    <d v="2021-03-07T00:00:00"/>
    <d v="2022-07-30T00:00:00"/>
    <n v="15"/>
    <s v="Churned"/>
    <s v="Facebook"/>
    <s v="Mar-2021"/>
    <s v="Jul-2022"/>
    <x v="1"/>
    <s v="Tech"/>
    <s v="Enterprise"/>
    <n v="2021"/>
  </r>
  <r>
    <s v="C0205"/>
    <s v="Standard"/>
    <d v="2023-07-14T00:00:00"/>
    <d v="2024-12-31T00:00:00"/>
    <n v="25"/>
    <s v="Churned"/>
    <s v="LinkedIn"/>
    <s v="Jul-2023"/>
    <s v="Dec-2024"/>
    <x v="3"/>
    <s v="Tech"/>
    <s v="Medium"/>
    <n v="2023"/>
  </r>
  <r>
    <s v="C0206"/>
    <s v="Standard"/>
    <d v="2024-05-20T00:00:00"/>
    <d v="2024-12-31T00:00:00"/>
    <n v="25"/>
    <s v="Active"/>
    <s v="Referral"/>
    <s v="May-2024"/>
    <s v="Dec-2024"/>
    <x v="5"/>
    <s v="Tech"/>
    <s v="Enterprise"/>
    <n v="2024"/>
  </r>
  <r>
    <s v="C0207"/>
    <s v="Premium"/>
    <d v="2021-10-28T00:00:00"/>
    <d v="2022-09-25T00:00:00"/>
    <n v="40"/>
    <s v="Churned"/>
    <s v="Google"/>
    <s v="Oct-2021"/>
    <s v="Sep-2022"/>
    <x v="5"/>
    <s v="Healthcare"/>
    <s v="Large"/>
    <n v="2021"/>
  </r>
  <r>
    <s v="C0208"/>
    <s v="Basic"/>
    <d v="2023-02-18T00:00:00"/>
    <d v="2023-08-19T00:00:00"/>
    <n v="15"/>
    <s v="Churned"/>
    <s v="LinkedIn"/>
    <s v="Feb-2023"/>
    <s v="Aug-2023"/>
    <x v="5"/>
    <s v="Finance"/>
    <s v="Large"/>
    <n v="2023"/>
  </r>
  <r>
    <s v="C0209"/>
    <s v="Premium"/>
    <d v="2022-05-26T00:00:00"/>
    <d v="2024-12-31T00:00:00"/>
    <n v="40"/>
    <s v="Active"/>
    <s v="Instagram"/>
    <s v="May-2022"/>
    <s v="Dec-2024"/>
    <x v="4"/>
    <s v="Education"/>
    <s v="Medium"/>
    <n v="2022"/>
  </r>
  <r>
    <s v="C0210"/>
    <s v="Basic"/>
    <d v="2023-11-16T00:00:00"/>
    <d v="2024-12-31T00:00:00"/>
    <n v="15"/>
    <s v="Active"/>
    <s v="Instagram"/>
    <s v="Nov-2023"/>
    <s v="Dec-2024"/>
    <x v="0"/>
    <s v="Education"/>
    <s v="Large"/>
    <n v="2023"/>
  </r>
  <r>
    <s v="C0211"/>
    <s v="Standard"/>
    <d v="2022-12-21T00:00:00"/>
    <d v="2024-12-31T00:00:00"/>
    <n v="25"/>
    <s v="Active"/>
    <s v="Facebook"/>
    <s v="Dec-2022"/>
    <s v="Dec-2024"/>
    <x v="5"/>
    <s v="Healthcare"/>
    <s v="Small"/>
    <n v="2022"/>
  </r>
  <r>
    <s v="C0212"/>
    <s v="Premium"/>
    <d v="2020-08-24T00:00:00"/>
    <d v="2021-12-17T00:00:00"/>
    <n v="40"/>
    <s v="Churned"/>
    <s v="Instagram"/>
    <s v="Aug-2020"/>
    <s v="Dec-2021"/>
    <x v="3"/>
    <s v="Finance"/>
    <s v="Large"/>
    <n v="2020"/>
  </r>
  <r>
    <s v="C0213"/>
    <s v="Standard"/>
    <d v="2022-02-28T00:00:00"/>
    <d v="2024-12-31T00:00:00"/>
    <n v="25"/>
    <s v="Active"/>
    <s v="Google"/>
    <s v="Feb-2022"/>
    <s v="Dec-2024"/>
    <x v="4"/>
    <s v="Retail"/>
    <s v="Enterprise"/>
    <n v="2022"/>
  </r>
  <r>
    <s v="C0214"/>
    <s v="Basic"/>
    <d v="2022-05-25T00:00:00"/>
    <d v="2024-12-31T00:00:00"/>
    <n v="15"/>
    <s v="Active"/>
    <s v="Google"/>
    <s v="May-2022"/>
    <s v="Dec-2024"/>
    <x v="3"/>
    <s v="Education"/>
    <s v="Large"/>
    <n v="2022"/>
  </r>
  <r>
    <s v="C0215"/>
    <s v="Basic"/>
    <d v="2022-07-15T00:00:00"/>
    <d v="2024-12-31T00:00:00"/>
    <n v="15"/>
    <s v="Active"/>
    <s v="Facebook"/>
    <s v="Jul-2022"/>
    <s v="Dec-2024"/>
    <x v="0"/>
    <s v="Tech"/>
    <s v="Large"/>
    <n v="2022"/>
  </r>
  <r>
    <s v="C0216"/>
    <s v="Basic"/>
    <d v="2020-11-01T00:00:00"/>
    <d v="2024-12-31T00:00:00"/>
    <n v="15"/>
    <s v="Active"/>
    <s v="LinkedIn"/>
    <s v="Nov-2020"/>
    <s v="Dec-2024"/>
    <x v="5"/>
    <s v="Finance"/>
    <s v="Medium"/>
    <n v="2020"/>
  </r>
  <r>
    <s v="C0217"/>
    <s v="Premium"/>
    <d v="2023-09-08T00:00:00"/>
    <d v="2024-04-20T00:00:00"/>
    <n v="40"/>
    <s v="Churned"/>
    <s v="LinkedIn"/>
    <s v="Sep-2023"/>
    <s v="Apr-2024"/>
    <x v="3"/>
    <s v="Tech"/>
    <s v="Large"/>
    <n v="2023"/>
  </r>
  <r>
    <s v="C0218"/>
    <s v="Standard"/>
    <d v="2023-12-11T00:00:00"/>
    <d v="2024-12-31T00:00:00"/>
    <n v="25"/>
    <s v="Active"/>
    <s v="Referral"/>
    <s v="Dec-2023"/>
    <s v="Dec-2024"/>
    <x v="1"/>
    <s v="Healthcare"/>
    <s v="Medium"/>
    <n v="2023"/>
  </r>
  <r>
    <s v="C0219"/>
    <s v="Standard"/>
    <d v="2022-02-20T00:00:00"/>
    <d v="2024-12-31T00:00:00"/>
    <n v="25"/>
    <s v="Active"/>
    <s v="Facebook"/>
    <s v="Feb-2022"/>
    <s v="Dec-2024"/>
    <x v="4"/>
    <s v="Education"/>
    <s v="Enterprise"/>
    <n v="2022"/>
  </r>
  <r>
    <s v="C0220"/>
    <s v="Basic"/>
    <d v="2023-08-04T00:00:00"/>
    <d v="2024-11-08T00:00:00"/>
    <n v="15"/>
    <s v="Churned"/>
    <s v="Instagram"/>
    <s v="Aug-2023"/>
    <s v="Nov-2024"/>
    <x v="5"/>
    <s v="Tech"/>
    <s v="Enterprise"/>
    <n v="2023"/>
  </r>
  <r>
    <s v="C0221"/>
    <s v="Standard"/>
    <d v="2021-07-22T00:00:00"/>
    <d v="2024-12-31T00:00:00"/>
    <n v="25"/>
    <s v="Active"/>
    <s v="Instagram"/>
    <s v="Jul-2021"/>
    <s v="Dec-2024"/>
    <x v="4"/>
    <s v="Tech"/>
    <s v="Large"/>
    <n v="2021"/>
  </r>
  <r>
    <s v="C0222"/>
    <s v="Premium"/>
    <d v="2021-09-04T00:00:00"/>
    <d v="2023-04-03T00:00:00"/>
    <n v="40"/>
    <s v="Churned"/>
    <s v="Facebook"/>
    <s v="Sep-2021"/>
    <s v="Apr-2023"/>
    <x v="1"/>
    <s v="Healthcare"/>
    <s v="Large"/>
    <n v="2021"/>
  </r>
  <r>
    <s v="C0223"/>
    <s v="Basic"/>
    <d v="2024-04-05T00:00:00"/>
    <d v="2024-10-08T00:00:00"/>
    <n v="15"/>
    <s v="Churned"/>
    <s v="Facebook"/>
    <s v="Apr-2024"/>
    <s v="Oct-2024"/>
    <x v="5"/>
    <s v="E-commerce"/>
    <s v="Enterprise"/>
    <n v="2024"/>
  </r>
  <r>
    <s v="C0224"/>
    <s v="Basic"/>
    <d v="2022-08-07T00:00:00"/>
    <d v="2024-12-31T00:00:00"/>
    <n v="15"/>
    <s v="Active"/>
    <s v="Facebook"/>
    <s v="Aug-2022"/>
    <s v="Dec-2024"/>
    <x v="3"/>
    <s v="Tech"/>
    <s v="Small"/>
    <n v="2022"/>
  </r>
  <r>
    <s v="C0225"/>
    <s v="Premium"/>
    <d v="2020-03-21T00:00:00"/>
    <d v="2021-12-05T00:00:00"/>
    <n v="40"/>
    <s v="Churned"/>
    <s v="Facebook"/>
    <s v="Mar-2020"/>
    <s v="Dec-2021"/>
    <x v="3"/>
    <s v="Finance"/>
    <s v="Medium"/>
    <n v="2020"/>
  </r>
  <r>
    <s v="C0226"/>
    <s v="Premium"/>
    <d v="2023-12-23T00:00:00"/>
    <d v="2024-12-31T00:00:00"/>
    <n v="40"/>
    <s v="Active"/>
    <s v="LinkedIn"/>
    <s v="Dec-2023"/>
    <s v="Dec-2024"/>
    <x v="2"/>
    <s v="Education"/>
    <s v="Medium"/>
    <n v="2023"/>
  </r>
  <r>
    <s v="C0227"/>
    <s v="Standard"/>
    <d v="2022-05-10T00:00:00"/>
    <d v="2024-12-31T00:00:00"/>
    <n v="25"/>
    <s v="Active"/>
    <s v="Instagram"/>
    <s v="May-2022"/>
    <s v="Dec-2024"/>
    <x v="5"/>
    <s v="Healthcare"/>
    <s v="Enterprise"/>
    <n v="2022"/>
  </r>
  <r>
    <s v="C0228"/>
    <s v="Standard"/>
    <d v="2020-02-29T00:00:00"/>
    <d v="2024-12-31T00:00:00"/>
    <n v="25"/>
    <s v="Active"/>
    <s v="Facebook"/>
    <s v="Feb-2020"/>
    <s v="Dec-2024"/>
    <x v="4"/>
    <s v="Healthcare"/>
    <s v="Small"/>
    <n v="2020"/>
  </r>
  <r>
    <s v="C0229"/>
    <s v="Standard"/>
    <d v="2022-11-30T00:00:00"/>
    <d v="2023-04-27T00:00:00"/>
    <n v="25"/>
    <s v="Churned"/>
    <s v="LinkedIn"/>
    <s v="Nov-2022"/>
    <s v="Apr-2023"/>
    <x v="0"/>
    <s v="E-commerce"/>
    <s v="Small"/>
    <n v="2022"/>
  </r>
  <r>
    <s v="C0230"/>
    <s v="Premium"/>
    <d v="2022-07-26T00:00:00"/>
    <d v="2024-12-31T00:00:00"/>
    <n v="40"/>
    <s v="Active"/>
    <s v="Facebook"/>
    <s v="Jul-2022"/>
    <s v="Dec-2024"/>
    <x v="2"/>
    <s v="Tech"/>
    <s v="Small"/>
    <n v="2022"/>
  </r>
  <r>
    <s v="C0231"/>
    <s v="Basic"/>
    <d v="2022-10-16T00:00:00"/>
    <d v="2024-12-31T00:00:00"/>
    <n v="15"/>
    <s v="Active"/>
    <s v="Google"/>
    <s v="Oct-2022"/>
    <s v="Dec-2024"/>
    <x v="5"/>
    <s v="Finance"/>
    <s v="Enterprise"/>
    <n v="2022"/>
  </r>
  <r>
    <s v="C0232"/>
    <s v="Standard"/>
    <d v="2022-05-16T00:00:00"/>
    <d v="2024-12-31T00:00:00"/>
    <n v="25"/>
    <s v="Active"/>
    <s v="Instagram"/>
    <s v="May-2022"/>
    <s v="Dec-2024"/>
    <x v="1"/>
    <s v="Finance"/>
    <s v="Medium"/>
    <n v="2022"/>
  </r>
  <r>
    <s v="C0233"/>
    <s v="Premium"/>
    <d v="2020-01-24T00:00:00"/>
    <d v="2024-12-31T00:00:00"/>
    <n v="40"/>
    <s v="Active"/>
    <s v="Referral"/>
    <s v="Jan-2020"/>
    <s v="Dec-2024"/>
    <x v="5"/>
    <s v="Healthcare"/>
    <s v="Small"/>
    <n v="2020"/>
  </r>
  <r>
    <s v="C0234"/>
    <s v="Premium"/>
    <d v="2023-07-06T00:00:00"/>
    <d v="2024-12-31T00:00:00"/>
    <n v="40"/>
    <s v="Active"/>
    <s v="LinkedIn"/>
    <s v="Jul-2023"/>
    <s v="Dec-2024"/>
    <x v="0"/>
    <s v="E-commerce"/>
    <s v="Small"/>
    <n v="2023"/>
  </r>
  <r>
    <s v="C0235"/>
    <s v="Basic"/>
    <d v="2021-10-01T00:00:00"/>
    <d v="2024-12-31T00:00:00"/>
    <n v="15"/>
    <s v="Active"/>
    <s v="Instagram"/>
    <s v="Oct-2021"/>
    <s v="Dec-2024"/>
    <x v="3"/>
    <s v="Education"/>
    <s v="Small"/>
    <n v="2021"/>
  </r>
  <r>
    <s v="C0236"/>
    <s v="Basic"/>
    <d v="2020-08-20T00:00:00"/>
    <d v="2024-12-31T00:00:00"/>
    <n v="15"/>
    <s v="Active"/>
    <s v="Instagram"/>
    <s v="Aug-2020"/>
    <s v="Dec-2024"/>
    <x v="0"/>
    <s v="Healthcare"/>
    <s v="Medium"/>
    <n v="2020"/>
  </r>
  <r>
    <s v="C0237"/>
    <s v="Standard"/>
    <d v="2023-06-13T00:00:00"/>
    <d v="2024-12-31T00:00:00"/>
    <n v="25"/>
    <s v="Active"/>
    <s v="Instagram"/>
    <s v="Jun-2023"/>
    <s v="Dec-2024"/>
    <x v="2"/>
    <s v="Education"/>
    <s v="Medium"/>
    <n v="2023"/>
  </r>
  <r>
    <s v="C0238"/>
    <s v="Standard"/>
    <d v="2022-12-31T00:00:00"/>
    <d v="2024-08-17T00:00:00"/>
    <n v="25"/>
    <s v="Churned"/>
    <s v="Google"/>
    <s v="Dec-2022"/>
    <s v="Aug-2024"/>
    <x v="4"/>
    <s v="Finance"/>
    <s v="Enterprise"/>
    <n v="2022"/>
  </r>
  <r>
    <s v="C0239"/>
    <s v="Standard"/>
    <d v="2022-05-22T00:00:00"/>
    <d v="2024-12-31T00:00:00"/>
    <n v="25"/>
    <s v="Active"/>
    <s v="LinkedIn"/>
    <s v="May-2022"/>
    <s v="Dec-2024"/>
    <x v="1"/>
    <s v="Tech"/>
    <s v="Small"/>
    <n v="2022"/>
  </r>
  <r>
    <s v="C0240"/>
    <s v="Basic"/>
    <d v="2021-05-24T00:00:00"/>
    <d v="2022-07-08T00:00:00"/>
    <n v="15"/>
    <s v="Churned"/>
    <s v="Facebook"/>
    <s v="May-2021"/>
    <s v="Jul-2022"/>
    <x v="5"/>
    <s v="Education"/>
    <s v="Medium"/>
    <n v="2021"/>
  </r>
  <r>
    <s v="C0241"/>
    <s v="Premium"/>
    <d v="2021-03-29T00:00:00"/>
    <d v="2024-12-31T00:00:00"/>
    <n v="40"/>
    <s v="Active"/>
    <s v="LinkedIn"/>
    <s v="Mar-2021"/>
    <s v="Dec-2024"/>
    <x v="3"/>
    <s v="E-commerce"/>
    <s v="Medium"/>
    <n v="2021"/>
  </r>
  <r>
    <s v="C0242"/>
    <s v="Premium"/>
    <d v="2021-08-29T00:00:00"/>
    <d v="2023-04-11T00:00:00"/>
    <n v="40"/>
    <s v="Churned"/>
    <s v="Referral"/>
    <s v="Aug-2021"/>
    <s v="Apr-2023"/>
    <x v="2"/>
    <s v="Education"/>
    <s v="Enterprise"/>
    <n v="2021"/>
  </r>
  <r>
    <s v="C0243"/>
    <s v="Premium"/>
    <d v="2020-08-03T00:00:00"/>
    <d v="2022-01-12T00:00:00"/>
    <n v="40"/>
    <s v="Churned"/>
    <s v="Google"/>
    <s v="Aug-2020"/>
    <s v="Jan-2022"/>
    <x v="5"/>
    <s v="Finance"/>
    <s v="Large"/>
    <n v="2020"/>
  </r>
  <r>
    <s v="C0244"/>
    <s v="Premium"/>
    <d v="2023-08-31T00:00:00"/>
    <d v="2024-12-31T00:00:00"/>
    <n v="40"/>
    <s v="Active"/>
    <s v="Referral"/>
    <s v="Aug-2023"/>
    <s v="Dec-2024"/>
    <x v="1"/>
    <s v="E-commerce"/>
    <s v="Medium"/>
    <n v="2023"/>
  </r>
  <r>
    <s v="C0245"/>
    <s v="Standard"/>
    <d v="2022-04-01T00:00:00"/>
    <d v="2024-12-31T00:00:00"/>
    <n v="25"/>
    <s v="Active"/>
    <s v="Google"/>
    <s v="Apr-2022"/>
    <s v="Dec-2024"/>
    <x v="1"/>
    <s v="Healthcare"/>
    <s v="Enterprise"/>
    <n v="2022"/>
  </r>
  <r>
    <s v="C0246"/>
    <s v="Standard"/>
    <d v="2024-01-22T00:00:00"/>
    <d v="2024-12-31T00:00:00"/>
    <n v="25"/>
    <s v="Active"/>
    <s v="LinkedIn"/>
    <s v="Jan-2024"/>
    <s v="Dec-2024"/>
    <x v="4"/>
    <s v="Tech"/>
    <s v="Large"/>
    <n v="2024"/>
  </r>
  <r>
    <s v="C0247"/>
    <s v="Premium"/>
    <d v="2020-02-27T00:00:00"/>
    <d v="2024-12-31T00:00:00"/>
    <n v="40"/>
    <s v="Active"/>
    <s v="LinkedIn"/>
    <s v="Feb-2020"/>
    <s v="Dec-2024"/>
    <x v="0"/>
    <s v="Retail"/>
    <s v="Medium"/>
    <n v="2020"/>
  </r>
  <r>
    <s v="C0248"/>
    <s v="Basic"/>
    <d v="2021-10-26T00:00:00"/>
    <d v="2024-12-31T00:00:00"/>
    <n v="15"/>
    <s v="Active"/>
    <s v="Instagram"/>
    <s v="Oct-2021"/>
    <s v="Dec-2024"/>
    <x v="5"/>
    <s v="Education"/>
    <s v="Enterprise"/>
    <n v="2021"/>
  </r>
  <r>
    <s v="C0249"/>
    <s v="Basic"/>
    <d v="2020-02-04T00:00:00"/>
    <d v="2024-12-31T00:00:00"/>
    <n v="15"/>
    <s v="Active"/>
    <s v="Instagram"/>
    <s v="Feb-2020"/>
    <s v="Dec-2024"/>
    <x v="3"/>
    <s v="E-commerce"/>
    <s v="Enterprise"/>
    <n v="2020"/>
  </r>
  <r>
    <s v="C0250"/>
    <s v="Standard"/>
    <d v="2020-03-28T00:00:00"/>
    <d v="2024-12-31T00:00:00"/>
    <n v="25"/>
    <s v="Active"/>
    <s v="Facebook"/>
    <s v="Mar-2020"/>
    <s v="Dec-2024"/>
    <x v="4"/>
    <s v="Tech"/>
    <s v="Enterprise"/>
    <n v="2020"/>
  </r>
  <r>
    <s v="C0251"/>
    <s v="Basic"/>
    <d v="2021-09-06T00:00:00"/>
    <d v="2023-04-10T00:00:00"/>
    <n v="15"/>
    <s v="Churned"/>
    <s v="Facebook"/>
    <s v="Sep-2021"/>
    <s v="Apr-2023"/>
    <x v="2"/>
    <s v="Healthcare"/>
    <s v="Large"/>
    <n v="2021"/>
  </r>
  <r>
    <s v="C0252"/>
    <s v="Premium"/>
    <d v="2022-06-21T00:00:00"/>
    <d v="2023-11-23T00:00:00"/>
    <n v="40"/>
    <s v="Churned"/>
    <s v="Facebook"/>
    <s v="Jun-2022"/>
    <s v="Nov-2023"/>
    <x v="1"/>
    <s v="Finance"/>
    <s v="Medium"/>
    <n v="2022"/>
  </r>
  <r>
    <s v="C0253"/>
    <s v="Premium"/>
    <d v="2024-03-15T00:00:00"/>
    <d v="2024-12-31T00:00:00"/>
    <n v="40"/>
    <s v="Churned"/>
    <s v="Instagram"/>
    <s v="Mar-2024"/>
    <s v="Dec-2024"/>
    <x v="4"/>
    <s v="Retail"/>
    <s v="Small"/>
    <n v="2024"/>
  </r>
  <r>
    <s v="C0254"/>
    <s v="Standard"/>
    <d v="2020-10-24T00:00:00"/>
    <d v="2024-12-31T00:00:00"/>
    <n v="25"/>
    <s v="Active"/>
    <s v="Instagram"/>
    <s v="Oct-2020"/>
    <s v="Dec-2024"/>
    <x v="3"/>
    <s v="Healthcare"/>
    <s v="Medium"/>
    <n v="2020"/>
  </r>
  <r>
    <s v="C0255"/>
    <s v="Standard"/>
    <d v="2021-01-07T00:00:00"/>
    <d v="2024-12-31T00:00:00"/>
    <n v="25"/>
    <s v="Active"/>
    <s v="Facebook"/>
    <s v="Jan-2021"/>
    <s v="Dec-2024"/>
    <x v="1"/>
    <s v="Healthcare"/>
    <s v="Large"/>
    <n v="2021"/>
  </r>
  <r>
    <s v="C0256"/>
    <s v="Premium"/>
    <d v="2020-06-06T00:00:00"/>
    <d v="2021-07-11T00:00:00"/>
    <n v="40"/>
    <s v="Churned"/>
    <s v="LinkedIn"/>
    <s v="Jun-2020"/>
    <s v="Jul-2021"/>
    <x v="3"/>
    <s v="Retail"/>
    <s v="Large"/>
    <n v="2020"/>
  </r>
  <r>
    <s v="C0257"/>
    <s v="Standard"/>
    <d v="2022-09-19T00:00:00"/>
    <d v="2024-12-31T00:00:00"/>
    <n v="25"/>
    <s v="Active"/>
    <s v="Facebook"/>
    <s v="Sep-2022"/>
    <s v="Dec-2024"/>
    <x v="5"/>
    <s v="Retail"/>
    <s v="Enterprise"/>
    <n v="2022"/>
  </r>
  <r>
    <s v="C0258"/>
    <s v="Standard"/>
    <d v="2023-01-19T00:00:00"/>
    <d v="2024-12-31T00:00:00"/>
    <n v="25"/>
    <s v="Active"/>
    <s v="Referral"/>
    <s v="Jan-2023"/>
    <s v="Dec-2024"/>
    <x v="1"/>
    <s v="Education"/>
    <s v="Enterprise"/>
    <n v="2023"/>
  </r>
  <r>
    <s v="C0259"/>
    <s v="Standard"/>
    <d v="2020-08-19T00:00:00"/>
    <d v="2022-11-04T00:00:00"/>
    <n v="25"/>
    <s v="Churned"/>
    <s v="Facebook"/>
    <s v="Aug-2020"/>
    <s v="Nov-2022"/>
    <x v="0"/>
    <s v="Tech"/>
    <s v="Medium"/>
    <n v="2020"/>
  </r>
  <r>
    <s v="C0260"/>
    <s v="Basic"/>
    <d v="2020-03-07T00:00:00"/>
    <d v="2024-12-31T00:00:00"/>
    <n v="15"/>
    <s v="Active"/>
    <s v="Instagram"/>
    <s v="Mar-2020"/>
    <s v="Dec-2024"/>
    <x v="4"/>
    <s v="Finance"/>
    <s v="Small"/>
    <n v="2020"/>
  </r>
  <r>
    <s v="C0261"/>
    <s v="Basic"/>
    <d v="2022-04-19T00:00:00"/>
    <d v="2024-12-31T00:00:00"/>
    <n v="15"/>
    <s v="Active"/>
    <s v="Referral"/>
    <s v="Apr-2022"/>
    <s v="Dec-2024"/>
    <x v="2"/>
    <s v="Retail"/>
    <s v="Large"/>
    <n v="2022"/>
  </r>
  <r>
    <s v="C0262"/>
    <s v="Premium"/>
    <d v="2021-09-03T00:00:00"/>
    <d v="2022-03-15T00:00:00"/>
    <n v="40"/>
    <s v="Churned"/>
    <s v="Google"/>
    <s v="Sep-2021"/>
    <s v="Mar-2022"/>
    <x v="1"/>
    <s v="Finance"/>
    <s v="Medium"/>
    <n v="2021"/>
  </r>
  <r>
    <s v="C0263"/>
    <s v="Basic"/>
    <d v="2022-09-15T00:00:00"/>
    <d v="2024-12-31T00:00:00"/>
    <n v="15"/>
    <s v="Active"/>
    <s v="Referral"/>
    <s v="Sep-2022"/>
    <s v="Dec-2024"/>
    <x v="1"/>
    <s v="Finance"/>
    <s v="Enterprise"/>
    <n v="2022"/>
  </r>
  <r>
    <s v="C0264"/>
    <s v="Premium"/>
    <d v="2022-10-08T00:00:00"/>
    <d v="2024-12-31T00:00:00"/>
    <n v="40"/>
    <s v="Active"/>
    <s v="LinkedIn"/>
    <s v="Oct-2022"/>
    <s v="Dec-2024"/>
    <x v="1"/>
    <s v="Finance"/>
    <s v="Enterprise"/>
    <n v="2022"/>
  </r>
  <r>
    <s v="C0265"/>
    <s v="Premium"/>
    <d v="2020-07-04T00:00:00"/>
    <d v="2022-05-05T00:00:00"/>
    <n v="40"/>
    <s v="Churned"/>
    <s v="Referral"/>
    <s v="Jul-2020"/>
    <s v="May-2022"/>
    <x v="3"/>
    <s v="Retail"/>
    <s v="Enterprise"/>
    <n v="2020"/>
  </r>
  <r>
    <s v="C0266"/>
    <s v="Standard"/>
    <d v="2021-05-07T00:00:00"/>
    <d v="2024-12-31T00:00:00"/>
    <n v="25"/>
    <s v="Active"/>
    <s v="Facebook"/>
    <s v="May-2021"/>
    <s v="Dec-2024"/>
    <x v="2"/>
    <s v="Retail"/>
    <s v="Small"/>
    <n v="2021"/>
  </r>
  <r>
    <s v="C0267"/>
    <s v="Standard"/>
    <d v="2021-10-02T00:00:00"/>
    <d v="2024-12-31T00:00:00"/>
    <n v="25"/>
    <s v="Active"/>
    <s v="Referral"/>
    <s v="Oct-2021"/>
    <s v="Dec-2024"/>
    <x v="3"/>
    <s v="E-commerce"/>
    <s v="Enterprise"/>
    <n v="2021"/>
  </r>
  <r>
    <s v="C0268"/>
    <s v="Basic"/>
    <d v="2022-01-04T00:00:00"/>
    <d v="2024-12-31T00:00:00"/>
    <n v="15"/>
    <s v="Active"/>
    <s v="Instagram"/>
    <s v="Jan-2022"/>
    <s v="Dec-2024"/>
    <x v="0"/>
    <s v="E-commerce"/>
    <s v="Small"/>
    <n v="2022"/>
  </r>
  <r>
    <s v="C0269"/>
    <s v="Basic"/>
    <d v="2022-09-17T00:00:00"/>
    <d v="2024-12-31T00:00:00"/>
    <n v="15"/>
    <s v="Active"/>
    <s v="Facebook"/>
    <s v="Sep-2022"/>
    <s v="Dec-2024"/>
    <x v="1"/>
    <s v="Education"/>
    <s v="Enterprise"/>
    <n v="2022"/>
  </r>
  <r>
    <s v="C0270"/>
    <s v="Standard"/>
    <d v="2020-03-10T00:00:00"/>
    <d v="2024-12-31T00:00:00"/>
    <n v="25"/>
    <s v="Active"/>
    <s v="Instagram"/>
    <s v="Mar-2020"/>
    <s v="Dec-2024"/>
    <x v="1"/>
    <s v="Healthcare"/>
    <s v="Enterprise"/>
    <n v="2020"/>
  </r>
  <r>
    <s v="C0271"/>
    <s v="Standard"/>
    <d v="2022-10-28T00:00:00"/>
    <d v="2024-12-01T00:00:00"/>
    <n v="25"/>
    <s v="Churned"/>
    <s v="Google"/>
    <s v="Oct-2022"/>
    <s v="Dec-2024"/>
    <x v="4"/>
    <s v="Tech"/>
    <s v="Enterprise"/>
    <n v="2022"/>
  </r>
  <r>
    <s v="C0272"/>
    <s v="Standard"/>
    <d v="2024-01-20T00:00:00"/>
    <d v="2024-12-31T00:00:00"/>
    <n v="25"/>
    <s v="Active"/>
    <s v="Referral"/>
    <s v="Jan-2024"/>
    <s v="Dec-2024"/>
    <x v="1"/>
    <s v="Healthcare"/>
    <s v="Enterprise"/>
    <n v="2024"/>
  </r>
  <r>
    <s v="C0273"/>
    <s v="Premium"/>
    <d v="2020-10-25T00:00:00"/>
    <d v="2021-02-26T00:00:00"/>
    <n v="40"/>
    <s v="Churned"/>
    <s v="Instagram"/>
    <s v="Oct-2020"/>
    <s v="Feb-2021"/>
    <x v="4"/>
    <s v="Education"/>
    <s v="Large"/>
    <n v="2020"/>
  </r>
  <r>
    <s v="C0274"/>
    <s v="Premium"/>
    <d v="2021-10-21T00:00:00"/>
    <d v="2024-12-31T00:00:00"/>
    <n v="40"/>
    <s v="Active"/>
    <s v="Referral"/>
    <s v="Oct-2021"/>
    <s v="Dec-2024"/>
    <x v="0"/>
    <s v="Finance"/>
    <s v="Enterprise"/>
    <n v="2021"/>
  </r>
  <r>
    <s v="C0275"/>
    <s v="Basic"/>
    <d v="2022-07-13T00:00:00"/>
    <d v="2024-12-31T00:00:00"/>
    <n v="15"/>
    <s v="Active"/>
    <s v="LinkedIn"/>
    <s v="Jul-2022"/>
    <s v="Dec-2024"/>
    <x v="4"/>
    <s v="Healthcare"/>
    <s v="Small"/>
    <n v="2022"/>
  </r>
  <r>
    <s v="C0276"/>
    <s v="Standard"/>
    <d v="2023-12-18T00:00:00"/>
    <d v="2024-04-28T00:00:00"/>
    <n v="25"/>
    <s v="Churned"/>
    <s v="Instagram"/>
    <s v="Dec-2023"/>
    <s v="Apr-2024"/>
    <x v="5"/>
    <s v="E-commerce"/>
    <s v="Large"/>
    <n v="2023"/>
  </r>
  <r>
    <s v="C0277"/>
    <s v="Standard"/>
    <d v="2022-06-04T00:00:00"/>
    <d v="2024-12-31T00:00:00"/>
    <n v="25"/>
    <s v="Active"/>
    <s v="Google"/>
    <s v="Jun-2022"/>
    <s v="Dec-2024"/>
    <x v="1"/>
    <s v="Healthcare"/>
    <s v="Enterprise"/>
    <n v="2022"/>
  </r>
  <r>
    <s v="C0278"/>
    <s v="Premium"/>
    <d v="2020-01-19T00:00:00"/>
    <d v="2021-04-26T00:00:00"/>
    <n v="40"/>
    <s v="Churned"/>
    <s v="Facebook"/>
    <s v="Jan-2020"/>
    <s v="Apr-2021"/>
    <x v="5"/>
    <s v="E-commerce"/>
    <s v="Large"/>
    <n v="2020"/>
  </r>
  <r>
    <s v="C0279"/>
    <s v="Basic"/>
    <d v="2023-04-25T00:00:00"/>
    <d v="2024-12-31T00:00:00"/>
    <n v="15"/>
    <s v="Active"/>
    <s v="Facebook"/>
    <s v="Apr-2023"/>
    <s v="Dec-2024"/>
    <x v="2"/>
    <s v="Retail"/>
    <s v="Medium"/>
    <n v="2023"/>
  </r>
  <r>
    <s v="C0280"/>
    <s v="Basic"/>
    <d v="2023-07-03T00:00:00"/>
    <d v="2024-12-31T00:00:00"/>
    <n v="15"/>
    <s v="Churned"/>
    <s v="Google"/>
    <s v="Jul-2023"/>
    <s v="Dec-2024"/>
    <x v="0"/>
    <s v="Education"/>
    <s v="Small"/>
    <n v="2023"/>
  </r>
  <r>
    <s v="C0281"/>
    <s v="Basic"/>
    <d v="2024-02-05T00:00:00"/>
    <d v="2024-12-31T00:00:00"/>
    <n v="15"/>
    <s v="Active"/>
    <s v="Google"/>
    <s v="Feb-2024"/>
    <s v="Dec-2024"/>
    <x v="3"/>
    <s v="Tech"/>
    <s v="Small"/>
    <n v="2024"/>
  </r>
  <r>
    <s v="C0282"/>
    <s v="Premium"/>
    <d v="2020-11-28T00:00:00"/>
    <d v="2022-11-19T00:00:00"/>
    <n v="40"/>
    <s v="Churned"/>
    <s v="LinkedIn"/>
    <s v="Nov-2020"/>
    <s v="Nov-2022"/>
    <x v="5"/>
    <s v="E-commerce"/>
    <s v="Small"/>
    <n v="2020"/>
  </r>
  <r>
    <s v="C0283"/>
    <s v="Standard"/>
    <d v="2020-04-18T00:00:00"/>
    <d v="2022-05-20T00:00:00"/>
    <n v="25"/>
    <s v="Churned"/>
    <s v="Referral"/>
    <s v="Apr-2020"/>
    <s v="May-2022"/>
    <x v="3"/>
    <s v="Education"/>
    <s v="Medium"/>
    <n v="2020"/>
  </r>
  <r>
    <s v="C0284"/>
    <s v="Standard"/>
    <d v="2021-10-15T00:00:00"/>
    <d v="2023-09-29T00:00:00"/>
    <n v="25"/>
    <s v="Churned"/>
    <s v="Facebook"/>
    <s v="Oct-2021"/>
    <s v="Sep-2023"/>
    <x v="3"/>
    <s v="Tech"/>
    <s v="Medium"/>
    <n v="2021"/>
  </r>
  <r>
    <s v="C0285"/>
    <s v="Standard"/>
    <d v="2023-08-08T00:00:00"/>
    <d v="2024-12-31T00:00:00"/>
    <n v="25"/>
    <s v="Active"/>
    <s v="Facebook"/>
    <s v="Aug-2023"/>
    <s v="Dec-2024"/>
    <x v="5"/>
    <s v="Finance"/>
    <s v="Large"/>
    <n v="2023"/>
  </r>
  <r>
    <s v="C0286"/>
    <s v="Basic"/>
    <d v="2024-07-02T00:00:00"/>
    <d v="2024-12-31T00:00:00"/>
    <n v="15"/>
    <s v="Active"/>
    <s v="Referral"/>
    <s v="Jul-2024"/>
    <s v="Dec-2024"/>
    <x v="3"/>
    <s v="Retail"/>
    <s v="Large"/>
    <n v="2024"/>
  </r>
  <r>
    <s v="C0287"/>
    <s v="Basic"/>
    <d v="2021-06-27T00:00:00"/>
    <d v="2023-02-20T00:00:00"/>
    <n v="15"/>
    <s v="Churned"/>
    <s v="Referral"/>
    <s v="Jun-2021"/>
    <s v="Feb-2023"/>
    <x v="5"/>
    <s v="Tech"/>
    <s v="Medium"/>
    <n v="2021"/>
  </r>
  <r>
    <s v="C0288"/>
    <s v="Basic"/>
    <d v="2021-08-14T00:00:00"/>
    <d v="2024-12-31T00:00:00"/>
    <n v="15"/>
    <s v="Active"/>
    <s v="Facebook"/>
    <s v="Aug-2021"/>
    <s v="Dec-2024"/>
    <x v="1"/>
    <s v="Tech"/>
    <s v="Enterprise"/>
    <n v="2021"/>
  </r>
  <r>
    <s v="C0289"/>
    <s v="Standard"/>
    <d v="2024-01-08T00:00:00"/>
    <d v="2024-12-31T00:00:00"/>
    <n v="25"/>
    <s v="Active"/>
    <s v="Instagram"/>
    <s v="Jan-2024"/>
    <s v="Dec-2024"/>
    <x v="2"/>
    <s v="Education"/>
    <s v="Small"/>
    <n v="2024"/>
  </r>
  <r>
    <s v="C0290"/>
    <s v="Basic"/>
    <d v="2023-04-07T00:00:00"/>
    <d v="2024-12-31T00:00:00"/>
    <n v="15"/>
    <s v="Active"/>
    <s v="LinkedIn"/>
    <s v="Apr-2023"/>
    <s v="Dec-2024"/>
    <x v="3"/>
    <s v="Education"/>
    <s v="Medium"/>
    <n v="2023"/>
  </r>
  <r>
    <s v="C0291"/>
    <s v="Premium"/>
    <d v="2024-02-08T00:00:00"/>
    <d v="2024-05-10T00:00:00"/>
    <n v="40"/>
    <s v="Churned"/>
    <s v="Google"/>
    <s v="Feb-2024"/>
    <s v="May-2024"/>
    <x v="0"/>
    <s v="Tech"/>
    <s v="Small"/>
    <n v="2024"/>
  </r>
  <r>
    <s v="C0292"/>
    <s v="Standard"/>
    <d v="2021-05-24T00:00:00"/>
    <d v="2024-12-31T00:00:00"/>
    <n v="25"/>
    <s v="Active"/>
    <s v="Referral"/>
    <s v="May-2021"/>
    <s v="Dec-2024"/>
    <x v="0"/>
    <s v="Education"/>
    <s v="Large"/>
    <n v="2021"/>
  </r>
  <r>
    <s v="C0293"/>
    <s v="Basic"/>
    <d v="2023-03-21T00:00:00"/>
    <d v="2024-12-31T00:00:00"/>
    <n v="15"/>
    <s v="Active"/>
    <s v="Referral"/>
    <s v="Mar-2023"/>
    <s v="Dec-2024"/>
    <x v="3"/>
    <s v="E-commerce"/>
    <s v="Enterprise"/>
    <n v="2023"/>
  </r>
  <r>
    <s v="C0294"/>
    <s v="Premium"/>
    <d v="2021-12-24T00:00:00"/>
    <d v="2024-12-31T00:00:00"/>
    <n v="40"/>
    <s v="Active"/>
    <s v="Referral"/>
    <s v="Dec-2021"/>
    <s v="Dec-2024"/>
    <x v="2"/>
    <s v="Healthcare"/>
    <s v="Medium"/>
    <n v="2021"/>
  </r>
  <r>
    <s v="C0295"/>
    <s v="Basic"/>
    <d v="2022-09-07T00:00:00"/>
    <d v="2024-12-31T00:00:00"/>
    <n v="15"/>
    <s v="Active"/>
    <s v="Facebook"/>
    <s v="Sep-2022"/>
    <s v="Dec-2024"/>
    <x v="5"/>
    <s v="Healthcare"/>
    <s v="Small"/>
    <n v="2022"/>
  </r>
  <r>
    <s v="C0296"/>
    <s v="Basic"/>
    <d v="2023-07-03T00:00:00"/>
    <d v="2024-12-31T00:00:00"/>
    <n v="15"/>
    <s v="Churned"/>
    <s v="LinkedIn"/>
    <s v="Jul-2023"/>
    <s v="Dec-2024"/>
    <x v="1"/>
    <s v="Healthcare"/>
    <s v="Small"/>
    <n v="2023"/>
  </r>
  <r>
    <s v="C0297"/>
    <s v="Premium"/>
    <d v="2021-08-13T00:00:00"/>
    <d v="2024-12-31T00:00:00"/>
    <n v="40"/>
    <s v="Active"/>
    <s v="Instagram"/>
    <s v="Aug-2021"/>
    <s v="Dec-2024"/>
    <x v="4"/>
    <s v="E-commerce"/>
    <s v="Medium"/>
    <n v="2021"/>
  </r>
  <r>
    <s v="C0298"/>
    <s v="Basic"/>
    <d v="2020-05-22T00:00:00"/>
    <d v="2024-12-31T00:00:00"/>
    <n v="15"/>
    <s v="Active"/>
    <s v="Instagram"/>
    <s v="May-2020"/>
    <s v="Dec-2024"/>
    <x v="0"/>
    <s v="Retail"/>
    <s v="Large"/>
    <n v="2020"/>
  </r>
  <r>
    <s v="C0299"/>
    <s v="Standard"/>
    <d v="2020-11-26T00:00:00"/>
    <d v="2022-07-19T00:00:00"/>
    <n v="25"/>
    <s v="Churned"/>
    <s v="Google"/>
    <s v="Nov-2020"/>
    <s v="Jul-2022"/>
    <x v="3"/>
    <s v="Healthcare"/>
    <s v="Enterprise"/>
    <n v="2020"/>
  </r>
  <r>
    <s v="C0300"/>
    <s v="Standard"/>
    <d v="2020-06-25T00:00:00"/>
    <d v="2022-06-15T00:00:00"/>
    <n v="25"/>
    <s v="Churned"/>
    <s v="LinkedIn"/>
    <s v="Jun-2020"/>
    <s v="Jun-2022"/>
    <x v="2"/>
    <s v="E-commerce"/>
    <s v="Small"/>
    <n v="2020"/>
  </r>
  <r>
    <s v="C0301"/>
    <s v="Basic"/>
    <d v="2020-09-14T00:00:00"/>
    <d v="2024-12-31T00:00:00"/>
    <n v="15"/>
    <s v="Active"/>
    <s v="LinkedIn"/>
    <s v="Sep-2020"/>
    <s v="Dec-2024"/>
    <x v="2"/>
    <s v="Tech"/>
    <s v="Small"/>
    <n v="2020"/>
  </r>
  <r>
    <s v="C0302"/>
    <s v="Basic"/>
    <d v="2021-04-03T00:00:00"/>
    <d v="2024-12-31T00:00:00"/>
    <n v="15"/>
    <s v="Active"/>
    <s v="Facebook"/>
    <s v="Apr-2021"/>
    <s v="Dec-2024"/>
    <x v="0"/>
    <s v="Retail"/>
    <s v="Large"/>
    <n v="2021"/>
  </r>
  <r>
    <s v="C0303"/>
    <s v="Premium"/>
    <d v="2024-03-27T00:00:00"/>
    <d v="2024-12-31T00:00:00"/>
    <n v="40"/>
    <s v="Active"/>
    <s v="Google"/>
    <s v="Mar-2024"/>
    <s v="Dec-2024"/>
    <x v="3"/>
    <s v="Healthcare"/>
    <s v="Small"/>
    <n v="2024"/>
  </r>
  <r>
    <s v="C0304"/>
    <s v="Standard"/>
    <d v="2021-06-24T00:00:00"/>
    <d v="2024-12-31T00:00:00"/>
    <n v="25"/>
    <s v="Active"/>
    <s v="Facebook"/>
    <s v="Jun-2021"/>
    <s v="Dec-2024"/>
    <x v="4"/>
    <s v="E-commerce"/>
    <s v="Medium"/>
    <n v="2021"/>
  </r>
  <r>
    <s v="C0305"/>
    <s v="Standard"/>
    <d v="2023-03-13T00:00:00"/>
    <d v="2024-12-31T00:00:00"/>
    <n v="25"/>
    <s v="Active"/>
    <s v="LinkedIn"/>
    <s v="Mar-2023"/>
    <s v="Dec-2024"/>
    <x v="5"/>
    <s v="Retail"/>
    <s v="Small"/>
    <n v="2023"/>
  </r>
  <r>
    <s v="C0306"/>
    <s v="Premium"/>
    <d v="2020-03-20T00:00:00"/>
    <d v="2024-12-31T00:00:00"/>
    <n v="40"/>
    <s v="Active"/>
    <s v="Referral"/>
    <s v="Mar-2020"/>
    <s v="Dec-2024"/>
    <x v="0"/>
    <s v="Healthcare"/>
    <s v="Small"/>
    <n v="2020"/>
  </r>
  <r>
    <s v="C0307"/>
    <s v="Premium"/>
    <d v="2021-03-08T00:00:00"/>
    <d v="2022-12-08T00:00:00"/>
    <n v="40"/>
    <s v="Churned"/>
    <s v="Google"/>
    <s v="Mar-2021"/>
    <s v="Dec-2022"/>
    <x v="5"/>
    <s v="Retail"/>
    <s v="Large"/>
    <n v="2021"/>
  </r>
  <r>
    <s v="C0308"/>
    <s v="Premium"/>
    <d v="2022-11-27T00:00:00"/>
    <d v="2024-12-31T00:00:00"/>
    <n v="40"/>
    <s v="Active"/>
    <s v="Facebook"/>
    <s v="Nov-2022"/>
    <s v="Dec-2024"/>
    <x v="1"/>
    <s v="Healthcare"/>
    <s v="Enterprise"/>
    <n v="2022"/>
  </r>
  <r>
    <s v="C0309"/>
    <s v="Basic"/>
    <d v="2024-05-28T00:00:00"/>
    <d v="2024-12-31T00:00:00"/>
    <n v="15"/>
    <s v="Active"/>
    <s v="Referral"/>
    <s v="May-2024"/>
    <s v="Dec-2024"/>
    <x v="5"/>
    <s v="Education"/>
    <s v="Medium"/>
    <n v="2024"/>
  </r>
  <r>
    <s v="C0310"/>
    <s v="Basic"/>
    <d v="2022-01-13T00:00:00"/>
    <d v="2024-12-31T00:00:00"/>
    <n v="15"/>
    <s v="Active"/>
    <s v="Facebook"/>
    <s v="Jan-2022"/>
    <s v="Dec-2024"/>
    <x v="2"/>
    <s v="Education"/>
    <s v="Large"/>
    <n v="2022"/>
  </r>
  <r>
    <s v="C0311"/>
    <s v="Standard"/>
    <d v="2023-05-16T00:00:00"/>
    <d v="2024-12-31T00:00:00"/>
    <n v="25"/>
    <s v="Active"/>
    <s v="Referral"/>
    <s v="May-2023"/>
    <s v="Dec-2024"/>
    <x v="5"/>
    <s v="Finance"/>
    <s v="Small"/>
    <n v="2023"/>
  </r>
  <r>
    <s v="C0312"/>
    <s v="Basic"/>
    <d v="2021-01-16T00:00:00"/>
    <d v="2024-12-31T00:00:00"/>
    <n v="15"/>
    <s v="Active"/>
    <s v="Instagram"/>
    <s v="Jan-2021"/>
    <s v="Dec-2024"/>
    <x v="4"/>
    <s v="Education"/>
    <s v="Large"/>
    <n v="2021"/>
  </r>
  <r>
    <s v="C0313"/>
    <s v="Premium"/>
    <d v="2021-05-31T00:00:00"/>
    <d v="2024-12-31T00:00:00"/>
    <n v="40"/>
    <s v="Active"/>
    <s v="Google"/>
    <s v="May-2021"/>
    <s v="Dec-2024"/>
    <x v="0"/>
    <s v="E-commerce"/>
    <s v="Enterprise"/>
    <n v="2021"/>
  </r>
  <r>
    <s v="C0314"/>
    <s v="Basic"/>
    <d v="2024-02-18T00:00:00"/>
    <d v="2024-12-31T00:00:00"/>
    <n v="15"/>
    <s v="Active"/>
    <s v="Facebook"/>
    <s v="Feb-2024"/>
    <s v="Dec-2024"/>
    <x v="3"/>
    <s v="Finance"/>
    <s v="Small"/>
    <n v="2024"/>
  </r>
  <r>
    <s v="C0315"/>
    <s v="Basic"/>
    <d v="2020-01-29T00:00:00"/>
    <d v="2024-12-31T00:00:00"/>
    <n v="15"/>
    <s v="Active"/>
    <s v="Instagram"/>
    <s v="Jan-2020"/>
    <s v="Dec-2024"/>
    <x v="5"/>
    <s v="Education"/>
    <s v="Medium"/>
    <n v="2020"/>
  </r>
  <r>
    <s v="C0316"/>
    <s v="Premium"/>
    <d v="2021-01-27T00:00:00"/>
    <d v="2022-04-28T00:00:00"/>
    <n v="40"/>
    <s v="Churned"/>
    <s v="Google"/>
    <s v="Jan-2021"/>
    <s v="Apr-2022"/>
    <x v="5"/>
    <s v="E-commerce"/>
    <s v="Small"/>
    <n v="2021"/>
  </r>
  <r>
    <s v="C0317"/>
    <s v="Standard"/>
    <d v="2020-02-15T00:00:00"/>
    <d v="2024-12-31T00:00:00"/>
    <n v="25"/>
    <s v="Active"/>
    <s v="LinkedIn"/>
    <s v="Feb-2020"/>
    <s v="Dec-2024"/>
    <x v="1"/>
    <s v="E-commerce"/>
    <s v="Enterprise"/>
    <n v="2020"/>
  </r>
  <r>
    <s v="C0318"/>
    <s v="Basic"/>
    <d v="2024-02-19T00:00:00"/>
    <d v="2024-12-31T00:00:00"/>
    <n v="15"/>
    <s v="Active"/>
    <s v="Facebook"/>
    <s v="Feb-2024"/>
    <s v="Dec-2024"/>
    <x v="3"/>
    <s v="Education"/>
    <s v="Large"/>
    <n v="2024"/>
  </r>
  <r>
    <s v="C0319"/>
    <s v="Premium"/>
    <d v="2020-01-16T00:00:00"/>
    <d v="2024-12-31T00:00:00"/>
    <n v="40"/>
    <s v="Active"/>
    <s v="Google"/>
    <s v="Jan-2020"/>
    <s v="Dec-2024"/>
    <x v="3"/>
    <s v="Retail"/>
    <s v="Small"/>
    <n v="2020"/>
  </r>
  <r>
    <s v="C0320"/>
    <s v="Premium"/>
    <d v="2023-03-10T00:00:00"/>
    <d v="2024-12-31T00:00:00"/>
    <n v="40"/>
    <s v="Active"/>
    <s v="LinkedIn"/>
    <s v="Mar-2023"/>
    <s v="Dec-2024"/>
    <x v="4"/>
    <s v="Finance"/>
    <s v="Small"/>
    <n v="2023"/>
  </r>
  <r>
    <s v="C0321"/>
    <s v="Basic"/>
    <d v="2024-02-17T00:00:00"/>
    <d v="2024-12-31T00:00:00"/>
    <n v="15"/>
    <s v="Active"/>
    <s v="Google"/>
    <s v="Feb-2024"/>
    <s v="Dec-2024"/>
    <x v="3"/>
    <s v="Finance"/>
    <s v="Small"/>
    <n v="2024"/>
  </r>
  <r>
    <s v="C0322"/>
    <s v="Standard"/>
    <d v="2020-11-27T00:00:00"/>
    <d v="2024-12-31T00:00:00"/>
    <n v="25"/>
    <s v="Active"/>
    <s v="Instagram"/>
    <s v="Nov-2020"/>
    <s v="Dec-2024"/>
    <x v="1"/>
    <s v="Healthcare"/>
    <s v="Medium"/>
    <n v="2020"/>
  </r>
  <r>
    <s v="C0323"/>
    <s v="Basic"/>
    <d v="2021-03-03T00:00:00"/>
    <d v="2021-06-16T00:00:00"/>
    <n v="15"/>
    <s v="Churned"/>
    <s v="Google"/>
    <s v="Mar-2021"/>
    <s v="Jun-2021"/>
    <x v="3"/>
    <s v="Retail"/>
    <s v="Small"/>
    <n v="2021"/>
  </r>
  <r>
    <s v="C0324"/>
    <s v="Standard"/>
    <d v="2021-05-28T00:00:00"/>
    <d v="2024-12-31T00:00:00"/>
    <n v="25"/>
    <s v="Active"/>
    <s v="LinkedIn"/>
    <s v="May-2021"/>
    <s v="Dec-2024"/>
    <x v="5"/>
    <s v="Tech"/>
    <s v="Small"/>
    <n v="2021"/>
  </r>
  <r>
    <s v="C0325"/>
    <s v="Basic"/>
    <d v="2022-01-14T00:00:00"/>
    <d v="2023-10-29T00:00:00"/>
    <n v="15"/>
    <s v="Churned"/>
    <s v="Instagram"/>
    <s v="Jan-2022"/>
    <s v="Oct-2023"/>
    <x v="0"/>
    <s v="Retail"/>
    <s v="Enterprise"/>
    <n v="2022"/>
  </r>
  <r>
    <s v="C0326"/>
    <s v="Standard"/>
    <d v="2021-06-13T00:00:00"/>
    <d v="2024-12-31T00:00:00"/>
    <n v="25"/>
    <s v="Active"/>
    <s v="Facebook"/>
    <s v="Jun-2021"/>
    <s v="Dec-2024"/>
    <x v="5"/>
    <s v="E-commerce"/>
    <s v="Medium"/>
    <n v="2021"/>
  </r>
  <r>
    <s v="C0327"/>
    <s v="Basic"/>
    <d v="2022-01-26T00:00:00"/>
    <d v="2024-12-31T00:00:00"/>
    <n v="15"/>
    <s v="Active"/>
    <s v="Referral"/>
    <s v="Jan-2022"/>
    <s v="Dec-2024"/>
    <x v="2"/>
    <s v="Finance"/>
    <s v="Enterprise"/>
    <n v="2022"/>
  </r>
  <r>
    <s v="C0328"/>
    <s v="Basic"/>
    <d v="2020-09-13T00:00:00"/>
    <d v="2024-12-31T00:00:00"/>
    <n v="15"/>
    <s v="Active"/>
    <s v="Google"/>
    <s v="Sep-2020"/>
    <s v="Dec-2024"/>
    <x v="3"/>
    <s v="E-commerce"/>
    <s v="Medium"/>
    <n v="2020"/>
  </r>
  <r>
    <s v="C0329"/>
    <s v="Premium"/>
    <d v="2024-02-16T00:00:00"/>
    <d v="2024-12-31T00:00:00"/>
    <n v="40"/>
    <s v="Churned"/>
    <s v="Referral"/>
    <s v="Feb-2024"/>
    <s v="Dec-2024"/>
    <x v="4"/>
    <s v="Finance"/>
    <s v="Medium"/>
    <n v="2024"/>
  </r>
  <r>
    <s v="C0330"/>
    <s v="Premium"/>
    <d v="2022-04-11T00:00:00"/>
    <d v="2024-12-31T00:00:00"/>
    <n v="40"/>
    <s v="Active"/>
    <s v="Instagram"/>
    <s v="Apr-2022"/>
    <s v="Dec-2024"/>
    <x v="2"/>
    <s v="Healthcare"/>
    <s v="Medium"/>
    <n v="2022"/>
  </r>
  <r>
    <s v="C0331"/>
    <s v="Basic"/>
    <d v="2021-03-28T00:00:00"/>
    <d v="2024-12-31T00:00:00"/>
    <n v="15"/>
    <s v="Active"/>
    <s v="Facebook"/>
    <s v="Mar-2021"/>
    <s v="Dec-2024"/>
    <x v="4"/>
    <s v="E-commerce"/>
    <s v="Medium"/>
    <n v="2021"/>
  </r>
  <r>
    <s v="C0332"/>
    <s v="Premium"/>
    <d v="2022-09-07T00:00:00"/>
    <d v="2024-08-25T00:00:00"/>
    <n v="40"/>
    <s v="Churned"/>
    <s v="LinkedIn"/>
    <s v="Sep-2022"/>
    <s v="Aug-2024"/>
    <x v="2"/>
    <s v="Tech"/>
    <s v="Medium"/>
    <n v="2022"/>
  </r>
  <r>
    <s v="C0333"/>
    <s v="Standard"/>
    <d v="2020-10-10T00:00:00"/>
    <d v="2024-12-31T00:00:00"/>
    <n v="25"/>
    <s v="Active"/>
    <s v="Google"/>
    <s v="Oct-2020"/>
    <s v="Dec-2024"/>
    <x v="3"/>
    <s v="Healthcare"/>
    <s v="Medium"/>
    <n v="2020"/>
  </r>
  <r>
    <s v="C0334"/>
    <s v="Basic"/>
    <d v="2020-08-26T00:00:00"/>
    <d v="2021-03-11T00:00:00"/>
    <n v="15"/>
    <s v="Churned"/>
    <s v="Facebook"/>
    <s v="Aug-2020"/>
    <s v="Mar-2021"/>
    <x v="5"/>
    <s v="Healthcare"/>
    <s v="Large"/>
    <n v="2020"/>
  </r>
  <r>
    <s v="C0335"/>
    <s v="Standard"/>
    <d v="2023-11-19T00:00:00"/>
    <d v="2024-09-21T00:00:00"/>
    <n v="25"/>
    <s v="Churned"/>
    <s v="Instagram"/>
    <s v="Nov-2023"/>
    <s v="Sep-2024"/>
    <x v="5"/>
    <s v="Healthcare"/>
    <s v="Medium"/>
    <n v="2023"/>
  </r>
  <r>
    <s v="C0336"/>
    <s v="Standard"/>
    <d v="2021-11-15T00:00:00"/>
    <d v="2024-12-31T00:00:00"/>
    <n v="25"/>
    <s v="Active"/>
    <s v="Instagram"/>
    <s v="Nov-2021"/>
    <s v="Dec-2024"/>
    <x v="3"/>
    <s v="Tech"/>
    <s v="Enterprise"/>
    <n v="2021"/>
  </r>
  <r>
    <s v="C0337"/>
    <s v="Basic"/>
    <d v="2023-10-15T00:00:00"/>
    <d v="2024-12-31T00:00:00"/>
    <n v="15"/>
    <s v="Active"/>
    <s v="LinkedIn"/>
    <s v="Oct-2023"/>
    <s v="Dec-2024"/>
    <x v="5"/>
    <s v="Tech"/>
    <s v="Medium"/>
    <n v="2023"/>
  </r>
  <r>
    <s v="C0338"/>
    <s v="Premium"/>
    <d v="2023-11-13T00:00:00"/>
    <d v="2024-12-31T00:00:00"/>
    <n v="40"/>
    <s v="Active"/>
    <s v="Google"/>
    <s v="Nov-2023"/>
    <s v="Dec-2024"/>
    <x v="0"/>
    <s v="Finance"/>
    <s v="Large"/>
    <n v="2023"/>
  </r>
  <r>
    <s v="C0339"/>
    <s v="Standard"/>
    <d v="2024-06-29T00:00:00"/>
    <d v="2024-12-31T00:00:00"/>
    <n v="25"/>
    <s v="Active"/>
    <s v="LinkedIn"/>
    <s v="Jun-2024"/>
    <s v="Dec-2024"/>
    <x v="2"/>
    <s v="Healthcare"/>
    <s v="Small"/>
    <n v="2024"/>
  </r>
  <r>
    <s v="C0340"/>
    <s v="Basic"/>
    <d v="2022-10-17T00:00:00"/>
    <d v="2024-05-12T00:00:00"/>
    <n v="15"/>
    <s v="Churned"/>
    <s v="Google"/>
    <s v="Oct-2022"/>
    <s v="May-2024"/>
    <x v="5"/>
    <s v="Tech"/>
    <s v="Large"/>
    <n v="2022"/>
  </r>
  <r>
    <s v="C0341"/>
    <s v="Basic"/>
    <d v="2022-08-10T00:00:00"/>
    <d v="2024-12-31T00:00:00"/>
    <n v="15"/>
    <s v="Active"/>
    <s v="Referral"/>
    <s v="Aug-2022"/>
    <s v="Dec-2024"/>
    <x v="1"/>
    <s v="Healthcare"/>
    <s v="Medium"/>
    <n v="2022"/>
  </r>
  <r>
    <s v="C0342"/>
    <s v="Basic"/>
    <d v="2022-11-01T00:00:00"/>
    <d v="2024-12-31T00:00:00"/>
    <n v="15"/>
    <s v="Active"/>
    <s v="Facebook"/>
    <s v="Nov-2022"/>
    <s v="Dec-2024"/>
    <x v="2"/>
    <s v="Retail"/>
    <s v="Large"/>
    <n v="2022"/>
  </r>
  <r>
    <s v="C0343"/>
    <s v="Basic"/>
    <d v="2021-11-18T00:00:00"/>
    <d v="2022-01-22T00:00:00"/>
    <n v="15"/>
    <s v="Churned"/>
    <s v="Google"/>
    <s v="Nov-2021"/>
    <s v="Jan-2022"/>
    <x v="2"/>
    <s v="Retail"/>
    <s v="Large"/>
    <n v="2021"/>
  </r>
  <r>
    <s v="C0344"/>
    <s v="Basic"/>
    <d v="2021-07-15T00:00:00"/>
    <d v="2022-07-09T00:00:00"/>
    <n v="15"/>
    <s v="Churned"/>
    <s v="LinkedIn"/>
    <s v="Jul-2021"/>
    <s v="Jul-2022"/>
    <x v="3"/>
    <s v="E-commerce"/>
    <s v="Small"/>
    <n v="2021"/>
  </r>
  <r>
    <s v="C0345"/>
    <s v="Basic"/>
    <d v="2022-10-24T00:00:00"/>
    <d v="2023-04-03T00:00:00"/>
    <n v="15"/>
    <s v="Churned"/>
    <s v="Facebook"/>
    <s v="Oct-2022"/>
    <s v="Apr-2023"/>
    <x v="3"/>
    <s v="Tech"/>
    <s v="Enterprise"/>
    <n v="2022"/>
  </r>
  <r>
    <s v="C0346"/>
    <s v="Premium"/>
    <d v="2022-11-24T00:00:00"/>
    <d v="2024-12-31T00:00:00"/>
    <n v="40"/>
    <s v="Active"/>
    <s v="Referral"/>
    <s v="Nov-2022"/>
    <s v="Dec-2024"/>
    <x v="4"/>
    <s v="Healthcare"/>
    <s v="Large"/>
    <n v="2022"/>
  </r>
  <r>
    <s v="C0347"/>
    <s v="Standard"/>
    <d v="2023-05-05T00:00:00"/>
    <d v="2024-12-26T00:00:00"/>
    <n v="25"/>
    <s v="Churned"/>
    <s v="LinkedIn"/>
    <s v="May-2023"/>
    <s v="Dec-2024"/>
    <x v="2"/>
    <s v="Healthcare"/>
    <s v="Large"/>
    <n v="2023"/>
  </r>
  <r>
    <s v="C0348"/>
    <s v="Basic"/>
    <d v="2020-07-17T00:00:00"/>
    <d v="2021-02-18T00:00:00"/>
    <n v="15"/>
    <s v="Churned"/>
    <s v="Instagram"/>
    <s v="Jul-2020"/>
    <s v="Feb-2021"/>
    <x v="2"/>
    <s v="E-commerce"/>
    <s v="Enterprise"/>
    <n v="2020"/>
  </r>
  <r>
    <s v="C0349"/>
    <s v="Basic"/>
    <d v="2021-12-05T00:00:00"/>
    <d v="2022-04-01T00:00:00"/>
    <n v="15"/>
    <s v="Churned"/>
    <s v="Facebook"/>
    <s v="Dec-2021"/>
    <s v="Apr-2022"/>
    <x v="1"/>
    <s v="Education"/>
    <s v="Medium"/>
    <n v="2021"/>
  </r>
  <r>
    <s v="C0350"/>
    <s v="Basic"/>
    <d v="2020-04-29T00:00:00"/>
    <d v="2024-12-31T00:00:00"/>
    <n v="15"/>
    <s v="Active"/>
    <s v="LinkedIn"/>
    <s v="Apr-2020"/>
    <s v="Dec-2024"/>
    <x v="0"/>
    <s v="Healthcare"/>
    <s v="Small"/>
    <n v="2020"/>
  </r>
  <r>
    <s v="C0351"/>
    <s v="Standard"/>
    <d v="2020-03-13T00:00:00"/>
    <d v="2024-12-31T00:00:00"/>
    <n v="25"/>
    <s v="Active"/>
    <s v="Referral"/>
    <s v="Mar-2020"/>
    <s v="Dec-2024"/>
    <x v="0"/>
    <s v="Education"/>
    <s v="Enterprise"/>
    <n v="2020"/>
  </r>
  <r>
    <s v="C0352"/>
    <s v="Basic"/>
    <d v="2023-06-13T00:00:00"/>
    <d v="2024-12-31T00:00:00"/>
    <n v="15"/>
    <s v="Active"/>
    <s v="Instagram"/>
    <s v="Jun-2023"/>
    <s v="Dec-2024"/>
    <x v="3"/>
    <s v="E-commerce"/>
    <s v="Small"/>
    <n v="2023"/>
  </r>
  <r>
    <s v="C0353"/>
    <s v="Premium"/>
    <d v="2021-05-09T00:00:00"/>
    <d v="2024-12-31T00:00:00"/>
    <n v="40"/>
    <s v="Active"/>
    <s v="Google"/>
    <s v="May-2021"/>
    <s v="Dec-2024"/>
    <x v="3"/>
    <s v="Retail"/>
    <s v="Medium"/>
    <n v="2021"/>
  </r>
  <r>
    <s v="C0354"/>
    <s v="Premium"/>
    <d v="2020-02-03T00:00:00"/>
    <d v="2024-12-31T00:00:00"/>
    <n v="40"/>
    <s v="Active"/>
    <s v="Instagram"/>
    <s v="Feb-2020"/>
    <s v="Dec-2024"/>
    <x v="5"/>
    <s v="Healthcare"/>
    <s v="Medium"/>
    <n v="2020"/>
  </r>
  <r>
    <s v="C0355"/>
    <s v="Standard"/>
    <d v="2022-12-16T00:00:00"/>
    <d v="2024-10-22T00:00:00"/>
    <n v="25"/>
    <s v="Churned"/>
    <s v="LinkedIn"/>
    <s v="Dec-2022"/>
    <s v="Oct-2024"/>
    <x v="0"/>
    <s v="Retail"/>
    <s v="Medium"/>
    <n v="2022"/>
  </r>
  <r>
    <s v="C0356"/>
    <s v="Basic"/>
    <d v="2020-10-30T00:00:00"/>
    <d v="2021-03-10T00:00:00"/>
    <n v="15"/>
    <s v="Churned"/>
    <s v="Instagram"/>
    <s v="Oct-2020"/>
    <s v="Mar-2021"/>
    <x v="2"/>
    <s v="E-commerce"/>
    <s v="Large"/>
    <n v="2020"/>
  </r>
  <r>
    <s v="C0357"/>
    <s v="Premium"/>
    <d v="2020-05-09T00:00:00"/>
    <d v="2021-05-30T00:00:00"/>
    <n v="40"/>
    <s v="Churned"/>
    <s v="Instagram"/>
    <s v="May-2020"/>
    <s v="May-2021"/>
    <x v="0"/>
    <s v="Education"/>
    <s v="Medium"/>
    <n v="2020"/>
  </r>
  <r>
    <s v="C0358"/>
    <s v="Premium"/>
    <d v="2023-10-09T00:00:00"/>
    <d v="2024-12-31T00:00:00"/>
    <n v="40"/>
    <s v="Churned"/>
    <s v="Referral"/>
    <s v="Oct-2023"/>
    <s v="Dec-2024"/>
    <x v="3"/>
    <s v="Education"/>
    <s v="Small"/>
    <n v="2023"/>
  </r>
  <r>
    <s v="C0359"/>
    <s v="Premium"/>
    <d v="2024-01-03T00:00:00"/>
    <d v="2024-12-31T00:00:00"/>
    <n v="40"/>
    <s v="Active"/>
    <s v="Facebook"/>
    <s v="Jan-2024"/>
    <s v="Dec-2024"/>
    <x v="4"/>
    <s v="E-commerce"/>
    <s v="Enterprise"/>
    <n v="2024"/>
  </r>
  <r>
    <s v="C0360"/>
    <s v="Premium"/>
    <d v="2020-03-03T00:00:00"/>
    <d v="2024-12-31T00:00:00"/>
    <n v="40"/>
    <s v="Active"/>
    <s v="Referral"/>
    <s v="Mar-2020"/>
    <s v="Dec-2024"/>
    <x v="3"/>
    <s v="Tech"/>
    <s v="Small"/>
    <n v="2020"/>
  </r>
  <r>
    <s v="C0361"/>
    <s v="Premium"/>
    <d v="2020-09-06T00:00:00"/>
    <d v="2024-12-31T00:00:00"/>
    <n v="40"/>
    <s v="Active"/>
    <s v="Facebook"/>
    <s v="Sep-2020"/>
    <s v="Dec-2024"/>
    <x v="3"/>
    <s v="Tech"/>
    <s v="Small"/>
    <n v="2020"/>
  </r>
  <r>
    <s v="C0362"/>
    <s v="Premium"/>
    <d v="2020-02-02T00:00:00"/>
    <d v="2024-12-31T00:00:00"/>
    <n v="40"/>
    <s v="Active"/>
    <s v="LinkedIn"/>
    <s v="Feb-2020"/>
    <s v="Dec-2024"/>
    <x v="0"/>
    <s v="Retail"/>
    <s v="Enterprise"/>
    <n v="2020"/>
  </r>
  <r>
    <s v="C0363"/>
    <s v="Basic"/>
    <d v="2020-11-06T00:00:00"/>
    <d v="2024-12-31T00:00:00"/>
    <n v="15"/>
    <s v="Active"/>
    <s v="Referral"/>
    <s v="Nov-2020"/>
    <s v="Dec-2024"/>
    <x v="4"/>
    <s v="Healthcare"/>
    <s v="Large"/>
    <n v="2020"/>
  </r>
  <r>
    <s v="C0364"/>
    <s v="Basic"/>
    <d v="2023-09-17T00:00:00"/>
    <d v="2024-12-31T00:00:00"/>
    <n v="15"/>
    <s v="Active"/>
    <s v="Google"/>
    <s v="Sep-2023"/>
    <s v="Dec-2024"/>
    <x v="0"/>
    <s v="E-commerce"/>
    <s v="Large"/>
    <n v="2023"/>
  </r>
  <r>
    <s v="C0365"/>
    <s v="Standard"/>
    <d v="2023-09-30T00:00:00"/>
    <d v="2024-12-31T00:00:00"/>
    <n v="25"/>
    <s v="Active"/>
    <s v="Google"/>
    <s v="Sep-2023"/>
    <s v="Dec-2024"/>
    <x v="0"/>
    <s v="Education"/>
    <s v="Enterprise"/>
    <n v="2023"/>
  </r>
  <r>
    <s v="C0366"/>
    <s v="Standard"/>
    <d v="2024-04-11T00:00:00"/>
    <d v="2024-12-31T00:00:00"/>
    <n v="25"/>
    <s v="Active"/>
    <s v="Referral"/>
    <s v="Apr-2024"/>
    <s v="Dec-2024"/>
    <x v="0"/>
    <s v="Tech"/>
    <s v="Small"/>
    <n v="2024"/>
  </r>
  <r>
    <s v="C0367"/>
    <s v="Premium"/>
    <d v="2021-08-30T00:00:00"/>
    <d v="2024-12-31T00:00:00"/>
    <n v="40"/>
    <s v="Active"/>
    <s v="Referral"/>
    <s v="Aug-2021"/>
    <s v="Dec-2024"/>
    <x v="5"/>
    <s v="E-commerce"/>
    <s v="Enterprise"/>
    <n v="2021"/>
  </r>
  <r>
    <s v="C0368"/>
    <s v="Premium"/>
    <d v="2021-10-17T00:00:00"/>
    <d v="2024-12-31T00:00:00"/>
    <n v="40"/>
    <s v="Active"/>
    <s v="Facebook"/>
    <s v="Oct-2021"/>
    <s v="Dec-2024"/>
    <x v="5"/>
    <s v="Healthcare"/>
    <s v="Large"/>
    <n v="2021"/>
  </r>
  <r>
    <s v="C0369"/>
    <s v="Standard"/>
    <d v="2021-02-22T00:00:00"/>
    <d v="2024-12-31T00:00:00"/>
    <n v="25"/>
    <s v="Active"/>
    <s v="Instagram"/>
    <s v="Feb-2021"/>
    <s v="Dec-2024"/>
    <x v="5"/>
    <s v="Tech"/>
    <s v="Large"/>
    <n v="2021"/>
  </r>
  <r>
    <s v="C0370"/>
    <s v="Premium"/>
    <d v="2021-06-27T00:00:00"/>
    <d v="2022-05-31T00:00:00"/>
    <n v="40"/>
    <s v="Churned"/>
    <s v="Facebook"/>
    <s v="Jun-2021"/>
    <s v="May-2022"/>
    <x v="4"/>
    <s v="Finance"/>
    <s v="Enterprise"/>
    <n v="2021"/>
  </r>
  <r>
    <s v="C0371"/>
    <s v="Basic"/>
    <d v="2023-12-21T00:00:00"/>
    <d v="2024-05-02T00:00:00"/>
    <n v="15"/>
    <s v="Churned"/>
    <s v="Facebook"/>
    <s v="Dec-2023"/>
    <s v="May-2024"/>
    <x v="3"/>
    <s v="Finance"/>
    <s v="Medium"/>
    <n v="2023"/>
  </r>
  <r>
    <s v="C0372"/>
    <s v="Premium"/>
    <d v="2022-12-14T00:00:00"/>
    <d v="2024-12-31T00:00:00"/>
    <n v="40"/>
    <s v="Active"/>
    <s v="Facebook"/>
    <s v="Dec-2022"/>
    <s v="Dec-2024"/>
    <x v="5"/>
    <s v="Education"/>
    <s v="Enterprise"/>
    <n v="2022"/>
  </r>
  <r>
    <s v="C0373"/>
    <s v="Premium"/>
    <d v="2023-09-06T00:00:00"/>
    <d v="2024-12-31T00:00:00"/>
    <n v="40"/>
    <s v="Churned"/>
    <s v="Referral"/>
    <s v="Sep-2023"/>
    <s v="Dec-2024"/>
    <x v="4"/>
    <s v="Finance"/>
    <s v="Medium"/>
    <n v="2023"/>
  </r>
  <r>
    <s v="C0374"/>
    <s v="Standard"/>
    <d v="2020-05-12T00:00:00"/>
    <d v="2021-03-13T00:00:00"/>
    <n v="25"/>
    <s v="Churned"/>
    <s v="LinkedIn"/>
    <s v="May-2020"/>
    <s v="Mar-2021"/>
    <x v="1"/>
    <s v="Education"/>
    <s v="Small"/>
    <n v="2020"/>
  </r>
  <r>
    <s v="C0375"/>
    <s v="Basic"/>
    <d v="2022-07-03T00:00:00"/>
    <d v="2023-11-20T00:00:00"/>
    <n v="15"/>
    <s v="Churned"/>
    <s v="Instagram"/>
    <s v="Jul-2022"/>
    <s v="Nov-2023"/>
    <x v="3"/>
    <s v="Healthcare"/>
    <s v="Large"/>
    <n v="2022"/>
  </r>
  <r>
    <s v="C0376"/>
    <s v="Premium"/>
    <d v="2023-04-28T00:00:00"/>
    <d v="2024-12-31T00:00:00"/>
    <n v="40"/>
    <s v="Active"/>
    <s v="Referral"/>
    <s v="Apr-2023"/>
    <s v="Dec-2024"/>
    <x v="1"/>
    <s v="Finance"/>
    <s v="Enterprise"/>
    <n v="2023"/>
  </r>
  <r>
    <s v="C0377"/>
    <s v="Basic"/>
    <d v="2021-04-25T00:00:00"/>
    <d v="2024-12-31T00:00:00"/>
    <n v="15"/>
    <s v="Active"/>
    <s v="Instagram"/>
    <s v="Apr-2021"/>
    <s v="Dec-2024"/>
    <x v="4"/>
    <s v="Healthcare"/>
    <s v="Small"/>
    <n v="2021"/>
  </r>
  <r>
    <s v="C0378"/>
    <s v="Premium"/>
    <d v="2021-05-24T00:00:00"/>
    <d v="2024-12-31T00:00:00"/>
    <n v="40"/>
    <s v="Active"/>
    <s v="Instagram"/>
    <s v="May-2021"/>
    <s v="Dec-2024"/>
    <x v="2"/>
    <s v="Education"/>
    <s v="Medium"/>
    <n v="2021"/>
  </r>
  <r>
    <s v="C0379"/>
    <s v="Premium"/>
    <d v="2022-05-18T00:00:00"/>
    <d v="2024-07-27T00:00:00"/>
    <n v="40"/>
    <s v="Churned"/>
    <s v="Instagram"/>
    <s v="May-2022"/>
    <s v="Jul-2024"/>
    <x v="4"/>
    <s v="Tech"/>
    <s v="Medium"/>
    <n v="2022"/>
  </r>
  <r>
    <s v="C0380"/>
    <s v="Basic"/>
    <d v="2021-11-15T00:00:00"/>
    <d v="2024-12-31T00:00:00"/>
    <n v="15"/>
    <s v="Active"/>
    <s v="LinkedIn"/>
    <s v="Nov-2021"/>
    <s v="Dec-2024"/>
    <x v="0"/>
    <s v="Healthcare"/>
    <s v="Enterprise"/>
    <n v="2021"/>
  </r>
  <r>
    <s v="C0381"/>
    <s v="Standard"/>
    <d v="2022-01-28T00:00:00"/>
    <d v="2024-12-31T00:00:00"/>
    <n v="25"/>
    <s v="Active"/>
    <s v="LinkedIn"/>
    <s v="Jan-2022"/>
    <s v="Dec-2024"/>
    <x v="0"/>
    <s v="Education"/>
    <s v="Enterprise"/>
    <n v="2022"/>
  </r>
  <r>
    <s v="C0382"/>
    <s v="Premium"/>
    <d v="2021-08-06T00:00:00"/>
    <d v="2024-12-31T00:00:00"/>
    <n v="40"/>
    <s v="Active"/>
    <s v="Instagram"/>
    <s v="Aug-2021"/>
    <s v="Dec-2024"/>
    <x v="3"/>
    <s v="E-commerce"/>
    <s v="Small"/>
    <n v="2021"/>
  </r>
  <r>
    <s v="C0383"/>
    <s v="Basic"/>
    <d v="2021-04-06T00:00:00"/>
    <d v="2023-05-02T00:00:00"/>
    <n v="15"/>
    <s v="Churned"/>
    <s v="LinkedIn"/>
    <s v="Apr-2021"/>
    <s v="May-2023"/>
    <x v="5"/>
    <s v="Tech"/>
    <s v="Enterprise"/>
    <n v="2021"/>
  </r>
  <r>
    <s v="C0384"/>
    <s v="Standard"/>
    <d v="2021-03-28T00:00:00"/>
    <d v="2024-12-31T00:00:00"/>
    <n v="25"/>
    <s v="Active"/>
    <s v="Google"/>
    <s v="Mar-2021"/>
    <s v="Dec-2024"/>
    <x v="1"/>
    <s v="Tech"/>
    <s v="Medium"/>
    <n v="2021"/>
  </r>
  <r>
    <s v="C0385"/>
    <s v="Premium"/>
    <d v="2021-07-08T00:00:00"/>
    <d v="2024-12-31T00:00:00"/>
    <n v="40"/>
    <s v="Active"/>
    <s v="Google"/>
    <s v="Jul-2021"/>
    <s v="Dec-2024"/>
    <x v="1"/>
    <s v="Finance"/>
    <s v="Large"/>
    <n v="2021"/>
  </r>
  <r>
    <s v="C0386"/>
    <s v="Basic"/>
    <d v="2024-01-19T00:00:00"/>
    <d v="2024-12-31T00:00:00"/>
    <n v="15"/>
    <s v="Churned"/>
    <s v="Instagram"/>
    <s v="Jan-2024"/>
    <s v="Dec-2024"/>
    <x v="2"/>
    <s v="Education"/>
    <s v="Medium"/>
    <n v="2024"/>
  </r>
  <r>
    <s v="C0387"/>
    <s v="Basic"/>
    <d v="2024-04-03T00:00:00"/>
    <d v="2024-12-31T00:00:00"/>
    <n v="15"/>
    <s v="Active"/>
    <s v="Facebook"/>
    <s v="Apr-2024"/>
    <s v="Dec-2024"/>
    <x v="5"/>
    <s v="E-commerce"/>
    <s v="Enterprise"/>
    <n v="2024"/>
  </r>
  <r>
    <s v="C0388"/>
    <s v="Standard"/>
    <d v="2020-06-04T00:00:00"/>
    <d v="2022-10-08T00:00:00"/>
    <n v="25"/>
    <s v="Churned"/>
    <s v="LinkedIn"/>
    <s v="Jun-2020"/>
    <s v="Oct-2022"/>
    <x v="0"/>
    <s v="Retail"/>
    <s v="Large"/>
    <n v="2020"/>
  </r>
  <r>
    <s v="C0389"/>
    <s v="Basic"/>
    <d v="2024-01-19T00:00:00"/>
    <d v="2024-07-26T00:00:00"/>
    <n v="15"/>
    <s v="Churned"/>
    <s v="Facebook"/>
    <s v="Jan-2024"/>
    <s v="Jul-2024"/>
    <x v="5"/>
    <s v="Finance"/>
    <s v="Medium"/>
    <n v="2024"/>
  </r>
  <r>
    <s v="C0390"/>
    <s v="Standard"/>
    <d v="2021-10-22T00:00:00"/>
    <d v="2024-12-31T00:00:00"/>
    <n v="25"/>
    <s v="Active"/>
    <s v="Referral"/>
    <s v="Oct-2021"/>
    <s v="Dec-2024"/>
    <x v="4"/>
    <s v="Finance"/>
    <s v="Medium"/>
    <n v="2021"/>
  </r>
  <r>
    <s v="C0391"/>
    <s v="Standard"/>
    <d v="2022-09-23T00:00:00"/>
    <d v="2024-12-31T00:00:00"/>
    <n v="25"/>
    <s v="Active"/>
    <s v="Referral"/>
    <s v="Sep-2022"/>
    <s v="Dec-2024"/>
    <x v="1"/>
    <s v="Tech"/>
    <s v="Medium"/>
    <n v="2022"/>
  </r>
  <r>
    <s v="C0392"/>
    <s v="Standard"/>
    <d v="2022-10-24T00:00:00"/>
    <d v="2024-12-31T00:00:00"/>
    <n v="25"/>
    <s v="Churned"/>
    <s v="Facebook"/>
    <s v="Oct-2022"/>
    <s v="Dec-2024"/>
    <x v="1"/>
    <s v="Healthcare"/>
    <s v="Medium"/>
    <n v="2022"/>
  </r>
  <r>
    <s v="C0393"/>
    <s v="Premium"/>
    <d v="2024-01-24T00:00:00"/>
    <d v="2024-12-31T00:00:00"/>
    <n v="40"/>
    <s v="Churned"/>
    <s v="Facebook"/>
    <s v="Jan-2024"/>
    <s v="Dec-2024"/>
    <x v="2"/>
    <s v="E-commerce"/>
    <s v="Small"/>
    <n v="2024"/>
  </r>
  <r>
    <s v="C0394"/>
    <s v="Basic"/>
    <d v="2023-03-12T00:00:00"/>
    <d v="2024-12-31T00:00:00"/>
    <n v="15"/>
    <s v="Active"/>
    <s v="Google"/>
    <s v="Mar-2023"/>
    <s v="Dec-2024"/>
    <x v="0"/>
    <s v="E-commerce"/>
    <s v="Small"/>
    <n v="2023"/>
  </r>
  <r>
    <s v="C0395"/>
    <s v="Basic"/>
    <d v="2020-02-26T00:00:00"/>
    <d v="2024-12-31T00:00:00"/>
    <n v="15"/>
    <s v="Active"/>
    <s v="Google"/>
    <s v="Feb-2020"/>
    <s v="Dec-2024"/>
    <x v="4"/>
    <s v="Retail"/>
    <s v="Small"/>
    <n v="2020"/>
  </r>
  <r>
    <s v="C0396"/>
    <s v="Basic"/>
    <d v="2022-01-14T00:00:00"/>
    <d v="2024-12-31T00:00:00"/>
    <n v="15"/>
    <s v="Active"/>
    <s v="Instagram"/>
    <s v="Jan-2022"/>
    <s v="Dec-2024"/>
    <x v="1"/>
    <s v="Retail"/>
    <s v="Enterprise"/>
    <n v="2022"/>
  </r>
  <r>
    <s v="C0397"/>
    <s v="Standard"/>
    <d v="2023-09-14T00:00:00"/>
    <d v="2024-12-31T00:00:00"/>
    <n v="25"/>
    <s v="Active"/>
    <s v="Referral"/>
    <s v="Sep-2023"/>
    <s v="Dec-2024"/>
    <x v="4"/>
    <s v="Finance"/>
    <s v="Medium"/>
    <n v="2023"/>
  </r>
  <r>
    <s v="C0398"/>
    <s v="Basic"/>
    <d v="2021-05-07T00:00:00"/>
    <d v="2024-12-31T00:00:00"/>
    <n v="15"/>
    <s v="Active"/>
    <s v="Facebook"/>
    <s v="May-2021"/>
    <s v="Dec-2024"/>
    <x v="0"/>
    <s v="Education"/>
    <s v="Large"/>
    <n v="2021"/>
  </r>
  <r>
    <s v="C0399"/>
    <s v="Basic"/>
    <d v="2022-12-02T00:00:00"/>
    <d v="2024-06-11T00:00:00"/>
    <n v="15"/>
    <s v="Churned"/>
    <s v="Google"/>
    <s v="Dec-2022"/>
    <s v="Jun-2024"/>
    <x v="2"/>
    <s v="Healthcare"/>
    <s v="Enterprise"/>
    <n v="2022"/>
  </r>
  <r>
    <s v="C0400"/>
    <s v="Standard"/>
    <d v="2022-11-24T00:00:00"/>
    <d v="2024-12-31T00:00:00"/>
    <n v="25"/>
    <s v="Active"/>
    <s v="Instagram"/>
    <s v="Nov-2022"/>
    <s v="Dec-2024"/>
    <x v="0"/>
    <s v="Tech"/>
    <s v="Enterprise"/>
    <n v="2022"/>
  </r>
  <r>
    <s v="C0401"/>
    <s v="Standard"/>
    <d v="2021-06-14T00:00:00"/>
    <d v="2024-12-31T00:00:00"/>
    <n v="25"/>
    <s v="Active"/>
    <s v="Facebook"/>
    <s v="Jun-2021"/>
    <s v="Dec-2024"/>
    <x v="3"/>
    <s v="Retail"/>
    <s v="Small"/>
    <n v="2021"/>
  </r>
  <r>
    <s v="C0402"/>
    <s v="Standard"/>
    <d v="2020-09-08T00:00:00"/>
    <d v="2024-12-31T00:00:00"/>
    <n v="25"/>
    <s v="Active"/>
    <s v="Google"/>
    <s v="Sep-2020"/>
    <s v="Dec-2024"/>
    <x v="2"/>
    <s v="E-commerce"/>
    <s v="Large"/>
    <n v="2020"/>
  </r>
  <r>
    <s v="C0403"/>
    <s v="Standard"/>
    <d v="2020-09-09T00:00:00"/>
    <d v="2024-12-31T00:00:00"/>
    <n v="25"/>
    <s v="Active"/>
    <s v="Google"/>
    <s v="Sep-2020"/>
    <s v="Dec-2024"/>
    <x v="1"/>
    <s v="Retail"/>
    <s v="Enterprise"/>
    <n v="2020"/>
  </r>
  <r>
    <s v="C0404"/>
    <s v="Standard"/>
    <d v="2021-06-14T00:00:00"/>
    <d v="2024-12-31T00:00:00"/>
    <n v="25"/>
    <s v="Active"/>
    <s v="Referral"/>
    <s v="Jun-2021"/>
    <s v="Dec-2024"/>
    <x v="1"/>
    <s v="Tech"/>
    <s v="Medium"/>
    <n v="2021"/>
  </r>
  <r>
    <s v="C0405"/>
    <s v="Standard"/>
    <d v="2020-11-05T00:00:00"/>
    <d v="2024-12-31T00:00:00"/>
    <n v="25"/>
    <s v="Active"/>
    <s v="Instagram"/>
    <s v="Nov-2020"/>
    <s v="Dec-2024"/>
    <x v="1"/>
    <s v="Education"/>
    <s v="Small"/>
    <n v="2020"/>
  </r>
  <r>
    <s v="C0406"/>
    <s v="Standard"/>
    <d v="2020-03-05T00:00:00"/>
    <d v="2024-12-31T00:00:00"/>
    <n v="25"/>
    <s v="Active"/>
    <s v="Instagram"/>
    <s v="Mar-2020"/>
    <s v="Dec-2024"/>
    <x v="3"/>
    <s v="Tech"/>
    <s v="Small"/>
    <n v="2020"/>
  </r>
  <r>
    <s v="C0407"/>
    <s v="Premium"/>
    <d v="2021-12-08T00:00:00"/>
    <d v="2024-12-31T00:00:00"/>
    <n v="40"/>
    <s v="Active"/>
    <s v="Facebook"/>
    <s v="Dec-2021"/>
    <s v="Dec-2024"/>
    <x v="1"/>
    <s v="Retail"/>
    <s v="Enterprise"/>
    <n v="2021"/>
  </r>
  <r>
    <s v="C0408"/>
    <s v="Premium"/>
    <d v="2021-06-05T00:00:00"/>
    <d v="2024-12-31T00:00:00"/>
    <n v="40"/>
    <s v="Active"/>
    <s v="Google"/>
    <s v="Jun-2021"/>
    <s v="Dec-2024"/>
    <x v="1"/>
    <s v="Finance"/>
    <s v="Medium"/>
    <n v="2021"/>
  </r>
  <r>
    <s v="C0409"/>
    <s v="Standard"/>
    <d v="2022-01-29T00:00:00"/>
    <d v="2024-12-31T00:00:00"/>
    <n v="25"/>
    <s v="Active"/>
    <s v="LinkedIn"/>
    <s v="Jan-2022"/>
    <s v="Dec-2024"/>
    <x v="1"/>
    <s v="Retail"/>
    <s v="Enterprise"/>
    <n v="2022"/>
  </r>
  <r>
    <s v="C0410"/>
    <s v="Basic"/>
    <d v="2023-12-30T00:00:00"/>
    <d v="2024-12-31T00:00:00"/>
    <n v="15"/>
    <s v="Active"/>
    <s v="Referral"/>
    <s v="Dec-2023"/>
    <s v="Dec-2024"/>
    <x v="2"/>
    <s v="Tech"/>
    <s v="Small"/>
    <n v="2023"/>
  </r>
  <r>
    <s v="C0411"/>
    <s v="Standard"/>
    <d v="2023-07-12T00:00:00"/>
    <d v="2024-12-31T00:00:00"/>
    <n v="25"/>
    <s v="Active"/>
    <s v="LinkedIn"/>
    <s v="Jul-2023"/>
    <s v="Dec-2024"/>
    <x v="3"/>
    <s v="E-commerce"/>
    <s v="Large"/>
    <n v="2023"/>
  </r>
  <r>
    <s v="C0412"/>
    <s v="Basic"/>
    <d v="2021-02-20T00:00:00"/>
    <d v="2024-12-31T00:00:00"/>
    <n v="15"/>
    <s v="Active"/>
    <s v="Referral"/>
    <s v="Feb-2021"/>
    <s v="Dec-2024"/>
    <x v="3"/>
    <s v="Education"/>
    <s v="Small"/>
    <n v="2021"/>
  </r>
  <r>
    <s v="C0413"/>
    <s v="Basic"/>
    <d v="2022-09-13T00:00:00"/>
    <d v="2024-12-31T00:00:00"/>
    <n v="15"/>
    <s v="Active"/>
    <s v="Google"/>
    <s v="Sep-2022"/>
    <s v="Dec-2024"/>
    <x v="1"/>
    <s v="E-commerce"/>
    <s v="Large"/>
    <n v="2022"/>
  </r>
  <r>
    <s v="C0414"/>
    <s v="Basic"/>
    <d v="2021-11-17T00:00:00"/>
    <d v="2024-12-31T00:00:00"/>
    <n v="15"/>
    <s v="Active"/>
    <s v="Google"/>
    <s v="Nov-2021"/>
    <s v="Dec-2024"/>
    <x v="2"/>
    <s v="Tech"/>
    <s v="Medium"/>
    <n v="2021"/>
  </r>
  <r>
    <s v="C0415"/>
    <s v="Standard"/>
    <d v="2020-06-28T00:00:00"/>
    <d v="2024-12-31T00:00:00"/>
    <n v="25"/>
    <s v="Active"/>
    <s v="Referral"/>
    <s v="Jun-2020"/>
    <s v="Dec-2024"/>
    <x v="3"/>
    <s v="E-commerce"/>
    <s v="Large"/>
    <n v="2020"/>
  </r>
  <r>
    <s v="C0416"/>
    <s v="Premium"/>
    <d v="2022-10-02T00:00:00"/>
    <d v="2024-12-31T00:00:00"/>
    <n v="40"/>
    <s v="Active"/>
    <s v="LinkedIn"/>
    <s v="Oct-2022"/>
    <s v="Dec-2024"/>
    <x v="0"/>
    <s v="Retail"/>
    <s v="Small"/>
    <n v="2022"/>
  </r>
  <r>
    <s v="C0417"/>
    <s v="Standard"/>
    <d v="2023-04-15T00:00:00"/>
    <d v="2024-12-31T00:00:00"/>
    <n v="25"/>
    <s v="Active"/>
    <s v="Instagram"/>
    <s v="Apr-2023"/>
    <s v="Dec-2024"/>
    <x v="0"/>
    <s v="Education"/>
    <s v="Large"/>
    <n v="2023"/>
  </r>
  <r>
    <s v="C0418"/>
    <s v="Premium"/>
    <d v="2023-10-06T00:00:00"/>
    <d v="2024-12-31T00:00:00"/>
    <n v="40"/>
    <s v="Churned"/>
    <s v="Referral"/>
    <s v="Oct-2023"/>
    <s v="Dec-2024"/>
    <x v="1"/>
    <s v="Healthcare"/>
    <s v="Small"/>
    <n v="2023"/>
  </r>
  <r>
    <s v="C0419"/>
    <s v="Basic"/>
    <d v="2023-06-14T00:00:00"/>
    <d v="2024-07-31T00:00:00"/>
    <n v="15"/>
    <s v="Churned"/>
    <s v="Google"/>
    <s v="Jun-2023"/>
    <s v="Jul-2024"/>
    <x v="1"/>
    <s v="Education"/>
    <s v="Large"/>
    <n v="2023"/>
  </r>
  <r>
    <s v="C0420"/>
    <s v="Premium"/>
    <d v="2023-09-07T00:00:00"/>
    <d v="2024-06-21T00:00:00"/>
    <n v="40"/>
    <s v="Churned"/>
    <s v="Instagram"/>
    <s v="Sep-2023"/>
    <s v="Jun-2024"/>
    <x v="5"/>
    <s v="Finance"/>
    <s v="Medium"/>
    <n v="2023"/>
  </r>
  <r>
    <s v="C0421"/>
    <s v="Premium"/>
    <d v="2020-02-26T00:00:00"/>
    <d v="2024-12-31T00:00:00"/>
    <n v="40"/>
    <s v="Active"/>
    <s v="LinkedIn"/>
    <s v="Feb-2020"/>
    <s v="Dec-2024"/>
    <x v="3"/>
    <s v="Tech"/>
    <s v="Medium"/>
    <n v="2020"/>
  </r>
  <r>
    <s v="C0422"/>
    <s v="Premium"/>
    <d v="2020-08-11T00:00:00"/>
    <d v="2022-12-13T00:00:00"/>
    <n v="40"/>
    <s v="Churned"/>
    <s v="Facebook"/>
    <s v="Aug-2020"/>
    <s v="Dec-2022"/>
    <x v="1"/>
    <s v="Education"/>
    <s v="Small"/>
    <n v="2020"/>
  </r>
  <r>
    <s v="C0423"/>
    <s v="Standard"/>
    <d v="2022-10-17T00:00:00"/>
    <d v="2024-12-31T00:00:00"/>
    <n v="25"/>
    <s v="Active"/>
    <s v="Facebook"/>
    <s v="Oct-2022"/>
    <s v="Dec-2024"/>
    <x v="4"/>
    <s v="Finance"/>
    <s v="Medium"/>
    <n v="2022"/>
  </r>
  <r>
    <s v="C0424"/>
    <s v="Premium"/>
    <d v="2020-11-22T00:00:00"/>
    <d v="2024-12-31T00:00:00"/>
    <n v="40"/>
    <s v="Active"/>
    <s v="LinkedIn"/>
    <s v="Nov-2020"/>
    <s v="Dec-2024"/>
    <x v="3"/>
    <s v="Education"/>
    <s v="Small"/>
    <n v="2020"/>
  </r>
  <r>
    <s v="C0425"/>
    <s v="Standard"/>
    <d v="2023-04-23T00:00:00"/>
    <d v="2024-12-31T00:00:00"/>
    <n v="25"/>
    <s v="Churned"/>
    <s v="LinkedIn"/>
    <s v="Apr-2023"/>
    <s v="Dec-2024"/>
    <x v="0"/>
    <s v="Healthcare"/>
    <s v="Small"/>
    <n v="2023"/>
  </r>
  <r>
    <s v="C0426"/>
    <s v="Premium"/>
    <d v="2021-03-19T00:00:00"/>
    <d v="2024-12-31T00:00:00"/>
    <n v="40"/>
    <s v="Active"/>
    <s v="Instagram"/>
    <s v="Mar-2021"/>
    <s v="Dec-2024"/>
    <x v="1"/>
    <s v="Finance"/>
    <s v="Enterprise"/>
    <n v="2021"/>
  </r>
  <r>
    <s v="C0427"/>
    <s v="Basic"/>
    <d v="2020-04-27T00:00:00"/>
    <d v="2024-12-31T00:00:00"/>
    <n v="15"/>
    <s v="Active"/>
    <s v="LinkedIn"/>
    <s v="Apr-2020"/>
    <s v="Dec-2024"/>
    <x v="2"/>
    <s v="Tech"/>
    <s v="Medium"/>
    <n v="2020"/>
  </r>
  <r>
    <s v="C0428"/>
    <s v="Standard"/>
    <d v="2021-06-06T00:00:00"/>
    <d v="2021-12-25T00:00:00"/>
    <n v="25"/>
    <s v="Churned"/>
    <s v="Facebook"/>
    <s v="Jun-2021"/>
    <s v="Dec-2021"/>
    <x v="2"/>
    <s v="Education"/>
    <s v="Medium"/>
    <n v="2021"/>
  </r>
  <r>
    <s v="C0429"/>
    <s v="Premium"/>
    <d v="2022-07-17T00:00:00"/>
    <d v="2023-10-22T00:00:00"/>
    <n v="40"/>
    <s v="Churned"/>
    <s v="Facebook"/>
    <s v="Jul-2022"/>
    <s v="Oct-2023"/>
    <x v="3"/>
    <s v="Education"/>
    <s v="Enterprise"/>
    <n v="2022"/>
  </r>
  <r>
    <s v="C0430"/>
    <s v="Premium"/>
    <d v="2021-04-27T00:00:00"/>
    <d v="2024-12-31T00:00:00"/>
    <n v="40"/>
    <s v="Active"/>
    <s v="LinkedIn"/>
    <s v="Apr-2021"/>
    <s v="Dec-2024"/>
    <x v="2"/>
    <s v="Education"/>
    <s v="Large"/>
    <n v="2021"/>
  </r>
  <r>
    <s v="C0431"/>
    <s v="Basic"/>
    <d v="2023-05-18T00:00:00"/>
    <d v="2024-12-31T00:00:00"/>
    <n v="15"/>
    <s v="Churned"/>
    <s v="Facebook"/>
    <s v="May-2023"/>
    <s v="Dec-2024"/>
    <x v="2"/>
    <s v="Healthcare"/>
    <s v="Large"/>
    <n v="2023"/>
  </r>
  <r>
    <s v="C0432"/>
    <s v="Basic"/>
    <d v="2024-03-08T00:00:00"/>
    <d v="2024-12-31T00:00:00"/>
    <n v="15"/>
    <s v="Churned"/>
    <s v="LinkedIn"/>
    <s v="Mar-2024"/>
    <s v="Dec-2024"/>
    <x v="3"/>
    <s v="Retail"/>
    <s v="Small"/>
    <n v="2024"/>
  </r>
  <r>
    <s v="C0433"/>
    <s v="Standard"/>
    <d v="2023-05-17T00:00:00"/>
    <d v="2024-12-31T00:00:00"/>
    <n v="25"/>
    <s v="Active"/>
    <s v="Google"/>
    <s v="May-2023"/>
    <s v="Dec-2024"/>
    <x v="4"/>
    <s v="Finance"/>
    <s v="Enterprise"/>
    <n v="2023"/>
  </r>
  <r>
    <s v="C0434"/>
    <s v="Basic"/>
    <d v="2022-07-31T00:00:00"/>
    <d v="2024-12-31T00:00:00"/>
    <n v="15"/>
    <s v="Active"/>
    <s v="Google"/>
    <s v="Jul-2022"/>
    <s v="Dec-2024"/>
    <x v="1"/>
    <s v="Tech"/>
    <s v="Large"/>
    <n v="2022"/>
  </r>
  <r>
    <s v="C0435"/>
    <s v="Basic"/>
    <d v="2021-11-11T00:00:00"/>
    <d v="2024-12-31T00:00:00"/>
    <n v="15"/>
    <s v="Active"/>
    <s v="Instagram"/>
    <s v="Nov-2021"/>
    <s v="Dec-2024"/>
    <x v="4"/>
    <s v="Tech"/>
    <s v="Medium"/>
    <n v="2021"/>
  </r>
  <r>
    <s v="C0436"/>
    <s v="Premium"/>
    <d v="2023-03-03T00:00:00"/>
    <d v="2024-12-31T00:00:00"/>
    <n v="40"/>
    <s v="Active"/>
    <s v="Google"/>
    <s v="Mar-2023"/>
    <s v="Dec-2024"/>
    <x v="3"/>
    <s v="Tech"/>
    <s v="Enterprise"/>
    <n v="2023"/>
  </r>
  <r>
    <s v="C0437"/>
    <s v="Standard"/>
    <d v="2020-07-04T00:00:00"/>
    <d v="2021-01-05T00:00:00"/>
    <n v="25"/>
    <s v="Churned"/>
    <s v="Google"/>
    <s v="Jul-2020"/>
    <s v="Jan-2021"/>
    <x v="1"/>
    <s v="Retail"/>
    <s v="Small"/>
    <n v="2020"/>
  </r>
  <r>
    <s v="C0438"/>
    <s v="Standard"/>
    <d v="2023-12-12T00:00:00"/>
    <d v="2024-12-31T00:00:00"/>
    <n v="25"/>
    <s v="Active"/>
    <s v="LinkedIn"/>
    <s v="Dec-2023"/>
    <s v="Dec-2024"/>
    <x v="5"/>
    <s v="E-commerce"/>
    <s v="Enterprise"/>
    <n v="2023"/>
  </r>
  <r>
    <s v="C0439"/>
    <s v="Standard"/>
    <d v="2022-07-27T00:00:00"/>
    <d v="2024-12-31T00:00:00"/>
    <n v="25"/>
    <s v="Active"/>
    <s v="Instagram"/>
    <s v="Jul-2022"/>
    <s v="Dec-2024"/>
    <x v="3"/>
    <s v="Retail"/>
    <s v="Small"/>
    <n v="2022"/>
  </r>
  <r>
    <s v="C0440"/>
    <s v="Basic"/>
    <d v="2021-04-27T00:00:00"/>
    <d v="2022-03-06T00:00:00"/>
    <n v="15"/>
    <s v="Churned"/>
    <s v="LinkedIn"/>
    <s v="Apr-2021"/>
    <s v="Mar-2022"/>
    <x v="3"/>
    <s v="E-commerce"/>
    <s v="Large"/>
    <n v="2021"/>
  </r>
  <r>
    <s v="C0441"/>
    <s v="Standard"/>
    <d v="2024-01-25T00:00:00"/>
    <d v="2024-12-31T00:00:00"/>
    <n v="25"/>
    <s v="Active"/>
    <s v="Referral"/>
    <s v="Jan-2024"/>
    <s v="Dec-2024"/>
    <x v="5"/>
    <s v="Retail"/>
    <s v="Small"/>
    <n v="2024"/>
  </r>
  <r>
    <s v="C0442"/>
    <s v="Standard"/>
    <d v="2021-12-31T00:00:00"/>
    <d v="2024-12-31T00:00:00"/>
    <n v="25"/>
    <s v="Active"/>
    <s v="Facebook"/>
    <s v="Dec-2021"/>
    <s v="Dec-2024"/>
    <x v="3"/>
    <s v="E-commerce"/>
    <s v="Medium"/>
    <n v="2021"/>
  </r>
  <r>
    <s v="C0443"/>
    <s v="Basic"/>
    <d v="2020-02-23T00:00:00"/>
    <d v="2024-12-31T00:00:00"/>
    <n v="15"/>
    <s v="Active"/>
    <s v="Google"/>
    <s v="Feb-2020"/>
    <s v="Dec-2024"/>
    <x v="3"/>
    <s v="Healthcare"/>
    <s v="Enterprise"/>
    <n v="2020"/>
  </r>
  <r>
    <s v="C0444"/>
    <s v="Standard"/>
    <d v="2024-05-17T00:00:00"/>
    <d v="2024-12-31T00:00:00"/>
    <n v="25"/>
    <s v="Active"/>
    <s v="Referral"/>
    <s v="May-2024"/>
    <s v="Dec-2024"/>
    <x v="5"/>
    <s v="Healthcare"/>
    <s v="Enterprise"/>
    <n v="2024"/>
  </r>
  <r>
    <s v="C0445"/>
    <s v="Premium"/>
    <d v="2020-01-18T00:00:00"/>
    <d v="2024-12-31T00:00:00"/>
    <n v="40"/>
    <s v="Active"/>
    <s v="Google"/>
    <s v="Jan-2020"/>
    <s v="Dec-2024"/>
    <x v="0"/>
    <s v="E-commerce"/>
    <s v="Enterprise"/>
    <n v="2020"/>
  </r>
  <r>
    <s v="C0446"/>
    <s v="Basic"/>
    <d v="2024-01-02T00:00:00"/>
    <d v="2024-12-31T00:00:00"/>
    <n v="15"/>
    <s v="Active"/>
    <s v="Facebook"/>
    <s v="Jan-2024"/>
    <s v="Dec-2024"/>
    <x v="1"/>
    <s v="Retail"/>
    <s v="Small"/>
    <n v="2024"/>
  </r>
  <r>
    <s v="C0447"/>
    <s v="Standard"/>
    <d v="2022-11-25T00:00:00"/>
    <d v="2024-12-31T00:00:00"/>
    <n v="25"/>
    <s v="Active"/>
    <s v="Referral"/>
    <s v="Nov-2022"/>
    <s v="Dec-2024"/>
    <x v="3"/>
    <s v="Tech"/>
    <s v="Medium"/>
    <n v="2022"/>
  </r>
  <r>
    <s v="C0448"/>
    <s v="Premium"/>
    <d v="2021-11-01T00:00:00"/>
    <d v="2024-12-31T00:00:00"/>
    <n v="40"/>
    <s v="Active"/>
    <s v="Google"/>
    <s v="Nov-2021"/>
    <s v="Dec-2024"/>
    <x v="3"/>
    <s v="Finance"/>
    <s v="Small"/>
    <n v="2021"/>
  </r>
  <r>
    <s v="C0449"/>
    <s v="Standard"/>
    <d v="2021-11-08T00:00:00"/>
    <d v="2024-12-31T00:00:00"/>
    <n v="25"/>
    <s v="Active"/>
    <s v="LinkedIn"/>
    <s v="Nov-2021"/>
    <s v="Dec-2024"/>
    <x v="2"/>
    <s v="E-commerce"/>
    <s v="Enterprise"/>
    <n v="2021"/>
  </r>
  <r>
    <s v="C0450"/>
    <s v="Premium"/>
    <d v="2021-07-19T00:00:00"/>
    <d v="2024-12-31T00:00:00"/>
    <n v="40"/>
    <s v="Active"/>
    <s v="LinkedIn"/>
    <s v="Jul-2021"/>
    <s v="Dec-2024"/>
    <x v="0"/>
    <s v="Tech"/>
    <s v="Medium"/>
    <n v="2021"/>
  </r>
  <r>
    <s v="C0451"/>
    <s v="Standard"/>
    <d v="2023-03-12T00:00:00"/>
    <d v="2024-12-31T00:00:00"/>
    <n v="25"/>
    <s v="Active"/>
    <s v="Referral"/>
    <s v="Mar-2023"/>
    <s v="Dec-2024"/>
    <x v="1"/>
    <s v="Healthcare"/>
    <s v="Medium"/>
    <n v="2023"/>
  </r>
  <r>
    <s v="C0452"/>
    <s v="Basic"/>
    <d v="2022-06-08T00:00:00"/>
    <d v="2024-12-31T00:00:00"/>
    <n v="15"/>
    <s v="Active"/>
    <s v="LinkedIn"/>
    <s v="Jun-2022"/>
    <s v="Dec-2024"/>
    <x v="5"/>
    <s v="Finance"/>
    <s v="Medium"/>
    <n v="2022"/>
  </r>
  <r>
    <s v="C0453"/>
    <s v="Premium"/>
    <d v="2022-11-20T00:00:00"/>
    <d v="2023-08-03T00:00:00"/>
    <n v="40"/>
    <s v="Churned"/>
    <s v="LinkedIn"/>
    <s v="Nov-2022"/>
    <s v="Aug-2023"/>
    <x v="4"/>
    <s v="Healthcare"/>
    <s v="Small"/>
    <n v="2022"/>
  </r>
  <r>
    <s v="C0454"/>
    <s v="Standard"/>
    <d v="2021-02-18T00:00:00"/>
    <d v="2021-12-11T00:00:00"/>
    <n v="25"/>
    <s v="Churned"/>
    <s v="Google"/>
    <s v="Feb-2021"/>
    <s v="Dec-2021"/>
    <x v="2"/>
    <s v="Retail"/>
    <s v="Medium"/>
    <n v="2021"/>
  </r>
  <r>
    <s v="C0455"/>
    <s v="Basic"/>
    <d v="2020-02-29T00:00:00"/>
    <d v="2021-11-19T00:00:00"/>
    <n v="15"/>
    <s v="Churned"/>
    <s v="Instagram"/>
    <s v="Feb-2020"/>
    <s v="Nov-2021"/>
    <x v="5"/>
    <s v="Healthcare"/>
    <s v="Medium"/>
    <n v="2020"/>
  </r>
  <r>
    <s v="C0456"/>
    <s v="Standard"/>
    <d v="2023-09-22T00:00:00"/>
    <d v="2024-12-31T00:00:00"/>
    <n v="25"/>
    <s v="Active"/>
    <s v="Instagram"/>
    <s v="Sep-2023"/>
    <s v="Dec-2024"/>
    <x v="5"/>
    <s v="Healthcare"/>
    <s v="Enterprise"/>
    <n v="2023"/>
  </r>
  <r>
    <s v="C0457"/>
    <s v="Premium"/>
    <d v="2024-01-24T00:00:00"/>
    <d v="2024-12-31T00:00:00"/>
    <n v="40"/>
    <s v="Active"/>
    <s v="Referral"/>
    <s v="Jan-2024"/>
    <s v="Dec-2024"/>
    <x v="5"/>
    <s v="Retail"/>
    <s v="Enterprise"/>
    <n v="2024"/>
  </r>
  <r>
    <s v="C0458"/>
    <s v="Premium"/>
    <d v="2023-09-26T00:00:00"/>
    <d v="2024-08-06T00:00:00"/>
    <n v="40"/>
    <s v="Churned"/>
    <s v="Google"/>
    <s v="Sep-2023"/>
    <s v="Aug-2024"/>
    <x v="2"/>
    <s v="Healthcare"/>
    <s v="Small"/>
    <n v="2023"/>
  </r>
  <r>
    <s v="C0459"/>
    <s v="Premium"/>
    <d v="2021-01-07T00:00:00"/>
    <d v="2024-12-31T00:00:00"/>
    <n v="40"/>
    <s v="Active"/>
    <s v="Instagram"/>
    <s v="Jan-2021"/>
    <s v="Dec-2024"/>
    <x v="1"/>
    <s v="Education"/>
    <s v="Enterprise"/>
    <n v="2021"/>
  </r>
  <r>
    <s v="C0460"/>
    <s v="Basic"/>
    <d v="2021-04-30T00:00:00"/>
    <d v="2021-07-10T00:00:00"/>
    <n v="15"/>
    <s v="Churned"/>
    <s v="Instagram"/>
    <s v="Apr-2021"/>
    <s v="Jul-2021"/>
    <x v="5"/>
    <s v="Finance"/>
    <s v="Large"/>
    <n v="2021"/>
  </r>
  <r>
    <s v="C0461"/>
    <s v="Basic"/>
    <d v="2021-11-18T00:00:00"/>
    <d v="2024-12-31T00:00:00"/>
    <n v="15"/>
    <s v="Active"/>
    <s v="LinkedIn"/>
    <s v="Nov-2021"/>
    <s v="Dec-2024"/>
    <x v="0"/>
    <s v="Retail"/>
    <s v="Large"/>
    <n v="2021"/>
  </r>
  <r>
    <s v="C0462"/>
    <s v="Standard"/>
    <d v="2021-02-28T00:00:00"/>
    <d v="2023-06-10T00:00:00"/>
    <n v="25"/>
    <s v="Churned"/>
    <s v="Instagram"/>
    <s v="Feb-2021"/>
    <s v="Jun-2023"/>
    <x v="5"/>
    <s v="Education"/>
    <s v="Large"/>
    <n v="2021"/>
  </r>
  <r>
    <s v="C0463"/>
    <s v="Basic"/>
    <d v="2020-01-12T00:00:00"/>
    <d v="2024-12-31T00:00:00"/>
    <n v="15"/>
    <s v="Active"/>
    <s v="LinkedIn"/>
    <s v="Jan-2020"/>
    <s v="Dec-2024"/>
    <x v="1"/>
    <s v="Retail"/>
    <s v="Large"/>
    <n v="2020"/>
  </r>
  <r>
    <s v="C0464"/>
    <s v="Basic"/>
    <d v="2021-05-22T00:00:00"/>
    <d v="2024-12-31T00:00:00"/>
    <n v="15"/>
    <s v="Active"/>
    <s v="Referral"/>
    <s v="May-2021"/>
    <s v="Dec-2024"/>
    <x v="3"/>
    <s v="Tech"/>
    <s v="Enterprise"/>
    <n v="2021"/>
  </r>
  <r>
    <s v="C0465"/>
    <s v="Standard"/>
    <d v="2022-10-04T00:00:00"/>
    <d v="2024-12-31T00:00:00"/>
    <n v="25"/>
    <s v="Active"/>
    <s v="Referral"/>
    <s v="Oct-2022"/>
    <s v="Dec-2024"/>
    <x v="4"/>
    <s v="Healthcare"/>
    <s v="Small"/>
    <n v="2022"/>
  </r>
  <r>
    <s v="C0466"/>
    <s v="Basic"/>
    <d v="2022-12-23T00:00:00"/>
    <d v="2024-12-31T00:00:00"/>
    <n v="15"/>
    <s v="Active"/>
    <s v="Referral"/>
    <s v="Dec-2022"/>
    <s v="Dec-2024"/>
    <x v="0"/>
    <s v="Retail"/>
    <s v="Enterprise"/>
    <n v="2022"/>
  </r>
  <r>
    <s v="C0467"/>
    <s v="Standard"/>
    <d v="2020-09-24T00:00:00"/>
    <d v="2024-12-31T00:00:00"/>
    <n v="25"/>
    <s v="Active"/>
    <s v="Referral"/>
    <s v="Sep-2020"/>
    <s v="Dec-2024"/>
    <x v="4"/>
    <s v="Tech"/>
    <s v="Small"/>
    <n v="2020"/>
  </r>
  <r>
    <s v="C0468"/>
    <s v="Basic"/>
    <d v="2023-01-11T00:00:00"/>
    <d v="2024-12-31T00:00:00"/>
    <n v="15"/>
    <s v="Active"/>
    <s v="Instagram"/>
    <s v="Jan-2023"/>
    <s v="Dec-2024"/>
    <x v="0"/>
    <s v="Tech"/>
    <s v="Enterprise"/>
    <n v="2023"/>
  </r>
  <r>
    <s v="C0469"/>
    <s v="Premium"/>
    <d v="2024-02-24T00:00:00"/>
    <d v="2024-12-31T00:00:00"/>
    <n v="40"/>
    <s v="Active"/>
    <s v="LinkedIn"/>
    <s v="Feb-2024"/>
    <s v="Dec-2024"/>
    <x v="5"/>
    <s v="Retail"/>
    <s v="Small"/>
    <n v="2024"/>
  </r>
  <r>
    <s v="C0470"/>
    <s v="Standard"/>
    <d v="2023-08-04T00:00:00"/>
    <d v="2024-12-31T00:00:00"/>
    <n v="25"/>
    <s v="Active"/>
    <s v="Referral"/>
    <s v="Aug-2023"/>
    <s v="Dec-2024"/>
    <x v="2"/>
    <s v="Tech"/>
    <s v="Large"/>
    <n v="2023"/>
  </r>
  <r>
    <s v="C0471"/>
    <s v="Standard"/>
    <d v="2024-06-13T00:00:00"/>
    <d v="2024-12-31T00:00:00"/>
    <n v="25"/>
    <s v="Active"/>
    <s v="Google"/>
    <s v="Jun-2024"/>
    <s v="Dec-2024"/>
    <x v="3"/>
    <s v="E-commerce"/>
    <s v="Large"/>
    <n v="2024"/>
  </r>
  <r>
    <s v="C0472"/>
    <s v="Premium"/>
    <d v="2020-03-23T00:00:00"/>
    <d v="2024-12-31T00:00:00"/>
    <n v="40"/>
    <s v="Active"/>
    <s v="Google"/>
    <s v="Mar-2020"/>
    <s v="Dec-2024"/>
    <x v="3"/>
    <s v="E-commerce"/>
    <s v="Small"/>
    <n v="2020"/>
  </r>
  <r>
    <s v="C0473"/>
    <s v="Basic"/>
    <d v="2020-03-01T00:00:00"/>
    <d v="2020-09-25T00:00:00"/>
    <n v="15"/>
    <s v="Churned"/>
    <s v="Referral"/>
    <s v="Mar-2020"/>
    <s v="Sep-2020"/>
    <x v="2"/>
    <s v="Tech"/>
    <s v="Medium"/>
    <n v="2020"/>
  </r>
  <r>
    <s v="C0474"/>
    <s v="Basic"/>
    <d v="2022-03-18T00:00:00"/>
    <d v="2023-04-21T00:00:00"/>
    <n v="15"/>
    <s v="Churned"/>
    <s v="LinkedIn"/>
    <s v="Mar-2022"/>
    <s v="Apr-2023"/>
    <x v="3"/>
    <s v="Tech"/>
    <s v="Medium"/>
    <n v="2022"/>
  </r>
  <r>
    <s v="C0475"/>
    <s v="Basic"/>
    <d v="2020-05-24T00:00:00"/>
    <d v="2024-12-31T00:00:00"/>
    <n v="15"/>
    <s v="Active"/>
    <s v="Referral"/>
    <s v="May-2020"/>
    <s v="Dec-2024"/>
    <x v="3"/>
    <s v="E-commerce"/>
    <s v="Large"/>
    <n v="2020"/>
  </r>
  <r>
    <s v="C0476"/>
    <s v="Basic"/>
    <d v="2021-12-06T00:00:00"/>
    <d v="2024-12-31T00:00:00"/>
    <n v="15"/>
    <s v="Active"/>
    <s v="Facebook"/>
    <s v="Dec-2021"/>
    <s v="Dec-2024"/>
    <x v="5"/>
    <s v="Tech"/>
    <s v="Large"/>
    <n v="2021"/>
  </r>
  <r>
    <s v="C0477"/>
    <s v="Basic"/>
    <d v="2020-02-20T00:00:00"/>
    <d v="2020-05-22T00:00:00"/>
    <n v="15"/>
    <s v="Churned"/>
    <s v="Facebook"/>
    <s v="Feb-2020"/>
    <s v="May-2020"/>
    <x v="4"/>
    <s v="Tech"/>
    <s v="Enterprise"/>
    <n v="2020"/>
  </r>
  <r>
    <s v="C0478"/>
    <s v="Standard"/>
    <d v="2020-02-17T00:00:00"/>
    <d v="2024-12-31T00:00:00"/>
    <n v="25"/>
    <s v="Active"/>
    <s v="Instagram"/>
    <s v="Feb-2020"/>
    <s v="Dec-2024"/>
    <x v="4"/>
    <s v="Finance"/>
    <s v="Large"/>
    <n v="2020"/>
  </r>
  <r>
    <s v="C0479"/>
    <s v="Basic"/>
    <d v="2022-01-26T00:00:00"/>
    <d v="2024-12-31T00:00:00"/>
    <n v="15"/>
    <s v="Active"/>
    <s v="Facebook"/>
    <s v="Jan-2022"/>
    <s v="Dec-2024"/>
    <x v="4"/>
    <s v="Healthcare"/>
    <s v="Medium"/>
    <n v="2022"/>
  </r>
  <r>
    <s v="C0480"/>
    <s v="Standard"/>
    <d v="2022-09-25T00:00:00"/>
    <d v="2024-12-31T00:00:00"/>
    <n v="25"/>
    <s v="Active"/>
    <s v="LinkedIn"/>
    <s v="Sep-2022"/>
    <s v="Dec-2024"/>
    <x v="4"/>
    <s v="Education"/>
    <s v="Medium"/>
    <n v="2022"/>
  </r>
  <r>
    <s v="C0481"/>
    <s v="Basic"/>
    <d v="2022-05-02T00:00:00"/>
    <d v="2024-12-31T00:00:00"/>
    <n v="15"/>
    <s v="Active"/>
    <s v="Facebook"/>
    <s v="May-2022"/>
    <s v="Dec-2024"/>
    <x v="0"/>
    <s v="E-commerce"/>
    <s v="Large"/>
    <n v="2022"/>
  </r>
  <r>
    <s v="C0482"/>
    <s v="Premium"/>
    <d v="2023-08-02T00:00:00"/>
    <d v="2024-12-31T00:00:00"/>
    <n v="40"/>
    <s v="Active"/>
    <s v="Facebook"/>
    <s v="Aug-2023"/>
    <s v="Dec-2024"/>
    <x v="3"/>
    <s v="E-commerce"/>
    <s v="Enterprise"/>
    <n v="2023"/>
  </r>
  <r>
    <s v="C0483"/>
    <s v="Basic"/>
    <d v="2020-05-05T00:00:00"/>
    <d v="2022-02-13T00:00:00"/>
    <n v="15"/>
    <s v="Churned"/>
    <s v="LinkedIn"/>
    <s v="May-2020"/>
    <s v="Feb-2022"/>
    <x v="1"/>
    <s v="Healthcare"/>
    <s v="Enterprise"/>
    <n v="2020"/>
  </r>
  <r>
    <s v="C0484"/>
    <s v="Premium"/>
    <d v="2021-07-26T00:00:00"/>
    <d v="2024-12-31T00:00:00"/>
    <n v="40"/>
    <s v="Active"/>
    <s v="Google"/>
    <s v="Jul-2021"/>
    <s v="Dec-2024"/>
    <x v="2"/>
    <s v="Finance"/>
    <s v="Small"/>
    <n v="2021"/>
  </r>
  <r>
    <s v="C0485"/>
    <s v="Basic"/>
    <d v="2022-12-13T00:00:00"/>
    <d v="2023-05-03T00:00:00"/>
    <n v="15"/>
    <s v="Churned"/>
    <s v="LinkedIn"/>
    <s v="Dec-2022"/>
    <s v="May-2023"/>
    <x v="4"/>
    <s v="E-commerce"/>
    <s v="Small"/>
    <n v="2022"/>
  </r>
  <r>
    <s v="C0486"/>
    <s v="Premium"/>
    <d v="2022-08-28T00:00:00"/>
    <d v="2024-12-31T00:00:00"/>
    <n v="40"/>
    <s v="Active"/>
    <s v="LinkedIn"/>
    <s v="Aug-2022"/>
    <s v="Dec-2024"/>
    <x v="0"/>
    <s v="Tech"/>
    <s v="Medium"/>
    <n v="2022"/>
  </r>
  <r>
    <s v="C0487"/>
    <s v="Premium"/>
    <d v="2020-03-20T00:00:00"/>
    <d v="2024-12-31T00:00:00"/>
    <n v="40"/>
    <s v="Active"/>
    <s v="Google"/>
    <s v="Mar-2020"/>
    <s v="Dec-2024"/>
    <x v="5"/>
    <s v="Tech"/>
    <s v="Large"/>
    <n v="2020"/>
  </r>
  <r>
    <s v="C0488"/>
    <s v="Standard"/>
    <d v="2024-02-19T00:00:00"/>
    <d v="2024-12-31T00:00:00"/>
    <n v="25"/>
    <s v="Active"/>
    <s v="Facebook"/>
    <s v="Feb-2024"/>
    <s v="Dec-2024"/>
    <x v="4"/>
    <s v="Healthcare"/>
    <s v="Enterprise"/>
    <n v="2024"/>
  </r>
  <r>
    <s v="C0489"/>
    <s v="Standard"/>
    <d v="2023-12-19T00:00:00"/>
    <d v="2024-12-31T00:00:00"/>
    <n v="25"/>
    <s v="Active"/>
    <s v="Referral"/>
    <s v="Dec-2023"/>
    <s v="Dec-2024"/>
    <x v="3"/>
    <s v="Finance"/>
    <s v="Enterprise"/>
    <n v="2023"/>
  </r>
  <r>
    <s v="C0490"/>
    <s v="Basic"/>
    <d v="2021-11-15T00:00:00"/>
    <d v="2023-05-30T00:00:00"/>
    <n v="15"/>
    <s v="Churned"/>
    <s v="Facebook"/>
    <s v="Nov-2021"/>
    <s v="May-2023"/>
    <x v="5"/>
    <s v="Finance"/>
    <s v="Small"/>
    <n v="2021"/>
  </r>
  <r>
    <s v="C0491"/>
    <s v="Premium"/>
    <d v="2020-10-05T00:00:00"/>
    <d v="2022-11-18T00:00:00"/>
    <n v="40"/>
    <s v="Churned"/>
    <s v="Instagram"/>
    <s v="Oct-2020"/>
    <s v="Nov-2022"/>
    <x v="5"/>
    <s v="Education"/>
    <s v="Enterprise"/>
    <n v="2020"/>
  </r>
  <r>
    <s v="C0492"/>
    <s v="Basic"/>
    <d v="2022-10-18T00:00:00"/>
    <d v="2024-09-24T00:00:00"/>
    <n v="15"/>
    <s v="Churned"/>
    <s v="Referral"/>
    <s v="Oct-2022"/>
    <s v="Sep-2024"/>
    <x v="5"/>
    <s v="Finance"/>
    <s v="Enterprise"/>
    <n v="2022"/>
  </r>
  <r>
    <s v="C0493"/>
    <s v="Basic"/>
    <d v="2023-09-30T00:00:00"/>
    <d v="2024-12-31T00:00:00"/>
    <n v="15"/>
    <s v="Active"/>
    <s v="LinkedIn"/>
    <s v="Sep-2023"/>
    <s v="Dec-2024"/>
    <x v="1"/>
    <s v="Tech"/>
    <s v="Large"/>
    <n v="2023"/>
  </r>
  <r>
    <s v="C0494"/>
    <s v="Basic"/>
    <d v="2023-02-17T00:00:00"/>
    <d v="2024-12-31T00:00:00"/>
    <n v="15"/>
    <s v="Active"/>
    <s v="Referral"/>
    <s v="Feb-2023"/>
    <s v="Dec-2024"/>
    <x v="5"/>
    <s v="Education"/>
    <s v="Enterprise"/>
    <n v="2023"/>
  </r>
  <r>
    <s v="C0495"/>
    <s v="Premium"/>
    <d v="2020-10-12T00:00:00"/>
    <d v="2024-12-31T00:00:00"/>
    <n v="40"/>
    <s v="Active"/>
    <s v="Referral"/>
    <s v="Oct-2020"/>
    <s v="Dec-2024"/>
    <x v="1"/>
    <s v="Retail"/>
    <s v="Enterprise"/>
    <n v="2020"/>
  </r>
  <r>
    <s v="C0496"/>
    <s v="Standard"/>
    <d v="2021-12-20T00:00:00"/>
    <d v="2024-12-31T00:00:00"/>
    <n v="25"/>
    <s v="Active"/>
    <s v="Referral"/>
    <s v="Dec-2021"/>
    <s v="Dec-2024"/>
    <x v="1"/>
    <s v="Retail"/>
    <s v="Large"/>
    <n v="2021"/>
  </r>
  <r>
    <s v="C0497"/>
    <s v="Premium"/>
    <d v="2022-03-27T00:00:00"/>
    <d v="2024-12-31T00:00:00"/>
    <n v="40"/>
    <s v="Active"/>
    <s v="Instagram"/>
    <s v="Mar-2022"/>
    <s v="Dec-2024"/>
    <x v="1"/>
    <s v="Tech"/>
    <s v="Large"/>
    <n v="2022"/>
  </r>
  <r>
    <s v="C0498"/>
    <s v="Standard"/>
    <d v="2024-01-10T00:00:00"/>
    <d v="2024-12-31T00:00:00"/>
    <n v="25"/>
    <s v="Active"/>
    <s v="Google"/>
    <s v="Jan-2024"/>
    <s v="Dec-2024"/>
    <x v="3"/>
    <s v="E-commerce"/>
    <s v="Large"/>
    <n v="2024"/>
  </r>
  <r>
    <s v="C0499"/>
    <s v="Premium"/>
    <d v="2024-01-29T00:00:00"/>
    <d v="2024-12-31T00:00:00"/>
    <n v="40"/>
    <s v="Active"/>
    <s v="Instagram"/>
    <s v="Jan-2024"/>
    <s v="Dec-2024"/>
    <x v="4"/>
    <s v="Finance"/>
    <s v="Enterprise"/>
    <n v="2024"/>
  </r>
  <r>
    <s v="C0500"/>
    <s v="Basic"/>
    <d v="2023-07-24T00:00:00"/>
    <d v="2024-02-03T00:00:00"/>
    <n v="15"/>
    <s v="Churned"/>
    <s v="Google"/>
    <s v="Jul-2023"/>
    <s v="Feb-2024"/>
    <x v="3"/>
    <s v="E-commerce"/>
    <s v="Large"/>
    <n v="2023"/>
  </r>
  <r>
    <s v="C0501"/>
    <s v="Premium"/>
    <d v="2022-07-18T00:00:00"/>
    <d v="2024-12-31T00:00:00"/>
    <n v="40"/>
    <s v="Active"/>
    <s v="Facebook"/>
    <s v="Jul-2022"/>
    <s v="Dec-2024"/>
    <x v="0"/>
    <s v="Finance"/>
    <s v="Enterprise"/>
    <n v="2022"/>
  </r>
  <r>
    <s v="C0502"/>
    <s v="Basic"/>
    <d v="2020-06-03T00:00:00"/>
    <d v="2022-08-25T00:00:00"/>
    <n v="15"/>
    <s v="Churned"/>
    <s v="Referral"/>
    <s v="Jun-2020"/>
    <s v="Aug-2022"/>
    <x v="1"/>
    <s v="Finance"/>
    <s v="Large"/>
    <n v="2020"/>
  </r>
  <r>
    <s v="C0503"/>
    <s v="Basic"/>
    <d v="2022-06-17T00:00:00"/>
    <d v="2024-12-31T00:00:00"/>
    <n v="15"/>
    <s v="Active"/>
    <s v="Facebook"/>
    <s v="Jun-2022"/>
    <s v="Dec-2024"/>
    <x v="3"/>
    <s v="Retail"/>
    <s v="Large"/>
    <n v="2022"/>
  </r>
  <r>
    <s v="C0504"/>
    <s v="Standard"/>
    <d v="2024-06-29T00:00:00"/>
    <d v="2024-12-31T00:00:00"/>
    <n v="25"/>
    <s v="Active"/>
    <s v="Google"/>
    <s v="Jun-2024"/>
    <s v="Dec-2024"/>
    <x v="1"/>
    <s v="Healthcare"/>
    <s v="Medium"/>
    <n v="2024"/>
  </r>
  <r>
    <s v="C0505"/>
    <s v="Standard"/>
    <d v="2021-12-20T00:00:00"/>
    <d v="2023-08-16T00:00:00"/>
    <n v="25"/>
    <s v="Churned"/>
    <s v="Facebook"/>
    <s v="Dec-2021"/>
    <s v="Aug-2023"/>
    <x v="4"/>
    <s v="Education"/>
    <s v="Small"/>
    <n v="2021"/>
  </r>
  <r>
    <s v="C0506"/>
    <s v="Premium"/>
    <d v="2023-01-31T00:00:00"/>
    <d v="2024-11-24T00:00:00"/>
    <n v="40"/>
    <s v="Churned"/>
    <s v="Referral"/>
    <s v="Jan-2023"/>
    <s v="Nov-2024"/>
    <x v="4"/>
    <s v="Education"/>
    <s v="Small"/>
    <n v="2023"/>
  </r>
  <r>
    <s v="C0507"/>
    <s v="Standard"/>
    <d v="2021-06-24T00:00:00"/>
    <d v="2024-12-31T00:00:00"/>
    <n v="25"/>
    <s v="Active"/>
    <s v="Referral"/>
    <s v="Jun-2021"/>
    <s v="Dec-2024"/>
    <x v="0"/>
    <s v="Healthcare"/>
    <s v="Small"/>
    <n v="2021"/>
  </r>
  <r>
    <s v="C0508"/>
    <s v="Basic"/>
    <d v="2024-06-09T00:00:00"/>
    <d v="2024-12-31T00:00:00"/>
    <n v="15"/>
    <s v="Active"/>
    <s v="Facebook"/>
    <s v="Jun-2024"/>
    <s v="Dec-2024"/>
    <x v="1"/>
    <s v="Tech"/>
    <s v="Medium"/>
    <n v="2024"/>
  </r>
  <r>
    <s v="C0509"/>
    <s v="Premium"/>
    <d v="2023-12-02T00:00:00"/>
    <d v="2024-12-31T00:00:00"/>
    <n v="40"/>
    <s v="Churned"/>
    <s v="LinkedIn"/>
    <s v="Dec-2023"/>
    <s v="Dec-2024"/>
    <x v="3"/>
    <s v="Healthcare"/>
    <s v="Medium"/>
    <n v="2023"/>
  </r>
  <r>
    <s v="C0510"/>
    <s v="Standard"/>
    <d v="2020-04-25T00:00:00"/>
    <d v="2024-12-31T00:00:00"/>
    <n v="25"/>
    <s v="Active"/>
    <s v="Referral"/>
    <s v="Apr-2020"/>
    <s v="Dec-2024"/>
    <x v="5"/>
    <s v="Retail"/>
    <s v="Large"/>
    <n v="2020"/>
  </r>
  <r>
    <s v="C0511"/>
    <s v="Basic"/>
    <d v="2021-09-18T00:00:00"/>
    <d v="2024-12-31T00:00:00"/>
    <n v="15"/>
    <s v="Active"/>
    <s v="LinkedIn"/>
    <s v="Sep-2021"/>
    <s v="Dec-2024"/>
    <x v="3"/>
    <s v="Education"/>
    <s v="Large"/>
    <n v="2021"/>
  </r>
  <r>
    <s v="C0512"/>
    <s v="Basic"/>
    <d v="2023-11-16T00:00:00"/>
    <d v="2024-07-13T00:00:00"/>
    <n v="15"/>
    <s v="Churned"/>
    <s v="LinkedIn"/>
    <s v="Nov-2023"/>
    <s v="Jul-2024"/>
    <x v="0"/>
    <s v="Finance"/>
    <s v="Large"/>
    <n v="2023"/>
  </r>
  <r>
    <s v="C0513"/>
    <s v="Standard"/>
    <d v="2023-07-29T00:00:00"/>
    <d v="2024-12-31T00:00:00"/>
    <n v="25"/>
    <s v="Churned"/>
    <s v="LinkedIn"/>
    <s v="Jul-2023"/>
    <s v="Dec-2024"/>
    <x v="3"/>
    <s v="Tech"/>
    <s v="Medium"/>
    <n v="2023"/>
  </r>
  <r>
    <s v="C0514"/>
    <s v="Standard"/>
    <d v="2021-01-06T00:00:00"/>
    <d v="2021-08-05T00:00:00"/>
    <n v="25"/>
    <s v="Churned"/>
    <s v="LinkedIn"/>
    <s v="Jan-2021"/>
    <s v="Aug-2021"/>
    <x v="4"/>
    <s v="Retail"/>
    <s v="Small"/>
    <n v="2021"/>
  </r>
  <r>
    <s v="C0515"/>
    <s v="Basic"/>
    <d v="2021-06-18T00:00:00"/>
    <d v="2024-12-31T00:00:00"/>
    <n v="15"/>
    <s v="Active"/>
    <s v="Instagram"/>
    <s v="Jun-2021"/>
    <s v="Dec-2024"/>
    <x v="4"/>
    <s v="Tech"/>
    <s v="Small"/>
    <n v="2021"/>
  </r>
  <r>
    <s v="C0516"/>
    <s v="Standard"/>
    <d v="2022-09-30T00:00:00"/>
    <d v="2024-12-31T00:00:00"/>
    <n v="25"/>
    <s v="Active"/>
    <s v="Facebook"/>
    <s v="Sep-2022"/>
    <s v="Dec-2024"/>
    <x v="3"/>
    <s v="Finance"/>
    <s v="Medium"/>
    <n v="2022"/>
  </r>
  <r>
    <s v="C0517"/>
    <s v="Basic"/>
    <d v="2022-08-07T00:00:00"/>
    <d v="2024-12-31T00:00:00"/>
    <n v="15"/>
    <s v="Active"/>
    <s v="Facebook"/>
    <s v="Aug-2022"/>
    <s v="Dec-2024"/>
    <x v="3"/>
    <s v="Retail"/>
    <s v="Enterprise"/>
    <n v="2022"/>
  </r>
  <r>
    <s v="C0518"/>
    <s v="Basic"/>
    <d v="2024-04-06T00:00:00"/>
    <d v="2024-12-31T00:00:00"/>
    <n v="15"/>
    <s v="Churned"/>
    <s v="Google"/>
    <s v="Apr-2024"/>
    <s v="Dec-2024"/>
    <x v="2"/>
    <s v="Tech"/>
    <s v="Large"/>
    <n v="2024"/>
  </r>
  <r>
    <s v="C0519"/>
    <s v="Standard"/>
    <d v="2020-05-08T00:00:00"/>
    <d v="2022-06-25T00:00:00"/>
    <n v="25"/>
    <s v="Churned"/>
    <s v="Google"/>
    <s v="May-2020"/>
    <s v="Jun-2022"/>
    <x v="0"/>
    <s v="Finance"/>
    <s v="Small"/>
    <n v="2020"/>
  </r>
  <r>
    <s v="C0520"/>
    <s v="Standard"/>
    <d v="2023-03-10T00:00:00"/>
    <d v="2024-06-25T00:00:00"/>
    <n v="25"/>
    <s v="Churned"/>
    <s v="LinkedIn"/>
    <s v="Mar-2023"/>
    <s v="Jun-2024"/>
    <x v="2"/>
    <s v="Healthcare"/>
    <s v="Small"/>
    <n v="2023"/>
  </r>
  <r>
    <s v="C0521"/>
    <s v="Premium"/>
    <d v="2021-02-27T00:00:00"/>
    <d v="2023-04-20T00:00:00"/>
    <n v="40"/>
    <s v="Churned"/>
    <s v="Instagram"/>
    <s v="Feb-2021"/>
    <s v="Apr-2023"/>
    <x v="0"/>
    <s v="E-commerce"/>
    <s v="Small"/>
    <n v="2021"/>
  </r>
  <r>
    <s v="C0522"/>
    <s v="Basic"/>
    <d v="2023-08-09T00:00:00"/>
    <d v="2024-12-31T00:00:00"/>
    <n v="15"/>
    <s v="Churned"/>
    <s v="LinkedIn"/>
    <s v="Aug-2023"/>
    <s v="Dec-2024"/>
    <x v="2"/>
    <s v="Tech"/>
    <s v="Small"/>
    <n v="2023"/>
  </r>
  <r>
    <s v="C0523"/>
    <s v="Standard"/>
    <d v="2023-12-18T00:00:00"/>
    <d v="2024-10-08T00:00:00"/>
    <n v="25"/>
    <s v="Churned"/>
    <s v="Facebook"/>
    <s v="Dec-2023"/>
    <s v="Oct-2024"/>
    <x v="1"/>
    <s v="Finance"/>
    <s v="Large"/>
    <n v="2023"/>
  </r>
  <r>
    <s v="C0524"/>
    <s v="Premium"/>
    <d v="2020-05-02T00:00:00"/>
    <d v="2021-07-08T00:00:00"/>
    <n v="40"/>
    <s v="Churned"/>
    <s v="Google"/>
    <s v="May-2020"/>
    <s v="Jul-2021"/>
    <x v="1"/>
    <s v="Healthcare"/>
    <s v="Large"/>
    <n v="2020"/>
  </r>
  <r>
    <s v="C0525"/>
    <s v="Premium"/>
    <d v="2022-11-13T00:00:00"/>
    <d v="2024-12-31T00:00:00"/>
    <n v="40"/>
    <s v="Active"/>
    <s v="Facebook"/>
    <s v="Nov-2022"/>
    <s v="Dec-2024"/>
    <x v="5"/>
    <s v="Healthcare"/>
    <s v="Large"/>
    <n v="2022"/>
  </r>
  <r>
    <s v="C0526"/>
    <s v="Basic"/>
    <d v="2020-09-06T00:00:00"/>
    <d v="2024-12-31T00:00:00"/>
    <n v="15"/>
    <s v="Active"/>
    <s v="LinkedIn"/>
    <s v="Sep-2020"/>
    <s v="Dec-2024"/>
    <x v="3"/>
    <s v="Retail"/>
    <s v="Medium"/>
    <n v="2020"/>
  </r>
  <r>
    <s v="C0527"/>
    <s v="Basic"/>
    <d v="2023-12-02T00:00:00"/>
    <d v="2024-12-31T00:00:00"/>
    <n v="15"/>
    <s v="Active"/>
    <s v="Facebook"/>
    <s v="Dec-2023"/>
    <s v="Dec-2024"/>
    <x v="5"/>
    <s v="E-commerce"/>
    <s v="Enterprise"/>
    <n v="2023"/>
  </r>
  <r>
    <s v="C0528"/>
    <s v="Premium"/>
    <d v="2021-11-13T00:00:00"/>
    <d v="2024-12-31T00:00:00"/>
    <n v="40"/>
    <s v="Active"/>
    <s v="Instagram"/>
    <s v="Nov-2021"/>
    <s v="Dec-2024"/>
    <x v="0"/>
    <s v="E-commerce"/>
    <s v="Large"/>
    <n v="2021"/>
  </r>
  <r>
    <s v="C0529"/>
    <s v="Basic"/>
    <d v="2022-07-06T00:00:00"/>
    <d v="2024-12-31T00:00:00"/>
    <n v="15"/>
    <s v="Active"/>
    <s v="LinkedIn"/>
    <s v="Jul-2022"/>
    <s v="Dec-2024"/>
    <x v="4"/>
    <s v="Finance"/>
    <s v="Large"/>
    <n v="2022"/>
  </r>
  <r>
    <s v="C0530"/>
    <s v="Basic"/>
    <d v="2021-01-01T00:00:00"/>
    <d v="2024-12-31T00:00:00"/>
    <n v="15"/>
    <s v="Active"/>
    <s v="Instagram"/>
    <s v="Jan-2021"/>
    <s v="Dec-2024"/>
    <x v="1"/>
    <s v="Finance"/>
    <s v="Medium"/>
    <n v="2021"/>
  </r>
  <r>
    <s v="C0531"/>
    <s v="Premium"/>
    <d v="2021-09-28T00:00:00"/>
    <d v="2024-12-31T00:00:00"/>
    <n v="40"/>
    <s v="Active"/>
    <s v="Facebook"/>
    <s v="Sep-2021"/>
    <s v="Dec-2024"/>
    <x v="0"/>
    <s v="Finance"/>
    <s v="Enterprise"/>
    <n v="2021"/>
  </r>
  <r>
    <s v="C0532"/>
    <s v="Standard"/>
    <d v="2020-10-12T00:00:00"/>
    <d v="2024-12-31T00:00:00"/>
    <n v="25"/>
    <s v="Active"/>
    <s v="Instagram"/>
    <s v="Oct-2020"/>
    <s v="Dec-2024"/>
    <x v="2"/>
    <s v="E-commerce"/>
    <s v="Enterprise"/>
    <n v="2020"/>
  </r>
  <r>
    <s v="C0533"/>
    <s v="Basic"/>
    <d v="2022-11-08T00:00:00"/>
    <d v="2023-07-27T00:00:00"/>
    <n v="15"/>
    <s v="Churned"/>
    <s v="Facebook"/>
    <s v="Nov-2022"/>
    <s v="Jul-2023"/>
    <x v="5"/>
    <s v="Retail"/>
    <s v="Large"/>
    <n v="2022"/>
  </r>
  <r>
    <s v="C0534"/>
    <s v="Basic"/>
    <d v="2021-07-15T00:00:00"/>
    <d v="2024-12-31T00:00:00"/>
    <n v="15"/>
    <s v="Active"/>
    <s v="Instagram"/>
    <s v="Jul-2021"/>
    <s v="Dec-2024"/>
    <x v="3"/>
    <s v="E-commerce"/>
    <s v="Enterprise"/>
    <n v="2021"/>
  </r>
  <r>
    <s v="C0535"/>
    <s v="Standard"/>
    <d v="2020-08-14T00:00:00"/>
    <d v="2024-12-31T00:00:00"/>
    <n v="25"/>
    <s v="Active"/>
    <s v="Google"/>
    <s v="Aug-2020"/>
    <s v="Dec-2024"/>
    <x v="1"/>
    <s v="Education"/>
    <s v="Large"/>
    <n v="2020"/>
  </r>
  <r>
    <s v="C0536"/>
    <s v="Standard"/>
    <d v="2024-02-08T00:00:00"/>
    <d v="2024-12-31T00:00:00"/>
    <n v="25"/>
    <s v="Active"/>
    <s v="LinkedIn"/>
    <s v="Feb-2024"/>
    <s v="Dec-2024"/>
    <x v="2"/>
    <s v="Education"/>
    <s v="Small"/>
    <n v="2024"/>
  </r>
  <r>
    <s v="C0537"/>
    <s v="Standard"/>
    <d v="2020-06-30T00:00:00"/>
    <d v="2022-04-10T00:00:00"/>
    <n v="25"/>
    <s v="Churned"/>
    <s v="Referral"/>
    <s v="Jun-2020"/>
    <s v="Apr-2022"/>
    <x v="3"/>
    <s v="E-commerce"/>
    <s v="Enterprise"/>
    <n v="2020"/>
  </r>
  <r>
    <s v="C0538"/>
    <s v="Standard"/>
    <d v="2022-04-13T00:00:00"/>
    <d v="2024-12-31T00:00:00"/>
    <n v="25"/>
    <s v="Active"/>
    <s v="Google"/>
    <s v="Apr-2022"/>
    <s v="Dec-2024"/>
    <x v="5"/>
    <s v="Healthcare"/>
    <s v="Small"/>
    <n v="2022"/>
  </r>
  <r>
    <s v="C0539"/>
    <s v="Standard"/>
    <d v="2022-01-13T00:00:00"/>
    <d v="2024-04-26T00:00:00"/>
    <n v="25"/>
    <s v="Churned"/>
    <s v="LinkedIn"/>
    <s v="Jan-2022"/>
    <s v="Apr-2024"/>
    <x v="0"/>
    <s v="E-commerce"/>
    <s v="Enterprise"/>
    <n v="2022"/>
  </r>
  <r>
    <s v="C0540"/>
    <s v="Basic"/>
    <d v="2022-05-27T00:00:00"/>
    <d v="2024-12-31T00:00:00"/>
    <n v="15"/>
    <s v="Active"/>
    <s v="LinkedIn"/>
    <s v="May-2022"/>
    <s v="Dec-2024"/>
    <x v="4"/>
    <s v="Tech"/>
    <s v="Large"/>
    <n v="2022"/>
  </r>
  <r>
    <s v="C0541"/>
    <s v="Standard"/>
    <d v="2020-04-05T00:00:00"/>
    <d v="2020-09-05T00:00:00"/>
    <n v="25"/>
    <s v="Churned"/>
    <s v="LinkedIn"/>
    <s v="Apr-2020"/>
    <s v="Sep-2020"/>
    <x v="5"/>
    <s v="Tech"/>
    <s v="Small"/>
    <n v="2020"/>
  </r>
  <r>
    <s v="C0542"/>
    <s v="Basic"/>
    <d v="2022-08-08T00:00:00"/>
    <d v="2024-12-31T00:00:00"/>
    <n v="15"/>
    <s v="Active"/>
    <s v="Google"/>
    <s v="Aug-2022"/>
    <s v="Dec-2024"/>
    <x v="4"/>
    <s v="Tech"/>
    <s v="Large"/>
    <n v="2022"/>
  </r>
  <r>
    <s v="C0543"/>
    <s v="Standard"/>
    <d v="2024-02-20T00:00:00"/>
    <d v="2024-12-31T00:00:00"/>
    <n v="25"/>
    <s v="Active"/>
    <s v="Referral"/>
    <s v="Feb-2024"/>
    <s v="Dec-2024"/>
    <x v="1"/>
    <s v="Retail"/>
    <s v="Enterprise"/>
    <n v="2024"/>
  </r>
  <r>
    <s v="C0544"/>
    <s v="Standard"/>
    <d v="2021-07-07T00:00:00"/>
    <d v="2022-07-13T00:00:00"/>
    <n v="25"/>
    <s v="Churned"/>
    <s v="Google"/>
    <s v="Jul-2021"/>
    <s v="Jul-2022"/>
    <x v="2"/>
    <s v="E-commerce"/>
    <s v="Small"/>
    <n v="2021"/>
  </r>
  <r>
    <s v="C0545"/>
    <s v="Standard"/>
    <d v="2024-06-26T00:00:00"/>
    <d v="2024-12-31T00:00:00"/>
    <n v="25"/>
    <s v="Active"/>
    <s v="LinkedIn"/>
    <s v="Jun-2024"/>
    <s v="Dec-2024"/>
    <x v="3"/>
    <s v="Retail"/>
    <s v="Small"/>
    <n v="2024"/>
  </r>
  <r>
    <s v="C0546"/>
    <s v="Standard"/>
    <d v="2022-02-20T00:00:00"/>
    <d v="2024-12-31T00:00:00"/>
    <n v="25"/>
    <s v="Active"/>
    <s v="Referral"/>
    <s v="Feb-2022"/>
    <s v="Dec-2024"/>
    <x v="4"/>
    <s v="Healthcare"/>
    <s v="Large"/>
    <n v="2022"/>
  </r>
  <r>
    <s v="C0547"/>
    <s v="Basic"/>
    <d v="2024-05-29T00:00:00"/>
    <d v="2024-12-31T00:00:00"/>
    <n v="15"/>
    <s v="Active"/>
    <s v="Referral"/>
    <s v="May-2024"/>
    <s v="Dec-2024"/>
    <x v="5"/>
    <s v="Finance"/>
    <s v="Medium"/>
    <n v="2024"/>
  </r>
  <r>
    <s v="C0548"/>
    <s v="Premium"/>
    <d v="2023-09-23T00:00:00"/>
    <d v="2024-12-31T00:00:00"/>
    <n v="40"/>
    <s v="Churned"/>
    <s v="Referral"/>
    <s v="Sep-2023"/>
    <s v="Dec-2024"/>
    <x v="2"/>
    <s v="Retail"/>
    <s v="Medium"/>
    <n v="2023"/>
  </r>
  <r>
    <s v="C0549"/>
    <s v="Standard"/>
    <d v="2021-05-26T00:00:00"/>
    <d v="2023-09-28T00:00:00"/>
    <n v="25"/>
    <s v="Churned"/>
    <s v="LinkedIn"/>
    <s v="May-2021"/>
    <s v="Sep-2023"/>
    <x v="0"/>
    <s v="Tech"/>
    <s v="Medium"/>
    <n v="2021"/>
  </r>
  <r>
    <s v="C0550"/>
    <s v="Standard"/>
    <d v="2020-07-08T00:00:00"/>
    <d v="2024-12-31T00:00:00"/>
    <n v="25"/>
    <s v="Active"/>
    <s v="LinkedIn"/>
    <s v="Jul-2020"/>
    <s v="Dec-2024"/>
    <x v="3"/>
    <s v="E-commerce"/>
    <s v="Enterprise"/>
    <n v="2020"/>
  </r>
  <r>
    <s v="C0551"/>
    <s v="Basic"/>
    <d v="2020-08-06T00:00:00"/>
    <d v="2024-12-31T00:00:00"/>
    <n v="15"/>
    <s v="Active"/>
    <s v="Facebook"/>
    <s v="Aug-2020"/>
    <s v="Dec-2024"/>
    <x v="1"/>
    <s v="Education"/>
    <s v="Large"/>
    <n v="2020"/>
  </r>
  <r>
    <s v="C0552"/>
    <s v="Premium"/>
    <d v="2023-06-04T00:00:00"/>
    <d v="2024-12-31T00:00:00"/>
    <n v="40"/>
    <s v="Active"/>
    <s v="Facebook"/>
    <s v="Jun-2023"/>
    <s v="Dec-2024"/>
    <x v="3"/>
    <s v="Retail"/>
    <s v="Large"/>
    <n v="2023"/>
  </r>
  <r>
    <s v="C0553"/>
    <s v="Standard"/>
    <d v="2024-05-21T00:00:00"/>
    <d v="2024-12-31T00:00:00"/>
    <n v="25"/>
    <s v="Active"/>
    <s v="Referral"/>
    <s v="May-2024"/>
    <s v="Dec-2024"/>
    <x v="1"/>
    <s v="Retail"/>
    <s v="Enterprise"/>
    <n v="2024"/>
  </r>
  <r>
    <s v="C0554"/>
    <s v="Standard"/>
    <d v="2023-10-25T00:00:00"/>
    <d v="2024-12-31T00:00:00"/>
    <n v="25"/>
    <s v="Active"/>
    <s v="Instagram"/>
    <s v="Oct-2023"/>
    <s v="Dec-2024"/>
    <x v="5"/>
    <s v="Retail"/>
    <s v="Enterprise"/>
    <n v="2023"/>
  </r>
  <r>
    <s v="C0555"/>
    <s v="Premium"/>
    <d v="2022-07-03T00:00:00"/>
    <d v="2023-07-09T00:00:00"/>
    <n v="40"/>
    <s v="Churned"/>
    <s v="Instagram"/>
    <s v="Jul-2022"/>
    <s v="Jul-2023"/>
    <x v="1"/>
    <s v="Tech"/>
    <s v="Large"/>
    <n v="2022"/>
  </r>
  <r>
    <s v="C0556"/>
    <s v="Premium"/>
    <d v="2022-06-24T00:00:00"/>
    <d v="2024-08-23T00:00:00"/>
    <n v="40"/>
    <s v="Churned"/>
    <s v="Referral"/>
    <s v="Jun-2022"/>
    <s v="Aug-2024"/>
    <x v="5"/>
    <s v="Tech"/>
    <s v="Small"/>
    <n v="2022"/>
  </r>
  <r>
    <s v="C0557"/>
    <s v="Basic"/>
    <d v="2022-01-05T00:00:00"/>
    <d v="2022-10-03T00:00:00"/>
    <n v="15"/>
    <s v="Churned"/>
    <s v="Google"/>
    <s v="Jan-2022"/>
    <s v="Oct-2022"/>
    <x v="0"/>
    <s v="Finance"/>
    <s v="Large"/>
    <n v="2022"/>
  </r>
  <r>
    <s v="C0558"/>
    <s v="Premium"/>
    <d v="2023-05-03T00:00:00"/>
    <d v="2024-12-31T00:00:00"/>
    <n v="40"/>
    <s v="Churned"/>
    <s v="Google"/>
    <s v="May-2023"/>
    <s v="Dec-2024"/>
    <x v="0"/>
    <s v="Retail"/>
    <s v="Medium"/>
    <n v="2023"/>
  </r>
  <r>
    <s v="C0559"/>
    <s v="Premium"/>
    <d v="2023-12-07T00:00:00"/>
    <d v="2024-12-31T00:00:00"/>
    <n v="40"/>
    <s v="Active"/>
    <s v="Google"/>
    <s v="Dec-2023"/>
    <s v="Dec-2024"/>
    <x v="2"/>
    <s v="Retail"/>
    <s v="Small"/>
    <n v="2023"/>
  </r>
  <r>
    <s v="C0560"/>
    <s v="Basic"/>
    <d v="2024-06-29T00:00:00"/>
    <d v="2024-12-31T00:00:00"/>
    <n v="15"/>
    <s v="Active"/>
    <s v="Google"/>
    <s v="Jun-2024"/>
    <s v="Dec-2024"/>
    <x v="2"/>
    <s v="Finance"/>
    <s v="Large"/>
    <n v="2024"/>
  </r>
  <r>
    <s v="C0561"/>
    <s v="Premium"/>
    <d v="2021-07-21T00:00:00"/>
    <d v="2024-12-31T00:00:00"/>
    <n v="40"/>
    <s v="Active"/>
    <s v="Facebook"/>
    <s v="Jul-2021"/>
    <s v="Dec-2024"/>
    <x v="0"/>
    <s v="Finance"/>
    <s v="Medium"/>
    <n v="2021"/>
  </r>
  <r>
    <s v="C0562"/>
    <s v="Premium"/>
    <d v="2020-04-20T00:00:00"/>
    <d v="2022-04-19T00:00:00"/>
    <n v="40"/>
    <s v="Churned"/>
    <s v="Facebook"/>
    <s v="Apr-2020"/>
    <s v="Apr-2022"/>
    <x v="4"/>
    <s v="Tech"/>
    <s v="Small"/>
    <n v="2020"/>
  </r>
  <r>
    <s v="C0563"/>
    <s v="Premium"/>
    <d v="2020-06-18T00:00:00"/>
    <d v="2024-12-31T00:00:00"/>
    <n v="40"/>
    <s v="Active"/>
    <s v="LinkedIn"/>
    <s v="Jun-2020"/>
    <s v="Dec-2024"/>
    <x v="4"/>
    <s v="Tech"/>
    <s v="Large"/>
    <n v="2020"/>
  </r>
  <r>
    <s v="C0564"/>
    <s v="Basic"/>
    <d v="2021-08-18T00:00:00"/>
    <d v="2023-08-30T00:00:00"/>
    <n v="15"/>
    <s v="Churned"/>
    <s v="LinkedIn"/>
    <s v="Aug-2021"/>
    <s v="Aug-2023"/>
    <x v="2"/>
    <s v="Education"/>
    <s v="Medium"/>
    <n v="2021"/>
  </r>
  <r>
    <s v="C0565"/>
    <s v="Standard"/>
    <d v="2023-06-30T00:00:00"/>
    <d v="2024-12-31T00:00:00"/>
    <n v="25"/>
    <s v="Churned"/>
    <s v="LinkedIn"/>
    <s v="Jun-2023"/>
    <s v="Dec-2024"/>
    <x v="4"/>
    <s v="Retail"/>
    <s v="Enterprise"/>
    <n v="2023"/>
  </r>
  <r>
    <s v="C0566"/>
    <s v="Premium"/>
    <d v="2023-06-02T00:00:00"/>
    <d v="2024-12-31T00:00:00"/>
    <n v="40"/>
    <s v="Active"/>
    <s v="LinkedIn"/>
    <s v="Jun-2023"/>
    <s v="Dec-2024"/>
    <x v="3"/>
    <s v="Finance"/>
    <s v="Large"/>
    <n v="2023"/>
  </r>
  <r>
    <s v="C0567"/>
    <s v="Premium"/>
    <d v="2021-08-25T00:00:00"/>
    <d v="2022-12-14T00:00:00"/>
    <n v="40"/>
    <s v="Churned"/>
    <s v="Instagram"/>
    <s v="Aug-2021"/>
    <s v="Dec-2022"/>
    <x v="2"/>
    <s v="Education"/>
    <s v="Small"/>
    <n v="2021"/>
  </r>
  <r>
    <s v="C0568"/>
    <s v="Premium"/>
    <d v="2024-04-11T00:00:00"/>
    <d v="2024-12-31T00:00:00"/>
    <n v="40"/>
    <s v="Active"/>
    <s v="LinkedIn"/>
    <s v="Apr-2024"/>
    <s v="Dec-2024"/>
    <x v="2"/>
    <s v="Finance"/>
    <s v="Large"/>
    <n v="2024"/>
  </r>
  <r>
    <s v="C0569"/>
    <s v="Premium"/>
    <d v="2022-02-16T00:00:00"/>
    <d v="2024-05-04T00:00:00"/>
    <n v="40"/>
    <s v="Churned"/>
    <s v="Facebook"/>
    <s v="Feb-2022"/>
    <s v="May-2024"/>
    <x v="3"/>
    <s v="Tech"/>
    <s v="Small"/>
    <n v="2022"/>
  </r>
  <r>
    <s v="C0570"/>
    <s v="Basic"/>
    <d v="2021-11-10T00:00:00"/>
    <d v="2023-01-11T00:00:00"/>
    <n v="15"/>
    <s v="Churned"/>
    <s v="Instagram"/>
    <s v="Nov-2021"/>
    <s v="Jan-2023"/>
    <x v="2"/>
    <s v="Finance"/>
    <s v="Small"/>
    <n v="2021"/>
  </r>
  <r>
    <s v="C0571"/>
    <s v="Premium"/>
    <d v="2021-01-09T00:00:00"/>
    <d v="2021-04-25T00:00:00"/>
    <n v="40"/>
    <s v="Churned"/>
    <s v="Google"/>
    <s v="Jan-2021"/>
    <s v="Apr-2021"/>
    <x v="5"/>
    <s v="Finance"/>
    <s v="Enterprise"/>
    <n v="2021"/>
  </r>
  <r>
    <s v="C0572"/>
    <s v="Basic"/>
    <d v="2020-08-25T00:00:00"/>
    <d v="2024-12-31T00:00:00"/>
    <n v="15"/>
    <s v="Active"/>
    <s v="LinkedIn"/>
    <s v="Aug-2020"/>
    <s v="Dec-2024"/>
    <x v="1"/>
    <s v="Finance"/>
    <s v="Enterprise"/>
    <n v="2020"/>
  </r>
  <r>
    <s v="C0573"/>
    <s v="Basic"/>
    <d v="2020-09-24T00:00:00"/>
    <d v="2024-12-31T00:00:00"/>
    <n v="15"/>
    <s v="Active"/>
    <s v="Facebook"/>
    <s v="Sep-2020"/>
    <s v="Dec-2024"/>
    <x v="0"/>
    <s v="E-commerce"/>
    <s v="Enterprise"/>
    <n v="2020"/>
  </r>
  <r>
    <s v="C0574"/>
    <s v="Premium"/>
    <d v="2020-12-30T00:00:00"/>
    <d v="2022-07-09T00:00:00"/>
    <n v="40"/>
    <s v="Churned"/>
    <s v="Google"/>
    <s v="Dec-2020"/>
    <s v="Jul-2022"/>
    <x v="3"/>
    <s v="Education"/>
    <s v="Enterprise"/>
    <n v="2020"/>
  </r>
  <r>
    <s v="C0575"/>
    <s v="Standard"/>
    <d v="2022-08-18T00:00:00"/>
    <d v="2024-12-31T00:00:00"/>
    <n v="25"/>
    <s v="Active"/>
    <s v="Google"/>
    <s v="Aug-2022"/>
    <s v="Dec-2024"/>
    <x v="3"/>
    <s v="Finance"/>
    <s v="Large"/>
    <n v="2022"/>
  </r>
  <r>
    <s v="C0576"/>
    <s v="Premium"/>
    <d v="2021-09-17T00:00:00"/>
    <d v="2024-12-31T00:00:00"/>
    <n v="40"/>
    <s v="Active"/>
    <s v="Instagram"/>
    <s v="Sep-2021"/>
    <s v="Dec-2024"/>
    <x v="3"/>
    <s v="E-commerce"/>
    <s v="Medium"/>
    <n v="2021"/>
  </r>
  <r>
    <s v="C0577"/>
    <s v="Standard"/>
    <d v="2024-02-16T00:00:00"/>
    <d v="2024-12-31T00:00:00"/>
    <n v="25"/>
    <s v="Churned"/>
    <s v="LinkedIn"/>
    <s v="Feb-2024"/>
    <s v="Dec-2024"/>
    <x v="2"/>
    <s v="Finance"/>
    <s v="Large"/>
    <n v="2024"/>
  </r>
  <r>
    <s v="C0578"/>
    <s v="Premium"/>
    <d v="2021-04-14T00:00:00"/>
    <d v="2023-05-26T00:00:00"/>
    <n v="40"/>
    <s v="Churned"/>
    <s v="Facebook"/>
    <s v="Apr-2021"/>
    <s v="May-2023"/>
    <x v="1"/>
    <s v="Retail"/>
    <s v="Enterprise"/>
    <n v="2021"/>
  </r>
  <r>
    <s v="C0579"/>
    <s v="Basic"/>
    <d v="2022-11-27T00:00:00"/>
    <d v="2024-12-31T00:00:00"/>
    <n v="15"/>
    <s v="Active"/>
    <s v="LinkedIn"/>
    <s v="Nov-2022"/>
    <s v="Dec-2024"/>
    <x v="0"/>
    <s v="Retail"/>
    <s v="Small"/>
    <n v="2022"/>
  </r>
  <r>
    <s v="C0580"/>
    <s v="Premium"/>
    <d v="2022-11-27T00:00:00"/>
    <d v="2024-12-31T00:00:00"/>
    <n v="40"/>
    <s v="Active"/>
    <s v="LinkedIn"/>
    <s v="Nov-2022"/>
    <s v="Dec-2024"/>
    <x v="5"/>
    <s v="Education"/>
    <s v="Medium"/>
    <n v="2022"/>
  </r>
  <r>
    <s v="C0581"/>
    <s v="Premium"/>
    <d v="2023-08-07T00:00:00"/>
    <d v="2024-12-31T00:00:00"/>
    <n v="40"/>
    <s v="Active"/>
    <s v="Instagram"/>
    <s v="Aug-2023"/>
    <s v="Dec-2024"/>
    <x v="0"/>
    <s v="Education"/>
    <s v="Enterprise"/>
    <n v="2023"/>
  </r>
  <r>
    <s v="C0582"/>
    <s v="Basic"/>
    <d v="2023-12-27T00:00:00"/>
    <d v="2024-12-31T00:00:00"/>
    <n v="15"/>
    <s v="Active"/>
    <s v="LinkedIn"/>
    <s v="Dec-2023"/>
    <s v="Dec-2024"/>
    <x v="3"/>
    <s v="Finance"/>
    <s v="Large"/>
    <n v="2023"/>
  </r>
  <r>
    <s v="C0583"/>
    <s v="Standard"/>
    <d v="2020-06-21T00:00:00"/>
    <d v="2024-12-31T00:00:00"/>
    <n v="25"/>
    <s v="Active"/>
    <s v="Google"/>
    <s v="Jun-2020"/>
    <s v="Dec-2024"/>
    <x v="2"/>
    <s v="Tech"/>
    <s v="Enterprise"/>
    <n v="2020"/>
  </r>
  <r>
    <s v="C0584"/>
    <s v="Basic"/>
    <d v="2020-04-10T00:00:00"/>
    <d v="2024-12-31T00:00:00"/>
    <n v="15"/>
    <s v="Active"/>
    <s v="Google"/>
    <s v="Apr-2020"/>
    <s v="Dec-2024"/>
    <x v="5"/>
    <s v="Education"/>
    <s v="Large"/>
    <n v="2020"/>
  </r>
  <r>
    <s v="C0585"/>
    <s v="Basic"/>
    <d v="2020-02-02T00:00:00"/>
    <d v="2024-12-31T00:00:00"/>
    <n v="15"/>
    <s v="Active"/>
    <s v="LinkedIn"/>
    <s v="Feb-2020"/>
    <s v="Dec-2024"/>
    <x v="3"/>
    <s v="Healthcare"/>
    <s v="Enterprise"/>
    <n v="2020"/>
  </r>
  <r>
    <s v="C0586"/>
    <s v="Basic"/>
    <d v="2023-09-06T00:00:00"/>
    <d v="2024-01-22T00:00:00"/>
    <n v="15"/>
    <s v="Churned"/>
    <s v="Instagram"/>
    <s v="Sep-2023"/>
    <s v="Jan-2024"/>
    <x v="4"/>
    <s v="Retail"/>
    <s v="Enterprise"/>
    <n v="2023"/>
  </r>
  <r>
    <s v="C0587"/>
    <s v="Basic"/>
    <d v="2021-01-27T00:00:00"/>
    <d v="2023-01-27T00:00:00"/>
    <n v="15"/>
    <s v="Churned"/>
    <s v="Google"/>
    <s v="Jan-2021"/>
    <s v="Jan-2023"/>
    <x v="0"/>
    <s v="Finance"/>
    <s v="Small"/>
    <n v="2021"/>
  </r>
  <r>
    <s v="C0588"/>
    <s v="Premium"/>
    <d v="2021-10-12T00:00:00"/>
    <d v="2022-11-01T00:00:00"/>
    <n v="40"/>
    <s v="Churned"/>
    <s v="Facebook"/>
    <s v="Oct-2021"/>
    <s v="Nov-2022"/>
    <x v="3"/>
    <s v="E-commerce"/>
    <s v="Small"/>
    <n v="2021"/>
  </r>
  <r>
    <s v="C0589"/>
    <s v="Standard"/>
    <d v="2021-09-03T00:00:00"/>
    <d v="2024-12-31T00:00:00"/>
    <n v="25"/>
    <s v="Active"/>
    <s v="LinkedIn"/>
    <s v="Sep-2021"/>
    <s v="Dec-2024"/>
    <x v="2"/>
    <s v="E-commerce"/>
    <s v="Large"/>
    <n v="2021"/>
  </r>
  <r>
    <s v="C0590"/>
    <s v="Basic"/>
    <d v="2021-06-24T00:00:00"/>
    <d v="2024-12-31T00:00:00"/>
    <n v="15"/>
    <s v="Active"/>
    <s v="Google"/>
    <s v="Jun-2021"/>
    <s v="Dec-2024"/>
    <x v="2"/>
    <s v="E-commerce"/>
    <s v="Medium"/>
    <n v="2021"/>
  </r>
  <r>
    <s v="C0591"/>
    <s v="Standard"/>
    <d v="2024-05-15T00:00:00"/>
    <d v="2024-12-31T00:00:00"/>
    <n v="25"/>
    <s v="Active"/>
    <s v="Referral"/>
    <s v="May-2024"/>
    <s v="Dec-2024"/>
    <x v="2"/>
    <s v="Retail"/>
    <s v="Large"/>
    <n v="2024"/>
  </r>
  <r>
    <s v="C0592"/>
    <s v="Standard"/>
    <d v="2020-06-18T00:00:00"/>
    <d v="2022-04-21T00:00:00"/>
    <n v="25"/>
    <s v="Churned"/>
    <s v="LinkedIn"/>
    <s v="Jun-2020"/>
    <s v="Apr-2022"/>
    <x v="2"/>
    <s v="E-commerce"/>
    <s v="Small"/>
    <n v="2020"/>
  </r>
  <r>
    <s v="C0593"/>
    <s v="Premium"/>
    <d v="2023-05-12T00:00:00"/>
    <d v="2024-12-31T00:00:00"/>
    <n v="40"/>
    <s v="Active"/>
    <s v="LinkedIn"/>
    <s v="May-2023"/>
    <s v="Dec-2024"/>
    <x v="1"/>
    <s v="Retail"/>
    <s v="Medium"/>
    <n v="2023"/>
  </r>
  <r>
    <s v="C0594"/>
    <s v="Premium"/>
    <d v="2023-04-21T00:00:00"/>
    <d v="2024-12-31T00:00:00"/>
    <n v="40"/>
    <s v="Active"/>
    <s v="LinkedIn"/>
    <s v="Apr-2023"/>
    <s v="Dec-2024"/>
    <x v="5"/>
    <s v="Education"/>
    <s v="Small"/>
    <n v="2023"/>
  </r>
  <r>
    <s v="C0595"/>
    <s v="Standard"/>
    <d v="2022-02-23T00:00:00"/>
    <d v="2024-12-31T00:00:00"/>
    <n v="25"/>
    <s v="Active"/>
    <s v="Instagram"/>
    <s v="Feb-2022"/>
    <s v="Dec-2024"/>
    <x v="0"/>
    <s v="Retail"/>
    <s v="Medium"/>
    <n v="2022"/>
  </r>
  <r>
    <s v="C0596"/>
    <s v="Standard"/>
    <d v="2024-04-29T00:00:00"/>
    <d v="2024-12-31T00:00:00"/>
    <n v="25"/>
    <s v="Active"/>
    <s v="Referral"/>
    <s v="Apr-2024"/>
    <s v="Dec-2024"/>
    <x v="2"/>
    <s v="Finance"/>
    <s v="Enterprise"/>
    <n v="2024"/>
  </r>
  <r>
    <s v="C0597"/>
    <s v="Premium"/>
    <d v="2020-11-28T00:00:00"/>
    <d v="2024-12-31T00:00:00"/>
    <n v="40"/>
    <s v="Active"/>
    <s v="Google"/>
    <s v="Nov-2020"/>
    <s v="Dec-2024"/>
    <x v="0"/>
    <s v="Education"/>
    <s v="Medium"/>
    <n v="2020"/>
  </r>
  <r>
    <s v="C0598"/>
    <s v="Standard"/>
    <d v="2023-10-05T00:00:00"/>
    <d v="2024-12-31T00:00:00"/>
    <n v="25"/>
    <s v="Active"/>
    <s v="Facebook"/>
    <s v="Oct-2023"/>
    <s v="Dec-2024"/>
    <x v="5"/>
    <s v="Finance"/>
    <s v="Large"/>
    <n v="2023"/>
  </r>
  <r>
    <s v="C0599"/>
    <s v="Premium"/>
    <d v="2022-10-24T00:00:00"/>
    <d v="2024-02-12T00:00:00"/>
    <n v="40"/>
    <s v="Churned"/>
    <s v="Facebook"/>
    <s v="Oct-2022"/>
    <s v="Feb-2024"/>
    <x v="1"/>
    <s v="Education"/>
    <s v="Medium"/>
    <n v="2022"/>
  </r>
  <r>
    <s v="C0600"/>
    <s v="Premium"/>
    <d v="2020-11-25T00:00:00"/>
    <d v="2024-12-31T00:00:00"/>
    <n v="40"/>
    <s v="Active"/>
    <s v="Facebook"/>
    <s v="Nov-2020"/>
    <s v="Dec-2024"/>
    <x v="4"/>
    <s v="Retail"/>
    <s v="Medium"/>
    <n v="2020"/>
  </r>
  <r>
    <s v="C0601"/>
    <s v="Basic"/>
    <d v="2022-01-25T00:00:00"/>
    <d v="2024-12-31T00:00:00"/>
    <n v="15"/>
    <s v="Active"/>
    <s v="LinkedIn"/>
    <s v="Jan-2022"/>
    <s v="Dec-2024"/>
    <x v="1"/>
    <s v="Tech"/>
    <s v="Small"/>
    <n v="2022"/>
  </r>
  <r>
    <s v="C0602"/>
    <s v="Standard"/>
    <d v="2021-10-03T00:00:00"/>
    <d v="2021-12-06T00:00:00"/>
    <n v="25"/>
    <s v="Churned"/>
    <s v="Referral"/>
    <s v="Oct-2021"/>
    <s v="Dec-2021"/>
    <x v="0"/>
    <s v="Finance"/>
    <s v="Large"/>
    <n v="2021"/>
  </r>
  <r>
    <s v="C0603"/>
    <s v="Basic"/>
    <d v="2020-11-01T00:00:00"/>
    <d v="2024-12-31T00:00:00"/>
    <n v="15"/>
    <s v="Active"/>
    <s v="Facebook"/>
    <s v="Nov-2020"/>
    <s v="Dec-2024"/>
    <x v="3"/>
    <s v="Healthcare"/>
    <s v="Medium"/>
    <n v="2020"/>
  </r>
  <r>
    <s v="C0604"/>
    <s v="Basic"/>
    <d v="2020-10-15T00:00:00"/>
    <d v="2021-12-16T00:00:00"/>
    <n v="15"/>
    <s v="Churned"/>
    <s v="Facebook"/>
    <s v="Oct-2020"/>
    <s v="Dec-2021"/>
    <x v="2"/>
    <s v="Education"/>
    <s v="Small"/>
    <n v="2020"/>
  </r>
  <r>
    <s v="C0605"/>
    <s v="Premium"/>
    <d v="2022-09-11T00:00:00"/>
    <d v="2024-12-31T00:00:00"/>
    <n v="40"/>
    <s v="Active"/>
    <s v="Referral"/>
    <s v="Sep-2022"/>
    <s v="Dec-2024"/>
    <x v="1"/>
    <s v="Tech"/>
    <s v="Medium"/>
    <n v="2022"/>
  </r>
  <r>
    <s v="C0606"/>
    <s v="Standard"/>
    <d v="2021-09-29T00:00:00"/>
    <d v="2023-04-15T00:00:00"/>
    <n v="25"/>
    <s v="Churned"/>
    <s v="Instagram"/>
    <s v="Sep-2021"/>
    <s v="Apr-2023"/>
    <x v="3"/>
    <s v="Healthcare"/>
    <s v="Enterprise"/>
    <n v="2021"/>
  </r>
  <r>
    <s v="C0607"/>
    <s v="Premium"/>
    <d v="2023-06-08T00:00:00"/>
    <d v="2024-12-31T00:00:00"/>
    <n v="40"/>
    <s v="Active"/>
    <s v="Google"/>
    <s v="Jun-2023"/>
    <s v="Dec-2024"/>
    <x v="2"/>
    <s v="Retail"/>
    <s v="Small"/>
    <n v="2023"/>
  </r>
  <r>
    <s v="C0608"/>
    <s v="Premium"/>
    <d v="2021-07-26T00:00:00"/>
    <d v="2023-09-05T00:00:00"/>
    <n v="40"/>
    <s v="Churned"/>
    <s v="Facebook"/>
    <s v="Jul-2021"/>
    <s v="Sep-2023"/>
    <x v="3"/>
    <s v="E-commerce"/>
    <s v="Large"/>
    <n v="2021"/>
  </r>
  <r>
    <s v="C0609"/>
    <s v="Standard"/>
    <d v="2024-06-09T00:00:00"/>
    <d v="2024-12-31T00:00:00"/>
    <n v="25"/>
    <s v="Active"/>
    <s v="Facebook"/>
    <s v="Jun-2024"/>
    <s v="Dec-2024"/>
    <x v="0"/>
    <s v="Finance"/>
    <s v="Medium"/>
    <n v="2024"/>
  </r>
  <r>
    <s v="C0610"/>
    <s v="Standard"/>
    <d v="2022-07-11T00:00:00"/>
    <d v="2024-12-31T00:00:00"/>
    <n v="25"/>
    <s v="Active"/>
    <s v="Facebook"/>
    <s v="Jul-2022"/>
    <s v="Dec-2024"/>
    <x v="3"/>
    <s v="Education"/>
    <s v="Large"/>
    <n v="2022"/>
  </r>
  <r>
    <s v="C0611"/>
    <s v="Premium"/>
    <d v="2022-05-23T00:00:00"/>
    <d v="2022-10-18T00:00:00"/>
    <n v="40"/>
    <s v="Churned"/>
    <s v="Google"/>
    <s v="May-2022"/>
    <s v="Oct-2022"/>
    <x v="5"/>
    <s v="Healthcare"/>
    <s v="Enterprise"/>
    <n v="2022"/>
  </r>
  <r>
    <s v="C0612"/>
    <s v="Standard"/>
    <d v="2022-03-04T00:00:00"/>
    <d v="2024-12-31T00:00:00"/>
    <n v="25"/>
    <s v="Active"/>
    <s v="LinkedIn"/>
    <s v="Mar-2022"/>
    <s v="Dec-2024"/>
    <x v="3"/>
    <s v="Retail"/>
    <s v="Large"/>
    <n v="2022"/>
  </r>
  <r>
    <s v="C0613"/>
    <s v="Premium"/>
    <d v="2023-07-19T00:00:00"/>
    <d v="2024-12-31T00:00:00"/>
    <n v="40"/>
    <s v="Active"/>
    <s v="Facebook"/>
    <s v="Jul-2023"/>
    <s v="Dec-2024"/>
    <x v="5"/>
    <s v="E-commerce"/>
    <s v="Large"/>
    <n v="2023"/>
  </r>
  <r>
    <s v="C0614"/>
    <s v="Standard"/>
    <d v="2022-08-03T00:00:00"/>
    <d v="2024-12-31T00:00:00"/>
    <n v="25"/>
    <s v="Active"/>
    <s v="Facebook"/>
    <s v="Aug-2022"/>
    <s v="Dec-2024"/>
    <x v="5"/>
    <s v="Finance"/>
    <s v="Medium"/>
    <n v="2022"/>
  </r>
  <r>
    <s v="C0615"/>
    <s v="Basic"/>
    <d v="2023-09-12T00:00:00"/>
    <d v="2024-04-19T00:00:00"/>
    <n v="15"/>
    <s v="Churned"/>
    <s v="Instagram"/>
    <s v="Sep-2023"/>
    <s v="Apr-2024"/>
    <x v="0"/>
    <s v="E-commerce"/>
    <s v="Medium"/>
    <n v="2023"/>
  </r>
  <r>
    <s v="C0616"/>
    <s v="Premium"/>
    <d v="2024-05-23T00:00:00"/>
    <d v="2024-12-31T00:00:00"/>
    <n v="40"/>
    <s v="Active"/>
    <s v="Referral"/>
    <s v="May-2024"/>
    <s v="Dec-2024"/>
    <x v="0"/>
    <s v="Education"/>
    <s v="Small"/>
    <n v="2024"/>
  </r>
  <r>
    <s v="C0617"/>
    <s v="Basic"/>
    <d v="2023-11-15T00:00:00"/>
    <d v="2024-01-26T00:00:00"/>
    <n v="15"/>
    <s v="Churned"/>
    <s v="Facebook"/>
    <s v="Nov-2023"/>
    <s v="Jan-2024"/>
    <x v="5"/>
    <s v="Healthcare"/>
    <s v="Enterprise"/>
    <n v="2023"/>
  </r>
  <r>
    <s v="C0618"/>
    <s v="Premium"/>
    <d v="2020-03-19T00:00:00"/>
    <d v="2022-05-21T00:00:00"/>
    <n v="40"/>
    <s v="Churned"/>
    <s v="Google"/>
    <s v="Mar-2020"/>
    <s v="May-2022"/>
    <x v="4"/>
    <s v="Retail"/>
    <s v="Large"/>
    <n v="2020"/>
  </r>
  <r>
    <s v="C0619"/>
    <s v="Standard"/>
    <d v="2020-09-09T00:00:00"/>
    <d v="2024-12-31T00:00:00"/>
    <n v="25"/>
    <s v="Active"/>
    <s v="Facebook"/>
    <s v="Sep-2020"/>
    <s v="Dec-2024"/>
    <x v="4"/>
    <s v="E-commerce"/>
    <s v="Enterprise"/>
    <n v="2020"/>
  </r>
  <r>
    <s v="C0620"/>
    <s v="Basic"/>
    <d v="2020-07-08T00:00:00"/>
    <d v="2024-12-31T00:00:00"/>
    <n v="15"/>
    <s v="Active"/>
    <s v="Facebook"/>
    <s v="Jul-2020"/>
    <s v="Dec-2024"/>
    <x v="4"/>
    <s v="Finance"/>
    <s v="Medium"/>
    <n v="2020"/>
  </r>
  <r>
    <s v="C0621"/>
    <s v="Premium"/>
    <d v="2021-12-09T00:00:00"/>
    <d v="2024-12-31T00:00:00"/>
    <n v="40"/>
    <s v="Active"/>
    <s v="Referral"/>
    <s v="Dec-2021"/>
    <s v="Dec-2024"/>
    <x v="3"/>
    <s v="E-commerce"/>
    <s v="Medium"/>
    <n v="2021"/>
  </r>
  <r>
    <s v="C0622"/>
    <s v="Basic"/>
    <d v="2022-06-10T00:00:00"/>
    <d v="2024-12-31T00:00:00"/>
    <n v="15"/>
    <s v="Active"/>
    <s v="Referral"/>
    <s v="Jun-2022"/>
    <s v="Dec-2024"/>
    <x v="5"/>
    <s v="Retail"/>
    <s v="Large"/>
    <n v="2022"/>
  </r>
  <r>
    <s v="C0623"/>
    <s v="Basic"/>
    <d v="2020-09-04T00:00:00"/>
    <d v="2024-12-31T00:00:00"/>
    <n v="15"/>
    <s v="Active"/>
    <s v="Google"/>
    <s v="Sep-2020"/>
    <s v="Dec-2024"/>
    <x v="0"/>
    <s v="Finance"/>
    <s v="Small"/>
    <n v="2020"/>
  </r>
  <r>
    <s v="C0624"/>
    <s v="Standard"/>
    <d v="2022-09-03T00:00:00"/>
    <d v="2024-10-19T00:00:00"/>
    <n v="25"/>
    <s v="Churned"/>
    <s v="Instagram"/>
    <s v="Sep-2022"/>
    <s v="Oct-2024"/>
    <x v="4"/>
    <s v="Healthcare"/>
    <s v="Small"/>
    <n v="2022"/>
  </r>
  <r>
    <s v="C0625"/>
    <s v="Basic"/>
    <d v="2022-01-24T00:00:00"/>
    <d v="2022-06-02T00:00:00"/>
    <n v="15"/>
    <s v="Churned"/>
    <s v="Referral"/>
    <s v="Jan-2022"/>
    <s v="Jun-2022"/>
    <x v="3"/>
    <s v="Tech"/>
    <s v="Large"/>
    <n v="2022"/>
  </r>
  <r>
    <s v="C0626"/>
    <s v="Premium"/>
    <d v="2023-08-12T00:00:00"/>
    <d v="2024-12-31T00:00:00"/>
    <n v="40"/>
    <s v="Active"/>
    <s v="Facebook"/>
    <s v="Aug-2023"/>
    <s v="Dec-2024"/>
    <x v="1"/>
    <s v="Retail"/>
    <s v="Medium"/>
    <n v="2023"/>
  </r>
  <r>
    <s v="C0627"/>
    <s v="Premium"/>
    <d v="2024-04-01T00:00:00"/>
    <d v="2024-12-31T00:00:00"/>
    <n v="40"/>
    <s v="Active"/>
    <s v="LinkedIn"/>
    <s v="Apr-2024"/>
    <s v="Dec-2024"/>
    <x v="5"/>
    <s v="Retail"/>
    <s v="Large"/>
    <n v="2024"/>
  </r>
  <r>
    <s v="C0628"/>
    <s v="Premium"/>
    <d v="2021-03-22T00:00:00"/>
    <d v="2024-12-31T00:00:00"/>
    <n v="40"/>
    <s v="Active"/>
    <s v="LinkedIn"/>
    <s v="Mar-2021"/>
    <s v="Dec-2024"/>
    <x v="5"/>
    <s v="E-commerce"/>
    <s v="Small"/>
    <n v="2021"/>
  </r>
  <r>
    <s v="C0629"/>
    <s v="Basic"/>
    <d v="2023-07-09T00:00:00"/>
    <d v="2024-12-31T00:00:00"/>
    <n v="15"/>
    <s v="Active"/>
    <s v="Referral"/>
    <s v="Jul-2023"/>
    <s v="Dec-2024"/>
    <x v="4"/>
    <s v="E-commerce"/>
    <s v="Small"/>
    <n v="2023"/>
  </r>
  <r>
    <s v="C0630"/>
    <s v="Standard"/>
    <d v="2023-02-20T00:00:00"/>
    <d v="2024-12-31T00:00:00"/>
    <n v="25"/>
    <s v="Active"/>
    <s v="Facebook"/>
    <s v="Feb-2023"/>
    <s v="Dec-2024"/>
    <x v="1"/>
    <s v="Retail"/>
    <s v="Enterprise"/>
    <n v="2023"/>
  </r>
  <r>
    <s v="C0631"/>
    <s v="Standard"/>
    <d v="2024-03-14T00:00:00"/>
    <d v="2024-12-31T00:00:00"/>
    <n v="25"/>
    <s v="Active"/>
    <s v="Google"/>
    <s v="Mar-2024"/>
    <s v="Dec-2024"/>
    <x v="5"/>
    <s v="E-commerce"/>
    <s v="Enterprise"/>
    <n v="2024"/>
  </r>
  <r>
    <s v="C0632"/>
    <s v="Basic"/>
    <d v="2024-02-23T00:00:00"/>
    <d v="2024-12-31T00:00:00"/>
    <n v="15"/>
    <s v="Active"/>
    <s v="Referral"/>
    <s v="Feb-2024"/>
    <s v="Dec-2024"/>
    <x v="1"/>
    <s v="Education"/>
    <s v="Medium"/>
    <n v="2024"/>
  </r>
  <r>
    <s v="C0633"/>
    <s v="Standard"/>
    <d v="2022-05-17T00:00:00"/>
    <d v="2024-12-31T00:00:00"/>
    <n v="25"/>
    <s v="Active"/>
    <s v="Google"/>
    <s v="May-2022"/>
    <s v="Dec-2024"/>
    <x v="3"/>
    <s v="Healthcare"/>
    <s v="Large"/>
    <n v="2022"/>
  </r>
  <r>
    <s v="C0634"/>
    <s v="Premium"/>
    <d v="2021-12-17T00:00:00"/>
    <d v="2022-05-19T00:00:00"/>
    <n v="40"/>
    <s v="Churned"/>
    <s v="Google"/>
    <s v="Dec-2021"/>
    <s v="May-2022"/>
    <x v="0"/>
    <s v="Finance"/>
    <s v="Large"/>
    <n v="2021"/>
  </r>
  <r>
    <s v="C0635"/>
    <s v="Standard"/>
    <d v="2023-09-29T00:00:00"/>
    <d v="2024-06-19T00:00:00"/>
    <n v="25"/>
    <s v="Churned"/>
    <s v="Facebook"/>
    <s v="Sep-2023"/>
    <s v="Jun-2024"/>
    <x v="0"/>
    <s v="Education"/>
    <s v="Large"/>
    <n v="2023"/>
  </r>
  <r>
    <s v="C0636"/>
    <s v="Premium"/>
    <d v="2022-04-11T00:00:00"/>
    <d v="2022-07-24T00:00:00"/>
    <n v="40"/>
    <s v="Churned"/>
    <s v="Facebook"/>
    <s v="Apr-2022"/>
    <s v="Jul-2022"/>
    <x v="4"/>
    <s v="Education"/>
    <s v="Small"/>
    <n v="2022"/>
  </r>
  <r>
    <s v="C0637"/>
    <s v="Basic"/>
    <d v="2020-06-26T00:00:00"/>
    <d v="2024-12-31T00:00:00"/>
    <n v="15"/>
    <s v="Active"/>
    <s v="Google"/>
    <s v="Jun-2020"/>
    <s v="Dec-2024"/>
    <x v="0"/>
    <s v="Healthcare"/>
    <s v="Large"/>
    <n v="2020"/>
  </r>
  <r>
    <s v="C0638"/>
    <s v="Basic"/>
    <d v="2022-06-30T00:00:00"/>
    <d v="2024-12-31T00:00:00"/>
    <n v="15"/>
    <s v="Active"/>
    <s v="Referral"/>
    <s v="Jun-2022"/>
    <s v="Dec-2024"/>
    <x v="2"/>
    <s v="E-commerce"/>
    <s v="Enterprise"/>
    <n v="2022"/>
  </r>
  <r>
    <s v="C0639"/>
    <s v="Premium"/>
    <d v="2021-12-01T00:00:00"/>
    <d v="2024-12-31T00:00:00"/>
    <n v="40"/>
    <s v="Active"/>
    <s v="Google"/>
    <s v="Dec-2021"/>
    <s v="Dec-2024"/>
    <x v="4"/>
    <s v="Retail"/>
    <s v="Small"/>
    <n v="2021"/>
  </r>
  <r>
    <s v="C0640"/>
    <s v="Premium"/>
    <d v="2020-01-02T00:00:00"/>
    <d v="2022-04-28T00:00:00"/>
    <n v="40"/>
    <s v="Churned"/>
    <s v="Google"/>
    <s v="Jan-2020"/>
    <s v="Apr-2022"/>
    <x v="0"/>
    <s v="E-commerce"/>
    <s v="Large"/>
    <n v="2020"/>
  </r>
  <r>
    <s v="C0641"/>
    <s v="Basic"/>
    <d v="2023-10-29T00:00:00"/>
    <d v="2024-12-31T00:00:00"/>
    <n v="15"/>
    <s v="Active"/>
    <s v="LinkedIn"/>
    <s v="Oct-2023"/>
    <s v="Dec-2024"/>
    <x v="1"/>
    <s v="Tech"/>
    <s v="Medium"/>
    <n v="2023"/>
  </r>
  <r>
    <s v="C0642"/>
    <s v="Basic"/>
    <d v="2024-06-03T00:00:00"/>
    <d v="2024-12-31T00:00:00"/>
    <n v="15"/>
    <s v="Active"/>
    <s v="LinkedIn"/>
    <s v="Jun-2024"/>
    <s v="Dec-2024"/>
    <x v="2"/>
    <s v="Tech"/>
    <s v="Medium"/>
    <n v="2024"/>
  </r>
  <r>
    <s v="C0643"/>
    <s v="Basic"/>
    <d v="2023-04-13T00:00:00"/>
    <d v="2024-12-31T00:00:00"/>
    <n v="15"/>
    <s v="Active"/>
    <s v="Google"/>
    <s v="Apr-2023"/>
    <s v="Dec-2024"/>
    <x v="1"/>
    <s v="E-commerce"/>
    <s v="Enterprise"/>
    <n v="2023"/>
  </r>
  <r>
    <s v="C0644"/>
    <s v="Basic"/>
    <d v="2023-07-30T00:00:00"/>
    <d v="2024-12-31T00:00:00"/>
    <n v="15"/>
    <s v="Churned"/>
    <s v="Google"/>
    <s v="Jul-2023"/>
    <s v="Dec-2024"/>
    <x v="2"/>
    <s v="Tech"/>
    <s v="Small"/>
    <n v="2023"/>
  </r>
  <r>
    <s v="C0645"/>
    <s v="Standard"/>
    <d v="2024-04-16T00:00:00"/>
    <d v="2024-12-31T00:00:00"/>
    <n v="25"/>
    <s v="Churned"/>
    <s v="Referral"/>
    <s v="Apr-2024"/>
    <s v="Dec-2024"/>
    <x v="2"/>
    <s v="Tech"/>
    <s v="Large"/>
    <n v="2024"/>
  </r>
  <r>
    <s v="C0646"/>
    <s v="Basic"/>
    <d v="2020-07-20T00:00:00"/>
    <d v="2024-12-31T00:00:00"/>
    <n v="15"/>
    <s v="Active"/>
    <s v="LinkedIn"/>
    <s v="Jul-2020"/>
    <s v="Dec-2024"/>
    <x v="0"/>
    <s v="Tech"/>
    <s v="Large"/>
    <n v="2020"/>
  </r>
  <r>
    <s v="C0647"/>
    <s v="Basic"/>
    <d v="2022-04-24T00:00:00"/>
    <d v="2024-12-31T00:00:00"/>
    <n v="15"/>
    <s v="Active"/>
    <s v="LinkedIn"/>
    <s v="Apr-2022"/>
    <s v="Dec-2024"/>
    <x v="2"/>
    <s v="Education"/>
    <s v="Large"/>
    <n v="2022"/>
  </r>
  <r>
    <s v="C0648"/>
    <s v="Premium"/>
    <d v="2023-11-25T00:00:00"/>
    <d v="2024-10-25T00:00:00"/>
    <n v="40"/>
    <s v="Churned"/>
    <s v="LinkedIn"/>
    <s v="Nov-2023"/>
    <s v="Oct-2024"/>
    <x v="1"/>
    <s v="Healthcare"/>
    <s v="Small"/>
    <n v="2023"/>
  </r>
  <r>
    <s v="C0649"/>
    <s v="Premium"/>
    <d v="2021-01-19T00:00:00"/>
    <d v="2024-12-31T00:00:00"/>
    <n v="40"/>
    <s v="Active"/>
    <s v="Instagram"/>
    <s v="Jan-2021"/>
    <s v="Dec-2024"/>
    <x v="2"/>
    <s v="Healthcare"/>
    <s v="Small"/>
    <n v="2021"/>
  </r>
  <r>
    <s v="C0650"/>
    <s v="Basic"/>
    <d v="2024-01-27T00:00:00"/>
    <d v="2024-12-31T00:00:00"/>
    <n v="15"/>
    <s v="Churned"/>
    <s v="Instagram"/>
    <s v="Jan-2024"/>
    <s v="Dec-2024"/>
    <x v="0"/>
    <s v="E-commerce"/>
    <s v="Small"/>
    <n v="2024"/>
  </r>
  <r>
    <s v="C0651"/>
    <s v="Standard"/>
    <d v="2022-12-16T00:00:00"/>
    <d v="2024-12-31T00:00:00"/>
    <n v="25"/>
    <s v="Active"/>
    <s v="Facebook"/>
    <s v="Dec-2022"/>
    <s v="Dec-2024"/>
    <x v="3"/>
    <s v="Tech"/>
    <s v="Enterprise"/>
    <n v="2022"/>
  </r>
  <r>
    <s v="C0652"/>
    <s v="Standard"/>
    <d v="2020-04-06T00:00:00"/>
    <d v="2024-12-31T00:00:00"/>
    <n v="25"/>
    <s v="Active"/>
    <s v="Referral"/>
    <s v="Apr-2020"/>
    <s v="Dec-2024"/>
    <x v="0"/>
    <s v="Healthcare"/>
    <s v="Medium"/>
    <n v="2020"/>
  </r>
  <r>
    <s v="C0653"/>
    <s v="Premium"/>
    <d v="2021-06-08T00:00:00"/>
    <d v="2022-11-19T00:00:00"/>
    <n v="40"/>
    <s v="Churned"/>
    <s v="Google"/>
    <s v="Jun-2021"/>
    <s v="Nov-2022"/>
    <x v="2"/>
    <s v="Retail"/>
    <s v="Medium"/>
    <n v="2021"/>
  </r>
  <r>
    <s v="C0654"/>
    <s v="Standard"/>
    <d v="2022-11-15T00:00:00"/>
    <d v="2024-12-31T00:00:00"/>
    <n v="25"/>
    <s v="Active"/>
    <s v="Instagram"/>
    <s v="Nov-2022"/>
    <s v="Dec-2024"/>
    <x v="0"/>
    <s v="E-commerce"/>
    <s v="Large"/>
    <n v="2022"/>
  </r>
  <r>
    <s v="C0655"/>
    <s v="Basic"/>
    <d v="2024-01-23T00:00:00"/>
    <d v="2024-12-31T00:00:00"/>
    <n v="15"/>
    <s v="Active"/>
    <s v="LinkedIn"/>
    <s v="Jan-2024"/>
    <s v="Dec-2024"/>
    <x v="3"/>
    <s v="Healthcare"/>
    <s v="Medium"/>
    <n v="2024"/>
  </r>
  <r>
    <s v="C0656"/>
    <s v="Premium"/>
    <d v="2022-09-25T00:00:00"/>
    <d v="2023-03-09T00:00:00"/>
    <n v="40"/>
    <s v="Churned"/>
    <s v="LinkedIn"/>
    <s v="Sep-2022"/>
    <s v="Mar-2023"/>
    <x v="0"/>
    <s v="Healthcare"/>
    <s v="Small"/>
    <n v="2022"/>
  </r>
  <r>
    <s v="C0657"/>
    <s v="Basic"/>
    <d v="2023-08-30T00:00:00"/>
    <d v="2024-12-31T00:00:00"/>
    <n v="15"/>
    <s v="Churned"/>
    <s v="Instagram"/>
    <s v="Aug-2023"/>
    <s v="Dec-2024"/>
    <x v="3"/>
    <s v="Finance"/>
    <s v="Medium"/>
    <n v="2023"/>
  </r>
  <r>
    <s v="C0658"/>
    <s v="Standard"/>
    <d v="2024-03-14T00:00:00"/>
    <d v="2024-08-23T00:00:00"/>
    <n v="25"/>
    <s v="Churned"/>
    <s v="Facebook"/>
    <s v="Mar-2024"/>
    <s v="Aug-2024"/>
    <x v="4"/>
    <s v="Education"/>
    <s v="Medium"/>
    <n v="2024"/>
  </r>
  <r>
    <s v="C0659"/>
    <s v="Standard"/>
    <d v="2024-06-13T00:00:00"/>
    <d v="2024-12-31T00:00:00"/>
    <n v="25"/>
    <s v="Active"/>
    <s v="LinkedIn"/>
    <s v="Jun-2024"/>
    <s v="Dec-2024"/>
    <x v="1"/>
    <s v="Retail"/>
    <s v="Enterprise"/>
    <n v="2024"/>
  </r>
  <r>
    <s v="C0660"/>
    <s v="Premium"/>
    <d v="2022-06-17T00:00:00"/>
    <d v="2024-12-31T00:00:00"/>
    <n v="40"/>
    <s v="Active"/>
    <s v="Instagram"/>
    <s v="Jun-2022"/>
    <s v="Dec-2024"/>
    <x v="1"/>
    <s v="Tech"/>
    <s v="Enterprise"/>
    <n v="2022"/>
  </r>
  <r>
    <s v="C0661"/>
    <s v="Basic"/>
    <d v="2022-08-24T00:00:00"/>
    <d v="2024-12-31T00:00:00"/>
    <n v="15"/>
    <s v="Active"/>
    <s v="LinkedIn"/>
    <s v="Aug-2022"/>
    <s v="Dec-2024"/>
    <x v="2"/>
    <s v="E-commerce"/>
    <s v="Medium"/>
    <n v="2022"/>
  </r>
  <r>
    <s v="C0662"/>
    <s v="Premium"/>
    <d v="2023-10-01T00:00:00"/>
    <d v="2024-12-31T00:00:00"/>
    <n v="40"/>
    <s v="Active"/>
    <s v="Facebook"/>
    <s v="Oct-2023"/>
    <s v="Dec-2024"/>
    <x v="4"/>
    <s v="Healthcare"/>
    <s v="Large"/>
    <n v="2023"/>
  </r>
  <r>
    <s v="C0663"/>
    <s v="Standard"/>
    <d v="2021-01-06T00:00:00"/>
    <d v="2024-12-31T00:00:00"/>
    <n v="25"/>
    <s v="Active"/>
    <s v="Referral"/>
    <s v="Jan-2021"/>
    <s v="Dec-2024"/>
    <x v="0"/>
    <s v="Retail"/>
    <s v="Medium"/>
    <n v="2021"/>
  </r>
  <r>
    <s v="C0664"/>
    <s v="Standard"/>
    <d v="2021-11-18T00:00:00"/>
    <d v="2024-12-31T00:00:00"/>
    <n v="25"/>
    <s v="Active"/>
    <s v="Referral"/>
    <s v="Nov-2021"/>
    <s v="Dec-2024"/>
    <x v="3"/>
    <s v="Tech"/>
    <s v="Enterprise"/>
    <n v="2021"/>
  </r>
  <r>
    <s v="C0665"/>
    <s v="Basic"/>
    <d v="2022-11-16T00:00:00"/>
    <d v="2024-12-31T00:00:00"/>
    <n v="15"/>
    <s v="Active"/>
    <s v="Facebook"/>
    <s v="Nov-2022"/>
    <s v="Dec-2024"/>
    <x v="4"/>
    <s v="E-commerce"/>
    <s v="Medium"/>
    <n v="2022"/>
  </r>
  <r>
    <s v="C0666"/>
    <s v="Standard"/>
    <d v="2021-06-19T00:00:00"/>
    <d v="2023-03-31T00:00:00"/>
    <n v="25"/>
    <s v="Churned"/>
    <s v="Instagram"/>
    <s v="Jun-2021"/>
    <s v="Mar-2023"/>
    <x v="3"/>
    <s v="Retail"/>
    <s v="Enterprise"/>
    <n v="2021"/>
  </r>
  <r>
    <s v="C0667"/>
    <s v="Premium"/>
    <d v="2024-01-11T00:00:00"/>
    <d v="2024-12-31T00:00:00"/>
    <n v="40"/>
    <s v="Active"/>
    <s v="Google"/>
    <s v="Jan-2024"/>
    <s v="Dec-2024"/>
    <x v="1"/>
    <s v="E-commerce"/>
    <s v="Small"/>
    <n v="2024"/>
  </r>
  <r>
    <s v="C0668"/>
    <s v="Standard"/>
    <d v="2020-01-07T00:00:00"/>
    <d v="2024-12-31T00:00:00"/>
    <n v="25"/>
    <s v="Active"/>
    <s v="Facebook"/>
    <s v="Jan-2020"/>
    <s v="Dec-2024"/>
    <x v="4"/>
    <s v="Healthcare"/>
    <s v="Enterprise"/>
    <n v="2020"/>
  </r>
  <r>
    <s v="C0669"/>
    <s v="Basic"/>
    <d v="2022-04-13T00:00:00"/>
    <d v="2024-12-31T00:00:00"/>
    <n v="15"/>
    <s v="Active"/>
    <s v="Google"/>
    <s v="Apr-2022"/>
    <s v="Dec-2024"/>
    <x v="3"/>
    <s v="Retail"/>
    <s v="Medium"/>
    <n v="2022"/>
  </r>
  <r>
    <s v="C0670"/>
    <s v="Premium"/>
    <d v="2020-10-27T00:00:00"/>
    <d v="2022-07-28T00:00:00"/>
    <n v="40"/>
    <s v="Churned"/>
    <s v="LinkedIn"/>
    <s v="Oct-2020"/>
    <s v="Jul-2022"/>
    <x v="1"/>
    <s v="Healthcare"/>
    <s v="Large"/>
    <n v="2020"/>
  </r>
  <r>
    <s v="C0671"/>
    <s v="Premium"/>
    <d v="2023-08-16T00:00:00"/>
    <d v="2024-12-31T00:00:00"/>
    <n v="40"/>
    <s v="Active"/>
    <s v="Google"/>
    <s v="Aug-2023"/>
    <s v="Dec-2024"/>
    <x v="0"/>
    <s v="Education"/>
    <s v="Medium"/>
    <n v="2023"/>
  </r>
  <r>
    <s v="C0672"/>
    <s v="Premium"/>
    <d v="2021-06-20T00:00:00"/>
    <d v="2024-12-31T00:00:00"/>
    <n v="40"/>
    <s v="Active"/>
    <s v="LinkedIn"/>
    <s v="Jun-2021"/>
    <s v="Dec-2024"/>
    <x v="2"/>
    <s v="Tech"/>
    <s v="Medium"/>
    <n v="2021"/>
  </r>
  <r>
    <s v="C0673"/>
    <s v="Standard"/>
    <d v="2022-07-03T00:00:00"/>
    <d v="2024-12-31T00:00:00"/>
    <n v="25"/>
    <s v="Active"/>
    <s v="Google"/>
    <s v="Jul-2022"/>
    <s v="Dec-2024"/>
    <x v="1"/>
    <s v="E-commerce"/>
    <s v="Large"/>
    <n v="2022"/>
  </r>
  <r>
    <s v="C0674"/>
    <s v="Basic"/>
    <d v="2020-11-14T00:00:00"/>
    <d v="2024-12-31T00:00:00"/>
    <n v="15"/>
    <s v="Active"/>
    <s v="Facebook"/>
    <s v="Nov-2020"/>
    <s v="Dec-2024"/>
    <x v="4"/>
    <s v="Healthcare"/>
    <s v="Large"/>
    <n v="2020"/>
  </r>
  <r>
    <s v="C0675"/>
    <s v="Premium"/>
    <d v="2020-10-20T00:00:00"/>
    <d v="2024-12-31T00:00:00"/>
    <n v="40"/>
    <s v="Active"/>
    <s v="Referral"/>
    <s v="Oct-2020"/>
    <s v="Dec-2024"/>
    <x v="1"/>
    <s v="Finance"/>
    <s v="Medium"/>
    <n v="2020"/>
  </r>
  <r>
    <s v="C0676"/>
    <s v="Premium"/>
    <d v="2020-02-01T00:00:00"/>
    <d v="2022-01-11T00:00:00"/>
    <n v="40"/>
    <s v="Churned"/>
    <s v="Referral"/>
    <s v="Feb-2020"/>
    <s v="Jan-2022"/>
    <x v="1"/>
    <s v="Finance"/>
    <s v="Enterprise"/>
    <n v="2020"/>
  </r>
  <r>
    <s v="C0677"/>
    <s v="Premium"/>
    <d v="2023-05-31T00:00:00"/>
    <d v="2024-12-31T00:00:00"/>
    <n v="40"/>
    <s v="Active"/>
    <s v="Facebook"/>
    <s v="May-2023"/>
    <s v="Dec-2024"/>
    <x v="2"/>
    <s v="Tech"/>
    <s v="Small"/>
    <n v="2023"/>
  </r>
  <r>
    <s v="C0678"/>
    <s v="Basic"/>
    <d v="2021-06-12T00:00:00"/>
    <d v="2024-12-31T00:00:00"/>
    <n v="15"/>
    <s v="Active"/>
    <s v="LinkedIn"/>
    <s v="Jun-2021"/>
    <s v="Dec-2024"/>
    <x v="1"/>
    <s v="Education"/>
    <s v="Small"/>
    <n v="2021"/>
  </r>
  <r>
    <s v="C0679"/>
    <s v="Standard"/>
    <d v="2020-07-24T00:00:00"/>
    <d v="2022-05-17T00:00:00"/>
    <n v="25"/>
    <s v="Churned"/>
    <s v="Referral"/>
    <s v="Jul-2020"/>
    <s v="May-2022"/>
    <x v="0"/>
    <s v="Finance"/>
    <s v="Enterprise"/>
    <n v="2020"/>
  </r>
  <r>
    <s v="C0680"/>
    <s v="Premium"/>
    <d v="2024-03-20T00:00:00"/>
    <d v="2024-12-31T00:00:00"/>
    <n v="40"/>
    <s v="Active"/>
    <s v="Instagram"/>
    <s v="Mar-2024"/>
    <s v="Dec-2024"/>
    <x v="0"/>
    <s v="Finance"/>
    <s v="Enterprise"/>
    <n v="2024"/>
  </r>
  <r>
    <s v="C0681"/>
    <s v="Basic"/>
    <d v="2024-04-25T00:00:00"/>
    <d v="2024-12-31T00:00:00"/>
    <n v="15"/>
    <s v="Churned"/>
    <s v="Referral"/>
    <s v="Apr-2024"/>
    <s v="Dec-2024"/>
    <x v="2"/>
    <s v="Healthcare"/>
    <s v="Medium"/>
    <n v="2024"/>
  </r>
  <r>
    <s v="C0682"/>
    <s v="Basic"/>
    <d v="2022-08-19T00:00:00"/>
    <d v="2024-12-31T00:00:00"/>
    <n v="15"/>
    <s v="Active"/>
    <s v="LinkedIn"/>
    <s v="Aug-2022"/>
    <s v="Dec-2024"/>
    <x v="5"/>
    <s v="Healthcare"/>
    <s v="Small"/>
    <n v="2022"/>
  </r>
  <r>
    <s v="C0683"/>
    <s v="Basic"/>
    <d v="2022-08-29T00:00:00"/>
    <d v="2024-12-31T00:00:00"/>
    <n v="15"/>
    <s v="Active"/>
    <s v="Instagram"/>
    <s v="Aug-2022"/>
    <s v="Dec-2024"/>
    <x v="0"/>
    <s v="Education"/>
    <s v="Enterprise"/>
    <n v="2022"/>
  </r>
  <r>
    <s v="C0684"/>
    <s v="Standard"/>
    <d v="2020-08-12T00:00:00"/>
    <d v="2024-12-31T00:00:00"/>
    <n v="25"/>
    <s v="Active"/>
    <s v="Facebook"/>
    <s v="Aug-2020"/>
    <s v="Dec-2024"/>
    <x v="2"/>
    <s v="Tech"/>
    <s v="Medium"/>
    <n v="2020"/>
  </r>
  <r>
    <s v="C0685"/>
    <s v="Standard"/>
    <d v="2021-02-24T00:00:00"/>
    <d v="2024-12-31T00:00:00"/>
    <n v="25"/>
    <s v="Active"/>
    <s v="Referral"/>
    <s v="Feb-2021"/>
    <s v="Dec-2024"/>
    <x v="0"/>
    <s v="Finance"/>
    <s v="Medium"/>
    <n v="2021"/>
  </r>
  <r>
    <s v="C0686"/>
    <s v="Basic"/>
    <d v="2024-03-10T00:00:00"/>
    <d v="2024-09-07T00:00:00"/>
    <n v="15"/>
    <s v="Churned"/>
    <s v="Referral"/>
    <s v="Mar-2024"/>
    <s v="Sep-2024"/>
    <x v="1"/>
    <s v="Tech"/>
    <s v="Enterprise"/>
    <n v="2024"/>
  </r>
  <r>
    <s v="C0687"/>
    <s v="Basic"/>
    <d v="2024-05-17T00:00:00"/>
    <d v="2024-12-31T00:00:00"/>
    <n v="15"/>
    <s v="Active"/>
    <s v="LinkedIn"/>
    <s v="May-2024"/>
    <s v="Dec-2024"/>
    <x v="2"/>
    <s v="Tech"/>
    <s v="Medium"/>
    <n v="2024"/>
  </r>
  <r>
    <s v="C0688"/>
    <s v="Premium"/>
    <d v="2022-05-22T00:00:00"/>
    <d v="2024-12-31T00:00:00"/>
    <n v="40"/>
    <s v="Active"/>
    <s v="Instagram"/>
    <s v="May-2022"/>
    <s v="Dec-2024"/>
    <x v="1"/>
    <s v="Retail"/>
    <s v="Enterprise"/>
    <n v="2022"/>
  </r>
  <r>
    <s v="C0689"/>
    <s v="Standard"/>
    <d v="2021-02-06T00:00:00"/>
    <d v="2023-05-19T00:00:00"/>
    <n v="25"/>
    <s v="Churned"/>
    <s v="Google"/>
    <s v="Feb-2021"/>
    <s v="May-2023"/>
    <x v="1"/>
    <s v="E-commerce"/>
    <s v="Medium"/>
    <n v="2021"/>
  </r>
  <r>
    <s v="C0690"/>
    <s v="Premium"/>
    <d v="2021-05-28T00:00:00"/>
    <d v="2022-02-22T00:00:00"/>
    <n v="40"/>
    <s v="Churned"/>
    <s v="LinkedIn"/>
    <s v="May-2021"/>
    <s v="Feb-2022"/>
    <x v="3"/>
    <s v="E-commerce"/>
    <s v="Enterprise"/>
    <n v="2021"/>
  </r>
  <r>
    <s v="C0691"/>
    <s v="Premium"/>
    <d v="2023-10-10T00:00:00"/>
    <d v="2024-07-03T00:00:00"/>
    <n v="40"/>
    <s v="Churned"/>
    <s v="Facebook"/>
    <s v="Oct-2023"/>
    <s v="Jul-2024"/>
    <x v="4"/>
    <s v="Retail"/>
    <s v="Large"/>
    <n v="2023"/>
  </r>
  <r>
    <s v="C0692"/>
    <s v="Premium"/>
    <d v="2020-01-14T00:00:00"/>
    <d v="2024-12-31T00:00:00"/>
    <n v="40"/>
    <s v="Active"/>
    <s v="Instagram"/>
    <s v="Jan-2020"/>
    <s v="Dec-2024"/>
    <x v="2"/>
    <s v="Retail"/>
    <s v="Enterprise"/>
    <n v="2020"/>
  </r>
  <r>
    <s v="C0693"/>
    <s v="Basic"/>
    <d v="2021-07-09T00:00:00"/>
    <d v="2022-07-30T00:00:00"/>
    <n v="15"/>
    <s v="Churned"/>
    <s v="Referral"/>
    <s v="Jul-2021"/>
    <s v="Jul-2022"/>
    <x v="2"/>
    <s v="Education"/>
    <s v="Medium"/>
    <n v="2021"/>
  </r>
  <r>
    <s v="C0694"/>
    <s v="Basic"/>
    <d v="2020-07-27T00:00:00"/>
    <d v="2024-12-31T00:00:00"/>
    <n v="15"/>
    <s v="Active"/>
    <s v="Referral"/>
    <s v="Jul-2020"/>
    <s v="Dec-2024"/>
    <x v="4"/>
    <s v="E-commerce"/>
    <s v="Large"/>
    <n v="2020"/>
  </r>
  <r>
    <s v="C0695"/>
    <s v="Premium"/>
    <d v="2021-02-01T00:00:00"/>
    <d v="2024-12-31T00:00:00"/>
    <n v="40"/>
    <s v="Active"/>
    <s v="Instagram"/>
    <s v="Feb-2021"/>
    <s v="Dec-2024"/>
    <x v="2"/>
    <s v="Retail"/>
    <s v="Small"/>
    <n v="2021"/>
  </r>
  <r>
    <s v="C0696"/>
    <s v="Premium"/>
    <d v="2022-02-10T00:00:00"/>
    <d v="2024-12-31T00:00:00"/>
    <n v="40"/>
    <s v="Active"/>
    <s v="LinkedIn"/>
    <s v="Feb-2022"/>
    <s v="Dec-2024"/>
    <x v="2"/>
    <s v="Education"/>
    <s v="Small"/>
    <n v="2022"/>
  </r>
  <r>
    <s v="C0697"/>
    <s v="Basic"/>
    <d v="2023-09-24T00:00:00"/>
    <d v="2024-12-31T00:00:00"/>
    <n v="15"/>
    <s v="Active"/>
    <s v="Instagram"/>
    <s v="Sep-2023"/>
    <s v="Dec-2024"/>
    <x v="4"/>
    <s v="Healthcare"/>
    <s v="Small"/>
    <n v="2023"/>
  </r>
  <r>
    <s v="C0698"/>
    <s v="Premium"/>
    <d v="2021-11-13T00:00:00"/>
    <d v="2024-12-31T00:00:00"/>
    <n v="40"/>
    <s v="Active"/>
    <s v="Google"/>
    <s v="Nov-2021"/>
    <s v="Dec-2024"/>
    <x v="4"/>
    <s v="Healthcare"/>
    <s v="Small"/>
    <n v="2021"/>
  </r>
  <r>
    <s v="C0699"/>
    <s v="Standard"/>
    <d v="2022-09-27T00:00:00"/>
    <d v="2024-12-31T00:00:00"/>
    <n v="25"/>
    <s v="Active"/>
    <s v="Instagram"/>
    <s v="Sep-2022"/>
    <s v="Dec-2024"/>
    <x v="2"/>
    <s v="E-commerce"/>
    <s v="Medium"/>
    <n v="2022"/>
  </r>
  <r>
    <s v="C0700"/>
    <s v="Premium"/>
    <d v="2023-05-14T00:00:00"/>
    <d v="2024-12-31T00:00:00"/>
    <n v="40"/>
    <s v="Active"/>
    <s v="Facebook"/>
    <s v="May-2023"/>
    <s v="Dec-2024"/>
    <x v="1"/>
    <s v="Finance"/>
    <s v="Large"/>
    <n v="2023"/>
  </r>
  <r>
    <s v="C0701"/>
    <s v="Premium"/>
    <d v="2021-12-31T00:00:00"/>
    <d v="2024-05-18T00:00:00"/>
    <n v="40"/>
    <s v="Churned"/>
    <s v="LinkedIn"/>
    <s v="Dec-2021"/>
    <s v="May-2024"/>
    <x v="4"/>
    <s v="Finance"/>
    <s v="Enterprise"/>
    <n v="2021"/>
  </r>
  <r>
    <s v="C0702"/>
    <s v="Standard"/>
    <d v="2020-04-01T00:00:00"/>
    <d v="2024-12-31T00:00:00"/>
    <n v="25"/>
    <s v="Active"/>
    <s v="Google"/>
    <s v="Apr-2020"/>
    <s v="Dec-2024"/>
    <x v="1"/>
    <s v="E-commerce"/>
    <s v="Small"/>
    <n v="2020"/>
  </r>
  <r>
    <s v="C0703"/>
    <s v="Premium"/>
    <d v="2021-09-06T00:00:00"/>
    <d v="2024-12-31T00:00:00"/>
    <n v="40"/>
    <s v="Active"/>
    <s v="Google"/>
    <s v="Sep-2021"/>
    <s v="Dec-2024"/>
    <x v="2"/>
    <s v="Tech"/>
    <s v="Small"/>
    <n v="2021"/>
  </r>
  <r>
    <s v="C0704"/>
    <s v="Basic"/>
    <d v="2024-07-03T00:00:00"/>
    <d v="2024-12-31T00:00:00"/>
    <n v="15"/>
    <s v="Active"/>
    <s v="Facebook"/>
    <s v="Jul-2024"/>
    <s v="Dec-2024"/>
    <x v="5"/>
    <s v="Finance"/>
    <s v="Small"/>
    <n v="2024"/>
  </r>
  <r>
    <s v="C0705"/>
    <s v="Premium"/>
    <d v="2021-04-21T00:00:00"/>
    <d v="2022-05-28T00:00:00"/>
    <n v="40"/>
    <s v="Churned"/>
    <s v="LinkedIn"/>
    <s v="Apr-2021"/>
    <s v="May-2022"/>
    <x v="4"/>
    <s v="Healthcare"/>
    <s v="Enterprise"/>
    <n v="2021"/>
  </r>
  <r>
    <s v="C0706"/>
    <s v="Basic"/>
    <d v="2023-11-10T00:00:00"/>
    <d v="2024-12-31T00:00:00"/>
    <n v="15"/>
    <s v="Churned"/>
    <s v="Google"/>
    <s v="Nov-2023"/>
    <s v="Dec-2024"/>
    <x v="3"/>
    <s v="Education"/>
    <s v="Enterprise"/>
    <n v="2023"/>
  </r>
  <r>
    <s v="C0707"/>
    <s v="Standard"/>
    <d v="2021-06-04T00:00:00"/>
    <d v="2024-12-31T00:00:00"/>
    <n v="25"/>
    <s v="Active"/>
    <s v="Facebook"/>
    <s v="Jun-2021"/>
    <s v="Dec-2024"/>
    <x v="0"/>
    <s v="Healthcare"/>
    <s v="Medium"/>
    <n v="2021"/>
  </r>
  <r>
    <s v="C0708"/>
    <s v="Premium"/>
    <d v="2021-06-14T00:00:00"/>
    <d v="2024-12-31T00:00:00"/>
    <n v="40"/>
    <s v="Active"/>
    <s v="Referral"/>
    <s v="Jun-2021"/>
    <s v="Dec-2024"/>
    <x v="2"/>
    <s v="Tech"/>
    <s v="Small"/>
    <n v="2021"/>
  </r>
  <r>
    <s v="C0709"/>
    <s v="Basic"/>
    <d v="2023-02-21T00:00:00"/>
    <d v="2024-12-31T00:00:00"/>
    <n v="15"/>
    <s v="Active"/>
    <s v="Facebook"/>
    <s v="Feb-2023"/>
    <s v="Dec-2024"/>
    <x v="2"/>
    <s v="Finance"/>
    <s v="Enterprise"/>
    <n v="2023"/>
  </r>
  <r>
    <s v="C0710"/>
    <s v="Standard"/>
    <d v="2020-04-04T00:00:00"/>
    <d v="2024-12-31T00:00:00"/>
    <n v="25"/>
    <s v="Active"/>
    <s v="Instagram"/>
    <s v="Apr-2020"/>
    <s v="Dec-2024"/>
    <x v="4"/>
    <s v="E-commerce"/>
    <s v="Enterprise"/>
    <n v="2020"/>
  </r>
  <r>
    <s v="C0711"/>
    <s v="Standard"/>
    <d v="2023-12-27T00:00:00"/>
    <d v="2024-12-31T00:00:00"/>
    <n v="25"/>
    <s v="Active"/>
    <s v="LinkedIn"/>
    <s v="Dec-2023"/>
    <s v="Dec-2024"/>
    <x v="4"/>
    <s v="E-commerce"/>
    <s v="Medium"/>
    <n v="2023"/>
  </r>
  <r>
    <s v="C0712"/>
    <s v="Premium"/>
    <d v="2023-04-18T00:00:00"/>
    <d v="2024-12-31T00:00:00"/>
    <n v="40"/>
    <s v="Active"/>
    <s v="LinkedIn"/>
    <s v="Apr-2023"/>
    <s v="Dec-2024"/>
    <x v="3"/>
    <s v="E-commerce"/>
    <s v="Enterprise"/>
    <n v="2023"/>
  </r>
  <r>
    <s v="C0713"/>
    <s v="Basic"/>
    <d v="2023-09-13T00:00:00"/>
    <d v="2024-12-31T00:00:00"/>
    <n v="15"/>
    <s v="Active"/>
    <s v="Google"/>
    <s v="Sep-2023"/>
    <s v="Dec-2024"/>
    <x v="5"/>
    <s v="E-commerce"/>
    <s v="Small"/>
    <n v="2023"/>
  </r>
  <r>
    <s v="C0714"/>
    <s v="Standard"/>
    <d v="2023-05-26T00:00:00"/>
    <d v="2024-12-31T00:00:00"/>
    <n v="25"/>
    <s v="Active"/>
    <s v="Instagram"/>
    <s v="May-2023"/>
    <s v="Dec-2024"/>
    <x v="2"/>
    <s v="Retail"/>
    <s v="Enterprise"/>
    <n v="2023"/>
  </r>
  <r>
    <s v="C0715"/>
    <s v="Premium"/>
    <d v="2023-05-12T00:00:00"/>
    <d v="2024-12-06T00:00:00"/>
    <n v="40"/>
    <s v="Churned"/>
    <s v="Facebook"/>
    <s v="May-2023"/>
    <s v="Dec-2024"/>
    <x v="4"/>
    <s v="Healthcare"/>
    <s v="Large"/>
    <n v="2023"/>
  </r>
  <r>
    <s v="C0716"/>
    <s v="Basic"/>
    <d v="2022-04-03T00:00:00"/>
    <d v="2024-12-31T00:00:00"/>
    <n v="15"/>
    <s v="Active"/>
    <s v="Referral"/>
    <s v="Apr-2022"/>
    <s v="Dec-2024"/>
    <x v="2"/>
    <s v="Healthcare"/>
    <s v="Large"/>
    <n v="2022"/>
  </r>
  <r>
    <s v="C0717"/>
    <s v="Standard"/>
    <d v="2020-09-16T00:00:00"/>
    <d v="2024-12-31T00:00:00"/>
    <n v="25"/>
    <s v="Active"/>
    <s v="Instagram"/>
    <s v="Sep-2020"/>
    <s v="Dec-2024"/>
    <x v="2"/>
    <s v="Education"/>
    <s v="Small"/>
    <n v="2020"/>
  </r>
  <r>
    <s v="C0718"/>
    <s v="Premium"/>
    <d v="2022-12-16T00:00:00"/>
    <d v="2024-10-07T00:00:00"/>
    <n v="40"/>
    <s v="Churned"/>
    <s v="Google"/>
    <s v="Dec-2022"/>
    <s v="Oct-2024"/>
    <x v="5"/>
    <s v="E-commerce"/>
    <s v="Large"/>
    <n v="2022"/>
  </r>
  <r>
    <s v="C0719"/>
    <s v="Standard"/>
    <d v="2021-09-19T00:00:00"/>
    <d v="2023-09-06T00:00:00"/>
    <n v="25"/>
    <s v="Churned"/>
    <s v="LinkedIn"/>
    <s v="Sep-2021"/>
    <s v="Sep-2023"/>
    <x v="2"/>
    <s v="Retail"/>
    <s v="Small"/>
    <n v="2021"/>
  </r>
  <r>
    <s v="C0720"/>
    <s v="Basic"/>
    <d v="2022-08-25T00:00:00"/>
    <d v="2024-12-31T00:00:00"/>
    <n v="15"/>
    <s v="Active"/>
    <s v="Instagram"/>
    <s v="Aug-2022"/>
    <s v="Dec-2024"/>
    <x v="5"/>
    <s v="Finance"/>
    <s v="Medium"/>
    <n v="2022"/>
  </r>
  <r>
    <s v="C0721"/>
    <s v="Basic"/>
    <d v="2020-02-01T00:00:00"/>
    <d v="2024-12-31T00:00:00"/>
    <n v="15"/>
    <s v="Active"/>
    <s v="LinkedIn"/>
    <s v="Feb-2020"/>
    <s v="Dec-2024"/>
    <x v="3"/>
    <s v="Finance"/>
    <s v="Small"/>
    <n v="2020"/>
  </r>
  <r>
    <s v="C0722"/>
    <s v="Premium"/>
    <d v="2021-11-18T00:00:00"/>
    <d v="2022-07-29T00:00:00"/>
    <n v="40"/>
    <s v="Churned"/>
    <s v="Referral"/>
    <s v="Nov-2021"/>
    <s v="Jul-2022"/>
    <x v="0"/>
    <s v="Education"/>
    <s v="Small"/>
    <n v="2021"/>
  </r>
  <r>
    <s v="C0723"/>
    <s v="Standard"/>
    <d v="2020-03-21T00:00:00"/>
    <d v="2024-12-31T00:00:00"/>
    <n v="25"/>
    <s v="Active"/>
    <s v="LinkedIn"/>
    <s v="Mar-2020"/>
    <s v="Dec-2024"/>
    <x v="2"/>
    <s v="E-commerce"/>
    <s v="Small"/>
    <n v="2020"/>
  </r>
  <r>
    <s v="C0724"/>
    <s v="Basic"/>
    <d v="2022-11-21T00:00:00"/>
    <d v="2024-10-25T00:00:00"/>
    <n v="15"/>
    <s v="Churned"/>
    <s v="LinkedIn"/>
    <s v="Nov-2022"/>
    <s v="Oct-2024"/>
    <x v="5"/>
    <s v="Healthcare"/>
    <s v="Medium"/>
    <n v="2022"/>
  </r>
  <r>
    <s v="C0725"/>
    <s v="Standard"/>
    <d v="2022-10-23T00:00:00"/>
    <d v="2024-07-17T00:00:00"/>
    <n v="25"/>
    <s v="Churned"/>
    <s v="LinkedIn"/>
    <s v="Oct-2022"/>
    <s v="Jul-2024"/>
    <x v="5"/>
    <s v="Healthcare"/>
    <s v="Small"/>
    <n v="2022"/>
  </r>
  <r>
    <s v="C0726"/>
    <s v="Standard"/>
    <d v="2023-06-18T00:00:00"/>
    <d v="2024-12-31T00:00:00"/>
    <n v="25"/>
    <s v="Active"/>
    <s v="Google"/>
    <s v="Jun-2023"/>
    <s v="Dec-2024"/>
    <x v="5"/>
    <s v="Education"/>
    <s v="Medium"/>
    <n v="2023"/>
  </r>
  <r>
    <s v="C0727"/>
    <s v="Basic"/>
    <d v="2020-06-22T00:00:00"/>
    <d v="2024-12-31T00:00:00"/>
    <n v="15"/>
    <s v="Active"/>
    <s v="Facebook"/>
    <s v="Jun-2020"/>
    <s v="Dec-2024"/>
    <x v="3"/>
    <s v="E-commerce"/>
    <s v="Large"/>
    <n v="2020"/>
  </r>
  <r>
    <s v="C0728"/>
    <s v="Standard"/>
    <d v="2022-01-15T00:00:00"/>
    <d v="2024-12-31T00:00:00"/>
    <n v="25"/>
    <s v="Active"/>
    <s v="Facebook"/>
    <s v="Jan-2022"/>
    <s v="Dec-2024"/>
    <x v="1"/>
    <s v="Retail"/>
    <s v="Large"/>
    <n v="2022"/>
  </r>
  <r>
    <s v="C0729"/>
    <s v="Basic"/>
    <d v="2021-05-19T00:00:00"/>
    <d v="2024-12-31T00:00:00"/>
    <n v="15"/>
    <s v="Active"/>
    <s v="Referral"/>
    <s v="May-2021"/>
    <s v="Dec-2024"/>
    <x v="2"/>
    <s v="Finance"/>
    <s v="Large"/>
    <n v="2021"/>
  </r>
  <r>
    <s v="C0730"/>
    <s v="Premium"/>
    <d v="2020-11-28T00:00:00"/>
    <d v="2024-12-31T00:00:00"/>
    <n v="40"/>
    <s v="Active"/>
    <s v="LinkedIn"/>
    <s v="Nov-2020"/>
    <s v="Dec-2024"/>
    <x v="5"/>
    <s v="Tech"/>
    <s v="Enterprise"/>
    <n v="2020"/>
  </r>
  <r>
    <s v="C0731"/>
    <s v="Standard"/>
    <d v="2022-11-14T00:00:00"/>
    <d v="2024-01-22T00:00:00"/>
    <n v="25"/>
    <s v="Churned"/>
    <s v="Instagram"/>
    <s v="Nov-2022"/>
    <s v="Jan-2024"/>
    <x v="3"/>
    <s v="Tech"/>
    <s v="Small"/>
    <n v="2022"/>
  </r>
  <r>
    <s v="C0732"/>
    <s v="Basic"/>
    <d v="2021-08-18T00:00:00"/>
    <d v="2023-09-29T00:00:00"/>
    <n v="15"/>
    <s v="Churned"/>
    <s v="LinkedIn"/>
    <s v="Aug-2021"/>
    <s v="Sep-2023"/>
    <x v="4"/>
    <s v="Retail"/>
    <s v="Enterprise"/>
    <n v="2021"/>
  </r>
  <r>
    <s v="C0733"/>
    <s v="Standard"/>
    <d v="2021-01-07T00:00:00"/>
    <d v="2024-12-31T00:00:00"/>
    <n v="25"/>
    <s v="Active"/>
    <s v="Facebook"/>
    <s v="Jan-2021"/>
    <s v="Dec-2024"/>
    <x v="0"/>
    <s v="Retail"/>
    <s v="Small"/>
    <n v="2021"/>
  </r>
  <r>
    <s v="C0734"/>
    <s v="Basic"/>
    <d v="2021-04-07T00:00:00"/>
    <d v="2024-12-31T00:00:00"/>
    <n v="15"/>
    <s v="Active"/>
    <s v="Referral"/>
    <s v="Apr-2021"/>
    <s v="Dec-2024"/>
    <x v="2"/>
    <s v="Healthcare"/>
    <s v="Medium"/>
    <n v="2021"/>
  </r>
  <r>
    <s v="C0735"/>
    <s v="Premium"/>
    <d v="2020-08-04T00:00:00"/>
    <d v="2024-12-31T00:00:00"/>
    <n v="40"/>
    <s v="Active"/>
    <s v="Instagram"/>
    <s v="Aug-2020"/>
    <s v="Dec-2024"/>
    <x v="1"/>
    <s v="Education"/>
    <s v="Medium"/>
    <n v="2020"/>
  </r>
  <r>
    <s v="C0736"/>
    <s v="Basic"/>
    <d v="2021-08-22T00:00:00"/>
    <d v="2024-12-31T00:00:00"/>
    <n v="15"/>
    <s v="Active"/>
    <s v="Referral"/>
    <s v="Aug-2021"/>
    <s v="Dec-2024"/>
    <x v="0"/>
    <s v="Finance"/>
    <s v="Small"/>
    <n v="2021"/>
  </r>
  <r>
    <s v="C0737"/>
    <s v="Basic"/>
    <d v="2022-02-12T00:00:00"/>
    <d v="2024-12-31T00:00:00"/>
    <n v="15"/>
    <s v="Active"/>
    <s v="Facebook"/>
    <s v="Feb-2022"/>
    <s v="Dec-2024"/>
    <x v="1"/>
    <s v="Healthcare"/>
    <s v="Small"/>
    <n v="2022"/>
  </r>
  <r>
    <s v="C0738"/>
    <s v="Premium"/>
    <d v="2022-10-17T00:00:00"/>
    <d v="2024-12-31T00:00:00"/>
    <n v="40"/>
    <s v="Active"/>
    <s v="Facebook"/>
    <s v="Oct-2022"/>
    <s v="Dec-2024"/>
    <x v="5"/>
    <s v="Healthcare"/>
    <s v="Medium"/>
    <n v="2022"/>
  </r>
  <r>
    <s v="C0739"/>
    <s v="Standard"/>
    <d v="2020-08-26T00:00:00"/>
    <d v="2024-12-31T00:00:00"/>
    <n v="25"/>
    <s v="Active"/>
    <s v="Instagram"/>
    <s v="Aug-2020"/>
    <s v="Dec-2024"/>
    <x v="1"/>
    <s v="Education"/>
    <s v="Enterprise"/>
    <n v="2020"/>
  </r>
  <r>
    <s v="C0740"/>
    <s v="Standard"/>
    <d v="2023-01-16T00:00:00"/>
    <d v="2024-07-09T00:00:00"/>
    <n v="25"/>
    <s v="Churned"/>
    <s v="Referral"/>
    <s v="Jan-2023"/>
    <s v="Jul-2024"/>
    <x v="4"/>
    <s v="Education"/>
    <s v="Medium"/>
    <n v="2023"/>
  </r>
  <r>
    <s v="C0741"/>
    <s v="Standard"/>
    <d v="2020-10-12T00:00:00"/>
    <d v="2024-12-31T00:00:00"/>
    <n v="25"/>
    <s v="Active"/>
    <s v="Facebook"/>
    <s v="Oct-2020"/>
    <s v="Dec-2024"/>
    <x v="2"/>
    <s v="Healthcare"/>
    <s v="Medium"/>
    <n v="2020"/>
  </r>
  <r>
    <s v="C0742"/>
    <s v="Standard"/>
    <d v="2020-03-04T00:00:00"/>
    <d v="2024-12-31T00:00:00"/>
    <n v="25"/>
    <s v="Active"/>
    <s v="Instagram"/>
    <s v="Mar-2020"/>
    <s v="Dec-2024"/>
    <x v="2"/>
    <s v="Finance"/>
    <s v="Medium"/>
    <n v="2020"/>
  </r>
  <r>
    <s v="C0743"/>
    <s v="Standard"/>
    <d v="2024-02-22T00:00:00"/>
    <d v="2024-12-31T00:00:00"/>
    <n v="25"/>
    <s v="Active"/>
    <s v="LinkedIn"/>
    <s v="Feb-2024"/>
    <s v="Dec-2024"/>
    <x v="4"/>
    <s v="Finance"/>
    <s v="Enterprise"/>
    <n v="2024"/>
  </r>
  <r>
    <s v="C0744"/>
    <s v="Premium"/>
    <d v="2023-04-26T00:00:00"/>
    <d v="2024-12-31T00:00:00"/>
    <n v="40"/>
    <s v="Active"/>
    <s v="Instagram"/>
    <s v="Apr-2023"/>
    <s v="Dec-2024"/>
    <x v="5"/>
    <s v="Finance"/>
    <s v="Medium"/>
    <n v="2023"/>
  </r>
  <r>
    <s v="C0745"/>
    <s v="Premium"/>
    <d v="2022-09-29T00:00:00"/>
    <d v="2024-12-31T00:00:00"/>
    <n v="40"/>
    <s v="Active"/>
    <s v="Google"/>
    <s v="Sep-2022"/>
    <s v="Dec-2024"/>
    <x v="2"/>
    <s v="Healthcare"/>
    <s v="Medium"/>
    <n v="2022"/>
  </r>
  <r>
    <s v="C0746"/>
    <s v="Standard"/>
    <d v="2020-02-24T00:00:00"/>
    <d v="2022-07-31T00:00:00"/>
    <n v="25"/>
    <s v="Churned"/>
    <s v="Referral"/>
    <s v="Feb-2020"/>
    <s v="Jul-2022"/>
    <x v="5"/>
    <s v="Education"/>
    <s v="Enterprise"/>
    <n v="2020"/>
  </r>
  <r>
    <s v="C0747"/>
    <s v="Basic"/>
    <d v="2022-09-23T00:00:00"/>
    <d v="2024-12-31T00:00:00"/>
    <n v="15"/>
    <s v="Active"/>
    <s v="Facebook"/>
    <s v="Sep-2022"/>
    <s v="Dec-2024"/>
    <x v="1"/>
    <s v="Retail"/>
    <s v="Small"/>
    <n v="2022"/>
  </r>
  <r>
    <s v="C0748"/>
    <s v="Standard"/>
    <d v="2020-12-08T00:00:00"/>
    <d v="2024-12-31T00:00:00"/>
    <n v="25"/>
    <s v="Active"/>
    <s v="LinkedIn"/>
    <s v="Dec-2020"/>
    <s v="Dec-2024"/>
    <x v="3"/>
    <s v="Education"/>
    <s v="Large"/>
    <n v="2020"/>
  </r>
  <r>
    <s v="C0749"/>
    <s v="Premium"/>
    <d v="2024-06-13T00:00:00"/>
    <d v="2024-12-31T00:00:00"/>
    <n v="40"/>
    <s v="Active"/>
    <s v="Instagram"/>
    <s v="Jun-2024"/>
    <s v="Dec-2024"/>
    <x v="2"/>
    <s v="Retail"/>
    <s v="Large"/>
    <n v="2024"/>
  </r>
  <r>
    <s v="C0750"/>
    <s v="Premium"/>
    <d v="2024-06-05T00:00:00"/>
    <d v="2024-12-31T00:00:00"/>
    <n v="40"/>
    <s v="Churned"/>
    <s v="Instagram"/>
    <s v="Jun-2024"/>
    <s v="Dec-2024"/>
    <x v="0"/>
    <s v="Healthcare"/>
    <s v="Small"/>
    <n v="2024"/>
  </r>
  <r>
    <s v="C0751"/>
    <s v="Premium"/>
    <d v="2022-03-02T00:00:00"/>
    <d v="2024-03-22T00:00:00"/>
    <n v="40"/>
    <s v="Churned"/>
    <s v="Referral"/>
    <s v="Mar-2022"/>
    <s v="Mar-2024"/>
    <x v="4"/>
    <s v="Retail"/>
    <s v="Medium"/>
    <n v="2022"/>
  </r>
  <r>
    <s v="C0752"/>
    <s v="Basic"/>
    <d v="2023-03-06T00:00:00"/>
    <d v="2024-12-31T00:00:00"/>
    <n v="15"/>
    <s v="Churned"/>
    <s v="Instagram"/>
    <s v="Mar-2023"/>
    <s v="Dec-2024"/>
    <x v="2"/>
    <s v="E-commerce"/>
    <s v="Large"/>
    <n v="2023"/>
  </r>
  <r>
    <s v="C0753"/>
    <s v="Standard"/>
    <d v="2020-07-26T00:00:00"/>
    <d v="2021-11-22T00:00:00"/>
    <n v="25"/>
    <s v="Churned"/>
    <s v="Google"/>
    <s v="Jul-2020"/>
    <s v="Nov-2021"/>
    <x v="2"/>
    <s v="Education"/>
    <s v="Medium"/>
    <n v="2020"/>
  </r>
  <r>
    <s v="C0754"/>
    <s v="Standard"/>
    <d v="2023-07-15T00:00:00"/>
    <d v="2024-12-31T00:00:00"/>
    <n v="25"/>
    <s v="Active"/>
    <s v="Instagram"/>
    <s v="Jul-2023"/>
    <s v="Dec-2024"/>
    <x v="4"/>
    <s v="E-commerce"/>
    <s v="Small"/>
    <n v="2023"/>
  </r>
  <r>
    <s v="C0755"/>
    <s v="Standard"/>
    <d v="2021-03-14T00:00:00"/>
    <d v="2024-12-31T00:00:00"/>
    <n v="25"/>
    <s v="Active"/>
    <s v="Google"/>
    <s v="Mar-2021"/>
    <s v="Dec-2024"/>
    <x v="3"/>
    <s v="Education"/>
    <s v="Medium"/>
    <n v="2021"/>
  </r>
  <r>
    <s v="C0756"/>
    <s v="Basic"/>
    <d v="2022-06-13T00:00:00"/>
    <d v="2024-12-31T00:00:00"/>
    <n v="15"/>
    <s v="Active"/>
    <s v="Facebook"/>
    <s v="Jun-2022"/>
    <s v="Dec-2024"/>
    <x v="0"/>
    <s v="Education"/>
    <s v="Small"/>
    <n v="2022"/>
  </r>
  <r>
    <s v="C0757"/>
    <s v="Premium"/>
    <d v="2022-08-08T00:00:00"/>
    <d v="2023-09-30T00:00:00"/>
    <n v="40"/>
    <s v="Churned"/>
    <s v="Referral"/>
    <s v="Aug-2022"/>
    <s v="Sep-2023"/>
    <x v="1"/>
    <s v="Finance"/>
    <s v="Enterprise"/>
    <n v="2022"/>
  </r>
  <r>
    <s v="C0758"/>
    <s v="Standard"/>
    <d v="2022-12-26T00:00:00"/>
    <d v="2024-12-31T00:00:00"/>
    <n v="25"/>
    <s v="Active"/>
    <s v="Instagram"/>
    <s v="Dec-2022"/>
    <s v="Dec-2024"/>
    <x v="4"/>
    <s v="Finance"/>
    <s v="Large"/>
    <n v="2022"/>
  </r>
  <r>
    <s v="C0759"/>
    <s v="Premium"/>
    <d v="2023-03-28T00:00:00"/>
    <d v="2024-12-31T00:00:00"/>
    <n v="40"/>
    <s v="Churned"/>
    <s v="Facebook"/>
    <s v="Mar-2023"/>
    <s v="Dec-2024"/>
    <x v="2"/>
    <s v="Healthcare"/>
    <s v="Medium"/>
    <n v="2023"/>
  </r>
  <r>
    <s v="C0760"/>
    <s v="Premium"/>
    <d v="2021-03-30T00:00:00"/>
    <d v="2024-12-31T00:00:00"/>
    <n v="40"/>
    <s v="Active"/>
    <s v="Google"/>
    <s v="Mar-2021"/>
    <s v="Dec-2024"/>
    <x v="4"/>
    <s v="Education"/>
    <s v="Medium"/>
    <n v="2021"/>
  </r>
  <r>
    <s v="C0761"/>
    <s v="Basic"/>
    <d v="2024-04-20T00:00:00"/>
    <d v="2024-12-31T00:00:00"/>
    <n v="15"/>
    <s v="Churned"/>
    <s v="Referral"/>
    <s v="Apr-2024"/>
    <s v="Dec-2024"/>
    <x v="4"/>
    <s v="Retail"/>
    <s v="Enterprise"/>
    <n v="2024"/>
  </r>
  <r>
    <s v="C0762"/>
    <s v="Standard"/>
    <d v="2023-09-07T00:00:00"/>
    <d v="2024-12-31T00:00:00"/>
    <n v="25"/>
    <s v="Active"/>
    <s v="Referral"/>
    <s v="Sep-2023"/>
    <s v="Dec-2024"/>
    <x v="5"/>
    <s v="Retail"/>
    <s v="Enterprise"/>
    <n v="2023"/>
  </r>
  <r>
    <s v="C0763"/>
    <s v="Standard"/>
    <d v="2020-11-02T00:00:00"/>
    <d v="2024-12-31T00:00:00"/>
    <n v="25"/>
    <s v="Active"/>
    <s v="Google"/>
    <s v="Nov-2020"/>
    <s v="Dec-2024"/>
    <x v="4"/>
    <s v="Education"/>
    <s v="Small"/>
    <n v="2020"/>
  </r>
  <r>
    <s v="C0764"/>
    <s v="Basic"/>
    <d v="2021-04-08T00:00:00"/>
    <d v="2024-12-31T00:00:00"/>
    <n v="15"/>
    <s v="Active"/>
    <s v="Facebook"/>
    <s v="Apr-2021"/>
    <s v="Dec-2024"/>
    <x v="2"/>
    <s v="Tech"/>
    <s v="Large"/>
    <n v="2021"/>
  </r>
  <r>
    <s v="C0765"/>
    <s v="Standard"/>
    <d v="2020-01-26T00:00:00"/>
    <d v="2024-12-31T00:00:00"/>
    <n v="25"/>
    <s v="Active"/>
    <s v="Google"/>
    <s v="Jan-2020"/>
    <s v="Dec-2024"/>
    <x v="3"/>
    <s v="Retail"/>
    <s v="Medium"/>
    <n v="2020"/>
  </r>
  <r>
    <s v="C0766"/>
    <s v="Basic"/>
    <d v="2021-10-26T00:00:00"/>
    <d v="2024-12-31T00:00:00"/>
    <n v="15"/>
    <s v="Active"/>
    <s v="Instagram"/>
    <s v="Oct-2021"/>
    <s v="Dec-2024"/>
    <x v="2"/>
    <s v="Retail"/>
    <s v="Large"/>
    <n v="2021"/>
  </r>
  <r>
    <s v="C0767"/>
    <s v="Premium"/>
    <d v="2021-03-18T00:00:00"/>
    <d v="2023-04-22T00:00:00"/>
    <n v="40"/>
    <s v="Churned"/>
    <s v="Referral"/>
    <s v="Mar-2021"/>
    <s v="Apr-2023"/>
    <x v="2"/>
    <s v="Education"/>
    <s v="Small"/>
    <n v="2021"/>
  </r>
  <r>
    <s v="C0768"/>
    <s v="Standard"/>
    <d v="2023-02-06T00:00:00"/>
    <d v="2024-12-31T00:00:00"/>
    <n v="25"/>
    <s v="Active"/>
    <s v="LinkedIn"/>
    <s v="Feb-2023"/>
    <s v="Dec-2024"/>
    <x v="3"/>
    <s v="Education"/>
    <s v="Small"/>
    <n v="2023"/>
  </r>
  <r>
    <s v="C0769"/>
    <s v="Premium"/>
    <d v="2022-06-01T00:00:00"/>
    <d v="2024-12-31T00:00:00"/>
    <n v="40"/>
    <s v="Active"/>
    <s v="Referral"/>
    <s v="Jun-2022"/>
    <s v="Dec-2024"/>
    <x v="1"/>
    <s v="Finance"/>
    <s v="Small"/>
    <n v="2022"/>
  </r>
  <r>
    <s v="C0770"/>
    <s v="Basic"/>
    <d v="2024-06-27T00:00:00"/>
    <d v="2024-11-22T00:00:00"/>
    <n v="15"/>
    <s v="Churned"/>
    <s v="Instagram"/>
    <s v="Jun-2024"/>
    <s v="Nov-2024"/>
    <x v="2"/>
    <s v="Finance"/>
    <s v="Small"/>
    <n v="2024"/>
  </r>
  <r>
    <s v="C0771"/>
    <s v="Premium"/>
    <d v="2022-09-19T00:00:00"/>
    <d v="2024-12-31T00:00:00"/>
    <n v="40"/>
    <s v="Active"/>
    <s v="Google"/>
    <s v="Sep-2022"/>
    <s v="Dec-2024"/>
    <x v="5"/>
    <s v="E-commerce"/>
    <s v="Small"/>
    <n v="2022"/>
  </r>
  <r>
    <s v="C0772"/>
    <s v="Standard"/>
    <d v="2023-01-14T00:00:00"/>
    <d v="2024-12-31T00:00:00"/>
    <n v="25"/>
    <s v="Active"/>
    <s v="Google"/>
    <s v="Jan-2023"/>
    <s v="Dec-2024"/>
    <x v="5"/>
    <s v="Education"/>
    <s v="Enterprise"/>
    <n v="2023"/>
  </r>
  <r>
    <s v="C0773"/>
    <s v="Standard"/>
    <d v="2024-01-25T00:00:00"/>
    <d v="2024-12-31T00:00:00"/>
    <n v="25"/>
    <s v="Churned"/>
    <s v="Facebook"/>
    <s v="Jan-2024"/>
    <s v="Dec-2024"/>
    <x v="1"/>
    <s v="Finance"/>
    <s v="Large"/>
    <n v="2024"/>
  </r>
  <r>
    <s v="C0774"/>
    <s v="Standard"/>
    <d v="2021-09-02T00:00:00"/>
    <d v="2022-02-22T00:00:00"/>
    <n v="25"/>
    <s v="Churned"/>
    <s v="Instagram"/>
    <s v="Sep-2021"/>
    <s v="Feb-2022"/>
    <x v="2"/>
    <s v="Education"/>
    <s v="Large"/>
    <n v="2021"/>
  </r>
  <r>
    <s v="C0775"/>
    <s v="Basic"/>
    <d v="2022-12-20T00:00:00"/>
    <d v="2024-12-31T00:00:00"/>
    <n v="15"/>
    <s v="Active"/>
    <s v="LinkedIn"/>
    <s v="Dec-2022"/>
    <s v="Dec-2024"/>
    <x v="2"/>
    <s v="Retail"/>
    <s v="Medium"/>
    <n v="2022"/>
  </r>
  <r>
    <s v="C0776"/>
    <s v="Standard"/>
    <d v="2020-09-06T00:00:00"/>
    <d v="2023-01-23T00:00:00"/>
    <n v="25"/>
    <s v="Churned"/>
    <s v="Instagram"/>
    <s v="Sep-2020"/>
    <s v="Jan-2023"/>
    <x v="4"/>
    <s v="Tech"/>
    <s v="Small"/>
    <n v="2020"/>
  </r>
  <r>
    <s v="C0777"/>
    <s v="Standard"/>
    <d v="2022-07-28T00:00:00"/>
    <d v="2024-12-31T00:00:00"/>
    <n v="25"/>
    <s v="Active"/>
    <s v="Referral"/>
    <s v="Jul-2022"/>
    <s v="Dec-2024"/>
    <x v="2"/>
    <s v="Healthcare"/>
    <s v="Small"/>
    <n v="2022"/>
  </r>
  <r>
    <s v="C0778"/>
    <s v="Premium"/>
    <d v="2021-10-09T00:00:00"/>
    <d v="2024-12-31T00:00:00"/>
    <n v="40"/>
    <s v="Active"/>
    <s v="Referral"/>
    <s v="Oct-2021"/>
    <s v="Dec-2024"/>
    <x v="1"/>
    <s v="Education"/>
    <s v="Small"/>
    <n v="2021"/>
  </r>
  <r>
    <s v="C0779"/>
    <s v="Premium"/>
    <d v="2021-01-13T00:00:00"/>
    <d v="2024-12-31T00:00:00"/>
    <n v="40"/>
    <s v="Active"/>
    <s v="LinkedIn"/>
    <s v="Jan-2021"/>
    <s v="Dec-2024"/>
    <x v="4"/>
    <s v="Tech"/>
    <s v="Large"/>
    <n v="2021"/>
  </r>
  <r>
    <s v="C0780"/>
    <s v="Premium"/>
    <d v="2020-05-20T00:00:00"/>
    <d v="2021-06-06T00:00:00"/>
    <n v="40"/>
    <s v="Churned"/>
    <s v="LinkedIn"/>
    <s v="May-2020"/>
    <s v="Jun-2021"/>
    <x v="5"/>
    <s v="E-commerce"/>
    <s v="Large"/>
    <n v="2020"/>
  </r>
  <r>
    <s v="C0781"/>
    <s v="Basic"/>
    <d v="2024-04-19T00:00:00"/>
    <d v="2024-12-31T00:00:00"/>
    <n v="15"/>
    <s v="Active"/>
    <s v="Facebook"/>
    <s v="Apr-2024"/>
    <s v="Dec-2024"/>
    <x v="4"/>
    <s v="Retail"/>
    <s v="Medium"/>
    <n v="2024"/>
  </r>
  <r>
    <s v="C0782"/>
    <s v="Standard"/>
    <d v="2020-09-03T00:00:00"/>
    <d v="2024-12-31T00:00:00"/>
    <n v="25"/>
    <s v="Active"/>
    <s v="Instagram"/>
    <s v="Sep-2020"/>
    <s v="Dec-2024"/>
    <x v="1"/>
    <s v="Finance"/>
    <s v="Medium"/>
    <n v="2020"/>
  </r>
  <r>
    <s v="C0783"/>
    <s v="Premium"/>
    <d v="2021-05-29T00:00:00"/>
    <d v="2024-12-31T00:00:00"/>
    <n v="40"/>
    <s v="Active"/>
    <s v="Facebook"/>
    <s v="May-2021"/>
    <s v="Dec-2024"/>
    <x v="5"/>
    <s v="Tech"/>
    <s v="Small"/>
    <n v="2021"/>
  </r>
  <r>
    <s v="C0784"/>
    <s v="Premium"/>
    <d v="2023-05-10T00:00:00"/>
    <d v="2024-12-31T00:00:00"/>
    <n v="40"/>
    <s v="Active"/>
    <s v="Referral"/>
    <s v="May-2023"/>
    <s v="Dec-2024"/>
    <x v="1"/>
    <s v="Finance"/>
    <s v="Enterprise"/>
    <n v="2023"/>
  </r>
  <r>
    <s v="C0785"/>
    <s v="Basic"/>
    <d v="2021-10-30T00:00:00"/>
    <d v="2024-12-31T00:00:00"/>
    <n v="15"/>
    <s v="Active"/>
    <s v="Referral"/>
    <s v="Oct-2021"/>
    <s v="Dec-2024"/>
    <x v="0"/>
    <s v="Tech"/>
    <s v="Small"/>
    <n v="2021"/>
  </r>
  <r>
    <s v="C0786"/>
    <s v="Basic"/>
    <d v="2021-02-28T00:00:00"/>
    <d v="2024-12-31T00:00:00"/>
    <n v="15"/>
    <s v="Active"/>
    <s v="Facebook"/>
    <s v="Feb-2021"/>
    <s v="Dec-2024"/>
    <x v="4"/>
    <s v="Finance"/>
    <s v="Small"/>
    <n v="2021"/>
  </r>
  <r>
    <s v="C0787"/>
    <s v="Premium"/>
    <d v="2020-12-14T00:00:00"/>
    <d v="2021-10-15T00:00:00"/>
    <n v="40"/>
    <s v="Churned"/>
    <s v="LinkedIn"/>
    <s v="Dec-2020"/>
    <s v="Oct-2021"/>
    <x v="5"/>
    <s v="Retail"/>
    <s v="Enterprise"/>
    <n v="2020"/>
  </r>
  <r>
    <s v="C0788"/>
    <s v="Standard"/>
    <d v="2020-07-22T00:00:00"/>
    <d v="2024-12-31T00:00:00"/>
    <n v="25"/>
    <s v="Active"/>
    <s v="Referral"/>
    <s v="Jul-2020"/>
    <s v="Dec-2024"/>
    <x v="5"/>
    <s v="Education"/>
    <s v="Small"/>
    <n v="2020"/>
  </r>
  <r>
    <s v="C0789"/>
    <s v="Basic"/>
    <d v="2020-02-27T00:00:00"/>
    <d v="2024-12-31T00:00:00"/>
    <n v="15"/>
    <s v="Active"/>
    <s v="LinkedIn"/>
    <s v="Feb-2020"/>
    <s v="Dec-2024"/>
    <x v="5"/>
    <s v="Education"/>
    <s v="Enterprise"/>
    <n v="2020"/>
  </r>
  <r>
    <s v="C0790"/>
    <s v="Basic"/>
    <d v="2021-06-18T00:00:00"/>
    <d v="2024-12-31T00:00:00"/>
    <n v="15"/>
    <s v="Active"/>
    <s v="Instagram"/>
    <s v="Jun-2021"/>
    <s v="Dec-2024"/>
    <x v="0"/>
    <s v="Retail"/>
    <s v="Enterprise"/>
    <n v="2021"/>
  </r>
  <r>
    <s v="C0791"/>
    <s v="Basic"/>
    <d v="2020-07-26T00:00:00"/>
    <d v="2024-12-31T00:00:00"/>
    <n v="15"/>
    <s v="Active"/>
    <s v="Google"/>
    <s v="Jul-2020"/>
    <s v="Dec-2024"/>
    <x v="2"/>
    <s v="Finance"/>
    <s v="Medium"/>
    <n v="2020"/>
  </r>
  <r>
    <s v="C0792"/>
    <s v="Standard"/>
    <d v="2020-08-29T00:00:00"/>
    <d v="2024-12-31T00:00:00"/>
    <n v="25"/>
    <s v="Active"/>
    <s v="LinkedIn"/>
    <s v="Aug-2020"/>
    <s v="Dec-2024"/>
    <x v="3"/>
    <s v="Tech"/>
    <s v="Medium"/>
    <n v="2020"/>
  </r>
  <r>
    <s v="C0793"/>
    <s v="Basic"/>
    <d v="2023-08-15T00:00:00"/>
    <d v="2024-12-31T00:00:00"/>
    <n v="15"/>
    <s v="Active"/>
    <s v="Facebook"/>
    <s v="Aug-2023"/>
    <s v="Dec-2024"/>
    <x v="4"/>
    <s v="Tech"/>
    <s v="Medium"/>
    <n v="2023"/>
  </r>
  <r>
    <s v="C0794"/>
    <s v="Premium"/>
    <d v="2021-09-26T00:00:00"/>
    <d v="2024-12-31T00:00:00"/>
    <n v="40"/>
    <s v="Active"/>
    <s v="Instagram"/>
    <s v="Sep-2021"/>
    <s v="Dec-2024"/>
    <x v="1"/>
    <s v="Retail"/>
    <s v="Large"/>
    <n v="2021"/>
  </r>
  <r>
    <s v="C0795"/>
    <s v="Basic"/>
    <d v="2022-05-30T00:00:00"/>
    <d v="2024-12-31T00:00:00"/>
    <n v="15"/>
    <s v="Active"/>
    <s v="Referral"/>
    <s v="May-2022"/>
    <s v="Dec-2024"/>
    <x v="2"/>
    <s v="E-commerce"/>
    <s v="Small"/>
    <n v="2022"/>
  </r>
  <r>
    <s v="C0796"/>
    <s v="Basic"/>
    <d v="2022-10-03T00:00:00"/>
    <d v="2024-12-31T00:00:00"/>
    <n v="15"/>
    <s v="Churned"/>
    <s v="LinkedIn"/>
    <s v="Oct-2022"/>
    <s v="Dec-2024"/>
    <x v="4"/>
    <s v="Healthcare"/>
    <s v="Small"/>
    <n v="2022"/>
  </r>
  <r>
    <s v="C0797"/>
    <s v="Standard"/>
    <d v="2021-09-01T00:00:00"/>
    <d v="2023-08-29T00:00:00"/>
    <n v="25"/>
    <s v="Churned"/>
    <s v="Google"/>
    <s v="Sep-2021"/>
    <s v="Aug-2023"/>
    <x v="0"/>
    <s v="Tech"/>
    <s v="Medium"/>
    <n v="2021"/>
  </r>
  <r>
    <s v="C0798"/>
    <s v="Premium"/>
    <d v="2022-12-26T00:00:00"/>
    <d v="2024-12-31T00:00:00"/>
    <n v="40"/>
    <s v="Active"/>
    <s v="Facebook"/>
    <s v="Dec-2022"/>
    <s v="Dec-2024"/>
    <x v="3"/>
    <s v="Education"/>
    <s v="Large"/>
    <n v="2022"/>
  </r>
  <r>
    <s v="C0799"/>
    <s v="Standard"/>
    <d v="2022-11-24T00:00:00"/>
    <d v="2023-06-07T00:00:00"/>
    <n v="25"/>
    <s v="Churned"/>
    <s v="Referral"/>
    <s v="Nov-2022"/>
    <s v="Jun-2023"/>
    <x v="0"/>
    <s v="Retail"/>
    <s v="Small"/>
    <n v="2022"/>
  </r>
  <r>
    <s v="C0800"/>
    <s v="Basic"/>
    <d v="2024-04-07T00:00:00"/>
    <d v="2024-12-31T00:00:00"/>
    <n v="15"/>
    <s v="Churned"/>
    <s v="LinkedIn"/>
    <s v="Apr-2024"/>
    <s v="Dec-2024"/>
    <x v="1"/>
    <s v="Finance"/>
    <s v="Large"/>
    <n v="2024"/>
  </r>
</pivotCacheRecords>
</file>

<file path=xl/pivotCache/pivotCacheRecords4.xml><?xml version="1.0" encoding="utf-8"?>
<pivotCacheRecords xmlns="http://schemas.openxmlformats.org/spreadsheetml/2006/main" count="800">
  <r>
    <s v="C0001"/>
    <x v="0"/>
    <d v="2020-02-23T00:00:00"/>
    <d v="2024-12-31T00:00:00"/>
    <n v="40"/>
    <s v="Active"/>
    <s v="LinkedIn"/>
    <s v="Feb-2020"/>
    <s v="Dec-2024"/>
    <s v="Sweden"/>
    <s v="Finance"/>
    <s v="Large"/>
    <n v="2020"/>
  </r>
  <r>
    <s v="C0002"/>
    <x v="1"/>
    <d v="2020-09-18T00:00:00"/>
    <d v="2024-12-31T00:00:00"/>
    <n v="15"/>
    <s v="Active"/>
    <s v="Instagram"/>
    <s v="Sep-2020"/>
    <s v="Dec-2024"/>
    <s v="Netherlands"/>
    <s v="Finance"/>
    <s v="Enterprise"/>
    <n v="2020"/>
  </r>
  <r>
    <s v="C0003"/>
    <x v="0"/>
    <d v="2021-08-13T00:00:00"/>
    <d v="2022-03-31T00:00:00"/>
    <n v="40"/>
    <s v="Churned"/>
    <s v="Facebook"/>
    <s v="Aug-2021"/>
    <s v="Mar-2022"/>
    <s v="Germany"/>
    <s v="Retail"/>
    <s v="Small"/>
    <n v="2021"/>
  </r>
  <r>
    <s v="C0004"/>
    <x v="1"/>
    <d v="2021-12-17T00:00:00"/>
    <d v="2024-12-31T00:00:00"/>
    <n v="15"/>
    <s v="Active"/>
    <s v="Instagram"/>
    <s v="Dec-2021"/>
    <s v="Dec-2024"/>
    <s v="Italy"/>
    <s v="Healthcare"/>
    <s v="Enterprise"/>
    <n v="2021"/>
  </r>
  <r>
    <s v="C0005"/>
    <x v="2"/>
    <d v="2023-06-14T00:00:00"/>
    <d v="2024-12-31T00:00:00"/>
    <n v="25"/>
    <s v="Active"/>
    <s v="Referral"/>
    <s v="Jun-2023"/>
    <s v="Dec-2024"/>
    <s v="France"/>
    <s v="Education"/>
    <s v="Large"/>
    <n v="2023"/>
  </r>
  <r>
    <s v="C0006"/>
    <x v="1"/>
    <d v="2024-05-13T00:00:00"/>
    <d v="2024-11-19T00:00:00"/>
    <n v="15"/>
    <s v="Churned"/>
    <s v="LinkedIn"/>
    <s v="May-2024"/>
    <s v="Nov-2024"/>
    <s v="Italy"/>
    <s v="Retail"/>
    <s v="Medium"/>
    <n v="2024"/>
  </r>
  <r>
    <s v="C0007"/>
    <x v="2"/>
    <d v="2020-08-17T00:00:00"/>
    <d v="2024-12-31T00:00:00"/>
    <n v="25"/>
    <s v="Active"/>
    <s v="Facebook"/>
    <s v="Aug-2020"/>
    <s v="Dec-2024"/>
    <s v="Netherlands"/>
    <s v="Tech"/>
    <s v="Enterprise"/>
    <n v="2020"/>
  </r>
  <r>
    <s v="C0008"/>
    <x v="0"/>
    <d v="2024-01-06T00:00:00"/>
    <d v="2024-12-31T00:00:00"/>
    <n v="40"/>
    <s v="Active"/>
    <s v="Google"/>
    <s v="Jan-2024"/>
    <s v="Dec-2024"/>
    <s v="France"/>
    <s v="Retail"/>
    <s v="Large"/>
    <n v="2024"/>
  </r>
  <r>
    <s v="C0009"/>
    <x v="0"/>
    <d v="2021-07-26T00:00:00"/>
    <d v="2024-12-31T00:00:00"/>
    <n v="40"/>
    <s v="Active"/>
    <s v="Referral"/>
    <s v="Jul-2021"/>
    <s v="Dec-2024"/>
    <s v="Germany"/>
    <s v="E-commerce"/>
    <s v="Small"/>
    <n v="2021"/>
  </r>
  <r>
    <s v="C0010"/>
    <x v="0"/>
    <d v="2021-10-22T00:00:00"/>
    <d v="2022-02-15T00:00:00"/>
    <n v="40"/>
    <s v="Churned"/>
    <s v="Google"/>
    <s v="Oct-2021"/>
    <s v="Feb-2022"/>
    <s v="France"/>
    <s v="E-commerce"/>
    <s v="Large"/>
    <n v="2021"/>
  </r>
  <r>
    <s v="C0011"/>
    <x v="2"/>
    <d v="2021-04-03T00:00:00"/>
    <d v="2024-12-31T00:00:00"/>
    <n v="25"/>
    <s v="Active"/>
    <s v="Facebook"/>
    <s v="Apr-2021"/>
    <s v="Dec-2024"/>
    <s v="Spain"/>
    <s v="Finance"/>
    <s v="Small"/>
    <n v="2021"/>
  </r>
  <r>
    <s v="C0012"/>
    <x v="1"/>
    <d v="2024-02-19T00:00:00"/>
    <d v="2024-12-31T00:00:00"/>
    <n v="15"/>
    <s v="Active"/>
    <s v="Google"/>
    <s v="Feb-2024"/>
    <s v="Dec-2024"/>
    <s v="Sweden"/>
    <s v="Finance"/>
    <s v="Enterprise"/>
    <n v="2024"/>
  </r>
  <r>
    <s v="C0013"/>
    <x v="2"/>
    <d v="2020-04-02T00:00:00"/>
    <d v="2024-12-31T00:00:00"/>
    <n v="25"/>
    <s v="Active"/>
    <s v="Referral"/>
    <s v="Apr-2020"/>
    <s v="Dec-2024"/>
    <s v="Spain"/>
    <s v="Healthcare"/>
    <s v="Enterprise"/>
    <n v="2020"/>
  </r>
  <r>
    <s v="C0014"/>
    <x v="0"/>
    <d v="2021-02-02T00:00:00"/>
    <d v="2024-12-31T00:00:00"/>
    <n v="40"/>
    <s v="Active"/>
    <s v="Referral"/>
    <s v="Feb-2021"/>
    <s v="Dec-2024"/>
    <s v="Sweden"/>
    <s v="E-commerce"/>
    <s v="Small"/>
    <n v="2021"/>
  </r>
  <r>
    <s v="C0015"/>
    <x v="1"/>
    <d v="2021-02-23T00:00:00"/>
    <d v="2024-12-31T00:00:00"/>
    <n v="15"/>
    <s v="Active"/>
    <s v="Instagram"/>
    <s v="Feb-2021"/>
    <s v="Dec-2024"/>
    <s v="Netherlands"/>
    <s v="E-commerce"/>
    <s v="Large"/>
    <n v="2021"/>
  </r>
  <r>
    <s v="C0016"/>
    <x v="1"/>
    <d v="2020-08-17T00:00:00"/>
    <d v="2024-12-31T00:00:00"/>
    <n v="15"/>
    <s v="Active"/>
    <s v="LinkedIn"/>
    <s v="Aug-2020"/>
    <s v="Dec-2024"/>
    <s v="Italy"/>
    <s v="Education"/>
    <s v="Small"/>
    <n v="2020"/>
  </r>
  <r>
    <s v="C0017"/>
    <x v="1"/>
    <d v="2022-01-14T00:00:00"/>
    <d v="2024-01-28T00:00:00"/>
    <n v="15"/>
    <s v="Churned"/>
    <s v="Facebook"/>
    <s v="Jan-2022"/>
    <s v="Jan-2024"/>
    <s v="Netherlands"/>
    <s v="Tech"/>
    <s v="Enterprise"/>
    <n v="2022"/>
  </r>
  <r>
    <s v="C0018"/>
    <x v="0"/>
    <d v="2024-04-09T00:00:00"/>
    <d v="2024-12-31T00:00:00"/>
    <n v="40"/>
    <s v="Active"/>
    <s v="Referral"/>
    <s v="Apr-2024"/>
    <s v="Dec-2024"/>
    <s v="France"/>
    <s v="Tech"/>
    <s v="Small"/>
    <n v="2024"/>
  </r>
  <r>
    <s v="C0019"/>
    <x v="1"/>
    <d v="2021-12-27T00:00:00"/>
    <d v="2024-12-31T00:00:00"/>
    <n v="15"/>
    <s v="Active"/>
    <s v="Instagram"/>
    <s v="Dec-2021"/>
    <s v="Dec-2024"/>
    <s v="Italy"/>
    <s v="Tech"/>
    <s v="Enterprise"/>
    <n v="2021"/>
  </r>
  <r>
    <s v="C0020"/>
    <x v="0"/>
    <d v="2024-02-03T00:00:00"/>
    <d v="2024-12-31T00:00:00"/>
    <n v="40"/>
    <s v="Active"/>
    <s v="Referral"/>
    <s v="Feb-2024"/>
    <s v="Dec-2024"/>
    <s v="Netherlands"/>
    <s v="Retail"/>
    <s v="Large"/>
    <n v="2024"/>
  </r>
  <r>
    <s v="C0021"/>
    <x v="1"/>
    <d v="2021-10-12T00:00:00"/>
    <d v="2023-09-29T00:00:00"/>
    <n v="15"/>
    <s v="Churned"/>
    <s v="Google"/>
    <s v="Oct-2021"/>
    <s v="Sep-2023"/>
    <s v="France"/>
    <s v="Retail"/>
    <s v="Small"/>
    <n v="2021"/>
  </r>
  <r>
    <s v="C0022"/>
    <x v="2"/>
    <d v="2022-04-09T00:00:00"/>
    <d v="2022-07-26T00:00:00"/>
    <n v="25"/>
    <s v="Churned"/>
    <s v="LinkedIn"/>
    <s v="Apr-2022"/>
    <s v="Jul-2022"/>
    <s v="Germany"/>
    <s v="E-commerce"/>
    <s v="Large"/>
    <n v="2022"/>
  </r>
  <r>
    <s v="C0023"/>
    <x v="2"/>
    <d v="2020-10-18T00:00:00"/>
    <d v="2024-12-31T00:00:00"/>
    <n v="25"/>
    <s v="Active"/>
    <s v="Google"/>
    <s v="Oct-2020"/>
    <s v="Dec-2024"/>
    <s v="Sweden"/>
    <s v="Retail"/>
    <s v="Large"/>
    <n v="2020"/>
  </r>
  <r>
    <s v="C0024"/>
    <x v="1"/>
    <d v="2023-06-24T00:00:00"/>
    <d v="2024-12-31T00:00:00"/>
    <n v="15"/>
    <s v="Active"/>
    <s v="LinkedIn"/>
    <s v="Jun-2023"/>
    <s v="Dec-2024"/>
    <s v="Italy"/>
    <s v="Tech"/>
    <s v="Large"/>
    <n v="2023"/>
  </r>
  <r>
    <s v="C0025"/>
    <x v="0"/>
    <d v="2022-08-14T00:00:00"/>
    <d v="2024-12-31T00:00:00"/>
    <n v="40"/>
    <s v="Active"/>
    <s v="Instagram"/>
    <s v="Aug-2022"/>
    <s v="Dec-2024"/>
    <s v="Netherlands"/>
    <s v="Retail"/>
    <s v="Enterprise"/>
    <n v="2022"/>
  </r>
  <r>
    <s v="C0026"/>
    <x v="2"/>
    <d v="2020-02-23T00:00:00"/>
    <d v="2024-12-31T00:00:00"/>
    <n v="25"/>
    <s v="Active"/>
    <s v="Google"/>
    <s v="Feb-2020"/>
    <s v="Dec-2024"/>
    <s v="Netherlands"/>
    <s v="Retail"/>
    <s v="Small"/>
    <n v="2020"/>
  </r>
  <r>
    <s v="C0027"/>
    <x v="0"/>
    <d v="2022-10-14T00:00:00"/>
    <d v="2024-12-31T00:00:00"/>
    <n v="40"/>
    <s v="Active"/>
    <s v="Google"/>
    <s v="Oct-2022"/>
    <s v="Dec-2024"/>
    <s v="Germany"/>
    <s v="E-commerce"/>
    <s v="Medium"/>
    <n v="2022"/>
  </r>
  <r>
    <s v="C0028"/>
    <x v="1"/>
    <d v="2024-02-23T00:00:00"/>
    <d v="2024-12-31T00:00:00"/>
    <n v="15"/>
    <s v="Active"/>
    <s v="Instagram"/>
    <s v="Feb-2024"/>
    <s v="Dec-2024"/>
    <s v="Sweden"/>
    <s v="Finance"/>
    <s v="Medium"/>
    <n v="2024"/>
  </r>
  <r>
    <s v="C0029"/>
    <x v="1"/>
    <d v="2023-02-10T00:00:00"/>
    <d v="2024-12-31T00:00:00"/>
    <n v="15"/>
    <s v="Active"/>
    <s v="Instagram"/>
    <s v="Feb-2023"/>
    <s v="Dec-2024"/>
    <s v="Netherlands"/>
    <s v="Tech"/>
    <s v="Large"/>
    <n v="2023"/>
  </r>
  <r>
    <s v="C0030"/>
    <x v="0"/>
    <d v="2023-02-01T00:00:00"/>
    <d v="2023-08-06T00:00:00"/>
    <n v="40"/>
    <s v="Churned"/>
    <s v="LinkedIn"/>
    <s v="Feb-2023"/>
    <s v="Aug-2023"/>
    <s v="France"/>
    <s v="Healthcare"/>
    <s v="Small"/>
    <n v="2023"/>
  </r>
  <r>
    <s v="C0031"/>
    <x v="2"/>
    <d v="2020-02-29T00:00:00"/>
    <d v="2024-12-31T00:00:00"/>
    <n v="25"/>
    <s v="Active"/>
    <s v="Google"/>
    <s v="Feb-2020"/>
    <s v="Dec-2024"/>
    <s v="Sweden"/>
    <s v="Tech"/>
    <s v="Medium"/>
    <n v="2020"/>
  </r>
  <r>
    <s v="C0032"/>
    <x v="2"/>
    <d v="2021-01-28T00:00:00"/>
    <d v="2024-12-31T00:00:00"/>
    <n v="25"/>
    <s v="Active"/>
    <s v="LinkedIn"/>
    <s v="Jan-2021"/>
    <s v="Dec-2024"/>
    <s v="Italy"/>
    <s v="Education"/>
    <s v="Large"/>
    <n v="2021"/>
  </r>
  <r>
    <s v="C0033"/>
    <x v="1"/>
    <d v="2021-11-14T00:00:00"/>
    <d v="2022-07-16T00:00:00"/>
    <n v="15"/>
    <s v="Churned"/>
    <s v="LinkedIn"/>
    <s v="Nov-2021"/>
    <s v="Jul-2022"/>
    <s v="Sweden"/>
    <s v="Healthcare"/>
    <s v="Large"/>
    <n v="2021"/>
  </r>
  <r>
    <s v="C0034"/>
    <x v="1"/>
    <d v="2022-09-09T00:00:00"/>
    <d v="2024-12-31T00:00:00"/>
    <n v="15"/>
    <s v="Active"/>
    <s v="LinkedIn"/>
    <s v="Sep-2022"/>
    <s v="Dec-2024"/>
    <s v="Spain"/>
    <s v="Finance"/>
    <s v="Large"/>
    <n v="2022"/>
  </r>
  <r>
    <s v="C0035"/>
    <x v="2"/>
    <d v="2022-09-06T00:00:00"/>
    <d v="2024-12-31T00:00:00"/>
    <n v="25"/>
    <s v="Active"/>
    <s v="Referral"/>
    <s v="Sep-2022"/>
    <s v="Dec-2024"/>
    <s v="France"/>
    <s v="Education"/>
    <s v="Small"/>
    <n v="2022"/>
  </r>
  <r>
    <s v="C0036"/>
    <x v="2"/>
    <d v="2020-08-28T00:00:00"/>
    <d v="2021-09-28T00:00:00"/>
    <n v="25"/>
    <s v="Churned"/>
    <s v="Referral"/>
    <s v="Aug-2020"/>
    <s v="Sep-2021"/>
    <s v="Spain"/>
    <s v="E-commerce"/>
    <s v="Small"/>
    <n v="2020"/>
  </r>
  <r>
    <s v="C0037"/>
    <x v="0"/>
    <d v="2021-09-20T00:00:00"/>
    <d v="2024-12-31T00:00:00"/>
    <n v="40"/>
    <s v="Active"/>
    <s v="Referral"/>
    <s v="Sep-2021"/>
    <s v="Dec-2024"/>
    <s v="France"/>
    <s v="Retail"/>
    <s v="Medium"/>
    <n v="2021"/>
  </r>
  <r>
    <s v="C0038"/>
    <x v="0"/>
    <d v="2023-07-29T00:00:00"/>
    <d v="2024-12-31T00:00:00"/>
    <n v="40"/>
    <s v="Churned"/>
    <s v="Instagram"/>
    <s v="Jul-2023"/>
    <s v="Dec-2024"/>
    <s v="Netherlands"/>
    <s v="Healthcare"/>
    <s v="Enterprise"/>
    <n v="2023"/>
  </r>
  <r>
    <s v="C0039"/>
    <x v="0"/>
    <d v="2020-11-22T00:00:00"/>
    <d v="2024-12-31T00:00:00"/>
    <n v="40"/>
    <s v="Active"/>
    <s v="LinkedIn"/>
    <s v="Nov-2020"/>
    <s v="Dec-2024"/>
    <s v="France"/>
    <s v="E-commerce"/>
    <s v="Large"/>
    <n v="2020"/>
  </r>
  <r>
    <s v="C0040"/>
    <x v="0"/>
    <d v="2020-06-03T00:00:00"/>
    <d v="2024-12-31T00:00:00"/>
    <n v="40"/>
    <s v="Active"/>
    <s v="Instagram"/>
    <s v="Jun-2020"/>
    <s v="Dec-2024"/>
    <s v="Netherlands"/>
    <s v="Education"/>
    <s v="Medium"/>
    <n v="2020"/>
  </r>
  <r>
    <s v="C0041"/>
    <x v="1"/>
    <d v="2022-06-13T00:00:00"/>
    <d v="2024-03-19T00:00:00"/>
    <n v="15"/>
    <s v="Churned"/>
    <s v="LinkedIn"/>
    <s v="Jun-2022"/>
    <s v="Mar-2024"/>
    <s v="France"/>
    <s v="E-commerce"/>
    <s v="Small"/>
    <n v="2022"/>
  </r>
  <r>
    <s v="C0042"/>
    <x v="2"/>
    <d v="2023-08-13T00:00:00"/>
    <d v="2024-12-31T00:00:00"/>
    <n v="25"/>
    <s v="Churned"/>
    <s v="Referral"/>
    <s v="Aug-2023"/>
    <s v="Dec-2024"/>
    <s v="Spain"/>
    <s v="Tech"/>
    <s v="Medium"/>
    <n v="2023"/>
  </r>
  <r>
    <s v="C0043"/>
    <x v="0"/>
    <d v="2020-10-28T00:00:00"/>
    <d v="2022-06-09T00:00:00"/>
    <n v="40"/>
    <s v="Churned"/>
    <s v="Instagram"/>
    <s v="Oct-2020"/>
    <s v="Jun-2022"/>
    <s v="Sweden"/>
    <s v="Finance"/>
    <s v="Large"/>
    <n v="2020"/>
  </r>
  <r>
    <s v="C0044"/>
    <x v="0"/>
    <d v="2020-10-18T00:00:00"/>
    <d v="2022-06-01T00:00:00"/>
    <n v="40"/>
    <s v="Churned"/>
    <s v="Google"/>
    <s v="Oct-2020"/>
    <s v="Jun-2022"/>
    <s v="France"/>
    <s v="Tech"/>
    <s v="Medium"/>
    <n v="2020"/>
  </r>
  <r>
    <s v="C0045"/>
    <x v="1"/>
    <d v="2022-11-12T00:00:00"/>
    <d v="2024-12-31T00:00:00"/>
    <n v="15"/>
    <s v="Active"/>
    <s v="Referral"/>
    <s v="Nov-2022"/>
    <s v="Dec-2024"/>
    <s v="Sweden"/>
    <s v="Tech"/>
    <s v="Small"/>
    <n v="2022"/>
  </r>
  <r>
    <s v="C0046"/>
    <x v="2"/>
    <d v="2020-09-12T00:00:00"/>
    <d v="2021-11-01T00:00:00"/>
    <n v="25"/>
    <s v="Churned"/>
    <s v="LinkedIn"/>
    <s v="Sep-2020"/>
    <s v="Nov-2021"/>
    <s v="Italy"/>
    <s v="Healthcare"/>
    <s v="Large"/>
    <n v="2020"/>
  </r>
  <r>
    <s v="C0047"/>
    <x v="2"/>
    <d v="2024-02-22T00:00:00"/>
    <d v="2024-12-31T00:00:00"/>
    <n v="25"/>
    <s v="Active"/>
    <s v="LinkedIn"/>
    <s v="Feb-2024"/>
    <s v="Dec-2024"/>
    <s v="Germany"/>
    <s v="Healthcare"/>
    <s v="Medium"/>
    <n v="2024"/>
  </r>
  <r>
    <s v="C0048"/>
    <x v="0"/>
    <d v="2022-11-02T00:00:00"/>
    <d v="2024-12-31T00:00:00"/>
    <n v="40"/>
    <s v="Active"/>
    <s v="Facebook"/>
    <s v="Nov-2022"/>
    <s v="Dec-2024"/>
    <s v="Netherlands"/>
    <s v="Finance"/>
    <s v="Small"/>
    <n v="2022"/>
  </r>
  <r>
    <s v="C0049"/>
    <x v="1"/>
    <d v="2022-06-10T00:00:00"/>
    <d v="2024-12-31T00:00:00"/>
    <n v="15"/>
    <s v="Active"/>
    <s v="Instagram"/>
    <s v="Jun-2022"/>
    <s v="Dec-2024"/>
    <s v="France"/>
    <s v="Tech"/>
    <s v="Enterprise"/>
    <n v="2022"/>
  </r>
  <r>
    <s v="C0050"/>
    <x v="2"/>
    <d v="2021-11-07T00:00:00"/>
    <d v="2024-12-31T00:00:00"/>
    <n v="25"/>
    <s v="Active"/>
    <s v="Google"/>
    <s v="Nov-2021"/>
    <s v="Dec-2024"/>
    <s v="Sweden"/>
    <s v="Healthcare"/>
    <s v="Small"/>
    <n v="2021"/>
  </r>
  <r>
    <s v="C0051"/>
    <x v="1"/>
    <d v="2023-11-27T00:00:00"/>
    <d v="2024-12-31T00:00:00"/>
    <n v="15"/>
    <s v="Active"/>
    <s v="Facebook"/>
    <s v="Nov-2023"/>
    <s v="Dec-2024"/>
    <s v="Germany"/>
    <s v="Tech"/>
    <s v="Small"/>
    <n v="2023"/>
  </r>
  <r>
    <s v="C0052"/>
    <x v="1"/>
    <d v="2020-09-30T00:00:00"/>
    <d v="2022-08-08T00:00:00"/>
    <n v="15"/>
    <s v="Churned"/>
    <s v="Facebook"/>
    <s v="Sep-2020"/>
    <s v="Aug-2022"/>
    <s v="Sweden"/>
    <s v="Education"/>
    <s v="Large"/>
    <n v="2020"/>
  </r>
  <r>
    <s v="C0053"/>
    <x v="0"/>
    <d v="2022-07-31T00:00:00"/>
    <d v="2023-12-30T00:00:00"/>
    <n v="40"/>
    <s v="Churned"/>
    <s v="Facebook"/>
    <s v="Jul-2022"/>
    <s v="Dec-2023"/>
    <s v="Netherlands"/>
    <s v="Healthcare"/>
    <s v="Medium"/>
    <n v="2022"/>
  </r>
  <r>
    <s v="C0054"/>
    <x v="0"/>
    <d v="2021-12-29T00:00:00"/>
    <d v="2024-12-31T00:00:00"/>
    <n v="40"/>
    <s v="Active"/>
    <s v="Facebook"/>
    <s v="Dec-2021"/>
    <s v="Dec-2024"/>
    <s v="Germany"/>
    <s v="E-commerce"/>
    <s v="Large"/>
    <n v="2021"/>
  </r>
  <r>
    <s v="C0055"/>
    <x v="1"/>
    <d v="2024-04-12T00:00:00"/>
    <d v="2024-12-31T00:00:00"/>
    <n v="15"/>
    <s v="Active"/>
    <s v="Referral"/>
    <s v="Apr-2024"/>
    <s v="Dec-2024"/>
    <s v="Sweden"/>
    <s v="E-commerce"/>
    <s v="Large"/>
    <n v="2024"/>
  </r>
  <r>
    <s v="C0056"/>
    <x v="2"/>
    <d v="2022-12-17T00:00:00"/>
    <d v="2024-12-31T00:00:00"/>
    <n v="25"/>
    <s v="Active"/>
    <s v="Facebook"/>
    <s v="Dec-2022"/>
    <s v="Dec-2024"/>
    <s v="Italy"/>
    <s v="Tech"/>
    <s v="Medium"/>
    <n v="2022"/>
  </r>
  <r>
    <s v="C0057"/>
    <x v="2"/>
    <d v="2024-05-29T00:00:00"/>
    <d v="2024-12-31T00:00:00"/>
    <n v="25"/>
    <s v="Churned"/>
    <s v="Google"/>
    <s v="May-2024"/>
    <s v="Dec-2024"/>
    <s v="Germany"/>
    <s v="Finance"/>
    <s v="Medium"/>
    <n v="2024"/>
  </r>
  <r>
    <s v="C0058"/>
    <x v="1"/>
    <d v="2023-01-01T00:00:00"/>
    <d v="2024-12-31T00:00:00"/>
    <n v="15"/>
    <s v="Churned"/>
    <s v="Referral"/>
    <s v="Jan-2023"/>
    <s v="Dec-2024"/>
    <s v="Spain"/>
    <s v="Education"/>
    <s v="Enterprise"/>
    <n v="2023"/>
  </r>
  <r>
    <s v="C0059"/>
    <x v="0"/>
    <d v="2022-06-29T00:00:00"/>
    <d v="2024-02-16T00:00:00"/>
    <n v="40"/>
    <s v="Churned"/>
    <s v="LinkedIn"/>
    <s v="Jun-2022"/>
    <s v="Feb-2024"/>
    <s v="Spain"/>
    <s v="E-commerce"/>
    <s v="Enterprise"/>
    <n v="2022"/>
  </r>
  <r>
    <s v="C0060"/>
    <x v="1"/>
    <d v="2022-04-24T00:00:00"/>
    <d v="2024-03-06T00:00:00"/>
    <n v="15"/>
    <s v="Churned"/>
    <s v="LinkedIn"/>
    <s v="Apr-2022"/>
    <s v="Mar-2024"/>
    <s v="Spain"/>
    <s v="Finance"/>
    <s v="Medium"/>
    <n v="2022"/>
  </r>
  <r>
    <s v="C0061"/>
    <x v="0"/>
    <d v="2024-03-26T00:00:00"/>
    <d v="2024-12-31T00:00:00"/>
    <n v="40"/>
    <s v="Active"/>
    <s v="Instagram"/>
    <s v="Mar-2024"/>
    <s v="Dec-2024"/>
    <s v="France"/>
    <s v="Education"/>
    <s v="Enterprise"/>
    <n v="2024"/>
  </r>
  <r>
    <s v="C0062"/>
    <x v="2"/>
    <d v="2021-03-24T00:00:00"/>
    <d v="2024-12-31T00:00:00"/>
    <n v="25"/>
    <s v="Active"/>
    <s v="Facebook"/>
    <s v="Mar-2021"/>
    <s v="Dec-2024"/>
    <s v="Italy"/>
    <s v="E-commerce"/>
    <s v="Enterprise"/>
    <n v="2021"/>
  </r>
  <r>
    <s v="C0063"/>
    <x v="1"/>
    <d v="2023-12-20T00:00:00"/>
    <d v="2024-12-31T00:00:00"/>
    <n v="15"/>
    <s v="Churned"/>
    <s v="Referral"/>
    <s v="Dec-2023"/>
    <s v="Dec-2024"/>
    <s v="Sweden"/>
    <s v="Tech"/>
    <s v="Medium"/>
    <n v="2023"/>
  </r>
  <r>
    <s v="C0064"/>
    <x v="2"/>
    <d v="2021-09-12T00:00:00"/>
    <d v="2024-12-31T00:00:00"/>
    <n v="25"/>
    <s v="Active"/>
    <s v="Google"/>
    <s v="Sep-2021"/>
    <s v="Dec-2024"/>
    <s v="Spain"/>
    <s v="Tech"/>
    <s v="Enterprise"/>
    <n v="2021"/>
  </r>
  <r>
    <s v="C0065"/>
    <x v="2"/>
    <d v="2024-04-01T00:00:00"/>
    <d v="2024-12-31T00:00:00"/>
    <n v="25"/>
    <s v="Active"/>
    <s v="Google"/>
    <s v="Apr-2024"/>
    <s v="Dec-2024"/>
    <s v="Italy"/>
    <s v="Healthcare"/>
    <s v="Medium"/>
    <n v="2024"/>
  </r>
  <r>
    <s v="C0066"/>
    <x v="0"/>
    <d v="2020-02-29T00:00:00"/>
    <d v="2024-12-31T00:00:00"/>
    <n v="40"/>
    <s v="Active"/>
    <s v="Google"/>
    <s v="Feb-2020"/>
    <s v="Dec-2024"/>
    <s v="Spain"/>
    <s v="Healthcare"/>
    <s v="Large"/>
    <n v="2020"/>
  </r>
  <r>
    <s v="C0067"/>
    <x v="1"/>
    <d v="2021-10-24T00:00:00"/>
    <d v="2024-12-31T00:00:00"/>
    <n v="15"/>
    <s v="Active"/>
    <s v="Referral"/>
    <s v="Oct-2021"/>
    <s v="Dec-2024"/>
    <s v="Sweden"/>
    <s v="Education"/>
    <s v="Enterprise"/>
    <n v="2021"/>
  </r>
  <r>
    <s v="C0068"/>
    <x v="1"/>
    <d v="2021-04-26T00:00:00"/>
    <d v="2024-12-31T00:00:00"/>
    <n v="15"/>
    <s v="Active"/>
    <s v="Instagram"/>
    <s v="Apr-2021"/>
    <s v="Dec-2024"/>
    <s v="Netherlands"/>
    <s v="Healthcare"/>
    <s v="Small"/>
    <n v="2021"/>
  </r>
  <r>
    <s v="C0069"/>
    <x v="2"/>
    <d v="2020-04-16T00:00:00"/>
    <d v="2024-12-31T00:00:00"/>
    <n v="25"/>
    <s v="Active"/>
    <s v="Instagram"/>
    <s v="Apr-2020"/>
    <s v="Dec-2024"/>
    <s v="Netherlands"/>
    <s v="Retail"/>
    <s v="Medium"/>
    <n v="2020"/>
  </r>
  <r>
    <s v="C0070"/>
    <x v="2"/>
    <d v="2021-08-09T00:00:00"/>
    <d v="2024-12-31T00:00:00"/>
    <n v="25"/>
    <s v="Active"/>
    <s v="Instagram"/>
    <s v="Aug-2021"/>
    <s v="Dec-2024"/>
    <s v="Spain"/>
    <s v="Tech"/>
    <s v="Small"/>
    <n v="2021"/>
  </r>
  <r>
    <s v="C0071"/>
    <x v="0"/>
    <d v="2023-03-16T00:00:00"/>
    <d v="2024-12-31T00:00:00"/>
    <n v="40"/>
    <s v="Active"/>
    <s v="Facebook"/>
    <s v="Mar-2023"/>
    <s v="Dec-2024"/>
    <s v="Sweden"/>
    <s v="Healthcare"/>
    <s v="Medium"/>
    <n v="2023"/>
  </r>
  <r>
    <s v="C0072"/>
    <x v="2"/>
    <d v="2020-03-16T00:00:00"/>
    <d v="2024-12-31T00:00:00"/>
    <n v="25"/>
    <s v="Active"/>
    <s v="Google"/>
    <s v="Mar-2020"/>
    <s v="Dec-2024"/>
    <s v="Sweden"/>
    <s v="Education"/>
    <s v="Small"/>
    <n v="2020"/>
  </r>
  <r>
    <s v="C0073"/>
    <x v="2"/>
    <d v="2020-01-05T00:00:00"/>
    <d v="2024-12-31T00:00:00"/>
    <n v="25"/>
    <s v="Active"/>
    <s v="Facebook"/>
    <s v="Jan-2020"/>
    <s v="Dec-2024"/>
    <s v="Germany"/>
    <s v="Finance"/>
    <s v="Large"/>
    <n v="2020"/>
  </r>
  <r>
    <s v="C0074"/>
    <x v="0"/>
    <d v="2022-12-13T00:00:00"/>
    <d v="2024-12-31T00:00:00"/>
    <n v="40"/>
    <s v="Active"/>
    <s v="Instagram"/>
    <s v="Dec-2022"/>
    <s v="Dec-2024"/>
    <s v="Netherlands"/>
    <s v="Retail"/>
    <s v="Small"/>
    <n v="2022"/>
  </r>
  <r>
    <s v="C0075"/>
    <x v="0"/>
    <d v="2023-02-15T00:00:00"/>
    <d v="2024-12-31T00:00:00"/>
    <n v="40"/>
    <s v="Active"/>
    <s v="Facebook"/>
    <s v="Feb-2023"/>
    <s v="Dec-2024"/>
    <s v="Sweden"/>
    <s v="Retail"/>
    <s v="Large"/>
    <n v="2023"/>
  </r>
  <r>
    <s v="C0076"/>
    <x v="2"/>
    <d v="2021-06-10T00:00:00"/>
    <d v="2024-12-31T00:00:00"/>
    <n v="25"/>
    <s v="Active"/>
    <s v="Google"/>
    <s v="Jun-2021"/>
    <s v="Dec-2024"/>
    <s v="Italy"/>
    <s v="Education"/>
    <s v="Large"/>
    <n v="2021"/>
  </r>
  <r>
    <s v="C0077"/>
    <x v="0"/>
    <d v="2020-12-15T00:00:00"/>
    <d v="2024-12-31T00:00:00"/>
    <n v="40"/>
    <s v="Active"/>
    <s v="Referral"/>
    <s v="Dec-2020"/>
    <s v="Dec-2024"/>
    <s v="Netherlands"/>
    <s v="Education"/>
    <s v="Small"/>
    <n v="2020"/>
  </r>
  <r>
    <s v="C0078"/>
    <x v="0"/>
    <d v="2021-11-22T00:00:00"/>
    <d v="2023-04-18T00:00:00"/>
    <n v="40"/>
    <s v="Churned"/>
    <s v="Facebook"/>
    <s v="Nov-2021"/>
    <s v="Apr-2023"/>
    <s v="Sweden"/>
    <s v="E-commerce"/>
    <s v="Large"/>
    <n v="2021"/>
  </r>
  <r>
    <s v="C0079"/>
    <x v="1"/>
    <d v="2020-01-25T00:00:00"/>
    <d v="2024-12-31T00:00:00"/>
    <n v="15"/>
    <s v="Active"/>
    <s v="Instagram"/>
    <s v="Jan-2020"/>
    <s v="Dec-2024"/>
    <s v="Sweden"/>
    <s v="Healthcare"/>
    <s v="Small"/>
    <n v="2020"/>
  </r>
  <r>
    <s v="C0080"/>
    <x v="1"/>
    <d v="2024-01-02T00:00:00"/>
    <d v="2024-12-31T00:00:00"/>
    <n v="15"/>
    <s v="Active"/>
    <s v="Google"/>
    <s v="Jan-2024"/>
    <s v="Dec-2024"/>
    <s v="Spain"/>
    <s v="Healthcare"/>
    <s v="Enterprise"/>
    <n v="2024"/>
  </r>
  <r>
    <s v="C0081"/>
    <x v="0"/>
    <d v="2022-04-07T00:00:00"/>
    <d v="2024-12-31T00:00:00"/>
    <n v="40"/>
    <s v="Active"/>
    <s v="Referral"/>
    <s v="Apr-2022"/>
    <s v="Dec-2024"/>
    <s v="France"/>
    <s v="Retail"/>
    <s v="Large"/>
    <n v="2022"/>
  </r>
  <r>
    <s v="C0082"/>
    <x v="1"/>
    <d v="2020-07-11T00:00:00"/>
    <d v="2021-03-13T00:00:00"/>
    <n v="15"/>
    <s v="Churned"/>
    <s v="LinkedIn"/>
    <s v="Jul-2020"/>
    <s v="Mar-2021"/>
    <s v="Italy"/>
    <s v="Healthcare"/>
    <s v="Enterprise"/>
    <n v="2020"/>
  </r>
  <r>
    <s v="C0083"/>
    <x v="1"/>
    <d v="2022-03-02T00:00:00"/>
    <d v="2024-12-31T00:00:00"/>
    <n v="15"/>
    <s v="Active"/>
    <s v="Referral"/>
    <s v="Mar-2022"/>
    <s v="Dec-2024"/>
    <s v="Germany"/>
    <s v="Finance"/>
    <s v="Medium"/>
    <n v="2022"/>
  </r>
  <r>
    <s v="C0084"/>
    <x v="1"/>
    <d v="2021-05-24T00:00:00"/>
    <d v="2021-09-09T00:00:00"/>
    <n v="15"/>
    <s v="Churned"/>
    <s v="Facebook"/>
    <s v="May-2021"/>
    <s v="Sep-2021"/>
    <s v="Italy"/>
    <s v="Tech"/>
    <s v="Medium"/>
    <n v="2021"/>
  </r>
  <r>
    <s v="C0085"/>
    <x v="0"/>
    <d v="2021-07-01T00:00:00"/>
    <d v="2024-12-31T00:00:00"/>
    <n v="40"/>
    <s v="Active"/>
    <s v="Instagram"/>
    <s v="Jul-2021"/>
    <s v="Dec-2024"/>
    <s v="Italy"/>
    <s v="Healthcare"/>
    <s v="Small"/>
    <n v="2021"/>
  </r>
  <r>
    <s v="C0086"/>
    <x v="2"/>
    <d v="2021-10-18T00:00:00"/>
    <d v="2022-12-04T00:00:00"/>
    <n v="25"/>
    <s v="Churned"/>
    <s v="Google"/>
    <s v="Oct-2021"/>
    <s v="Dec-2022"/>
    <s v="Italy"/>
    <s v="Finance"/>
    <s v="Medium"/>
    <n v="2021"/>
  </r>
  <r>
    <s v="C0087"/>
    <x v="0"/>
    <d v="2023-09-18T00:00:00"/>
    <d v="2024-12-31T00:00:00"/>
    <n v="40"/>
    <s v="Active"/>
    <s v="Google"/>
    <s v="Sep-2023"/>
    <s v="Dec-2024"/>
    <s v="Italy"/>
    <s v="Retail"/>
    <s v="Large"/>
    <n v="2023"/>
  </r>
  <r>
    <s v="C0088"/>
    <x v="0"/>
    <d v="2022-05-10T00:00:00"/>
    <d v="2024-06-09T00:00:00"/>
    <n v="40"/>
    <s v="Churned"/>
    <s v="Referral"/>
    <s v="May-2022"/>
    <s v="Jun-2024"/>
    <s v="Netherlands"/>
    <s v="Healthcare"/>
    <s v="Large"/>
    <n v="2022"/>
  </r>
  <r>
    <s v="C0089"/>
    <x v="2"/>
    <d v="2020-11-08T00:00:00"/>
    <d v="2024-12-31T00:00:00"/>
    <n v="25"/>
    <s v="Active"/>
    <s v="Google"/>
    <s v="Nov-2020"/>
    <s v="Dec-2024"/>
    <s v="Germany"/>
    <s v="Retail"/>
    <s v="Medium"/>
    <n v="2020"/>
  </r>
  <r>
    <s v="C0090"/>
    <x v="2"/>
    <d v="2021-02-21T00:00:00"/>
    <d v="2021-11-06T00:00:00"/>
    <n v="25"/>
    <s v="Churned"/>
    <s v="Facebook"/>
    <s v="Feb-2021"/>
    <s v="Nov-2021"/>
    <s v="Italy"/>
    <s v="E-commerce"/>
    <s v="Enterprise"/>
    <n v="2021"/>
  </r>
  <r>
    <s v="C0091"/>
    <x v="1"/>
    <d v="2022-03-23T00:00:00"/>
    <d v="2024-05-23T00:00:00"/>
    <n v="15"/>
    <s v="Churned"/>
    <s v="Facebook"/>
    <s v="Mar-2022"/>
    <s v="May-2024"/>
    <s v="Netherlands"/>
    <s v="Retail"/>
    <s v="Large"/>
    <n v="2022"/>
  </r>
  <r>
    <s v="C0092"/>
    <x v="2"/>
    <d v="2024-01-13T00:00:00"/>
    <d v="2024-12-31T00:00:00"/>
    <n v="25"/>
    <s v="Active"/>
    <s v="Facebook"/>
    <s v="Jan-2024"/>
    <s v="Dec-2024"/>
    <s v="Italy"/>
    <s v="Retail"/>
    <s v="Medium"/>
    <n v="2024"/>
  </r>
  <r>
    <s v="C0093"/>
    <x v="0"/>
    <d v="2023-09-25T00:00:00"/>
    <d v="2024-12-31T00:00:00"/>
    <n v="40"/>
    <s v="Active"/>
    <s v="Referral"/>
    <s v="Sep-2023"/>
    <s v="Dec-2024"/>
    <s v="Spain"/>
    <s v="Healthcare"/>
    <s v="Large"/>
    <n v="2023"/>
  </r>
  <r>
    <s v="C0094"/>
    <x v="2"/>
    <d v="2020-08-14T00:00:00"/>
    <d v="2024-12-31T00:00:00"/>
    <n v="25"/>
    <s v="Active"/>
    <s v="LinkedIn"/>
    <s v="Aug-2020"/>
    <s v="Dec-2024"/>
    <s v="Spain"/>
    <s v="Retail"/>
    <s v="Small"/>
    <n v="2020"/>
  </r>
  <r>
    <s v="C0095"/>
    <x v="2"/>
    <d v="2020-03-14T00:00:00"/>
    <d v="2024-12-31T00:00:00"/>
    <n v="25"/>
    <s v="Active"/>
    <s v="Instagram"/>
    <s v="Mar-2020"/>
    <s v="Dec-2024"/>
    <s v="Spain"/>
    <s v="Tech"/>
    <s v="Large"/>
    <n v="2020"/>
  </r>
  <r>
    <s v="C0096"/>
    <x v="1"/>
    <d v="2021-02-23T00:00:00"/>
    <d v="2024-12-31T00:00:00"/>
    <n v="15"/>
    <s v="Active"/>
    <s v="Facebook"/>
    <s v="Feb-2021"/>
    <s v="Dec-2024"/>
    <s v="Netherlands"/>
    <s v="Education"/>
    <s v="Medium"/>
    <n v="2021"/>
  </r>
  <r>
    <s v="C0097"/>
    <x v="2"/>
    <d v="2020-08-25T00:00:00"/>
    <d v="2024-12-31T00:00:00"/>
    <n v="25"/>
    <s v="Active"/>
    <s v="Facebook"/>
    <s v="Aug-2020"/>
    <s v="Dec-2024"/>
    <s v="Italy"/>
    <s v="Healthcare"/>
    <s v="Medium"/>
    <n v="2020"/>
  </r>
  <r>
    <s v="C0098"/>
    <x v="2"/>
    <d v="2024-05-03T00:00:00"/>
    <d v="2024-12-31T00:00:00"/>
    <n v="25"/>
    <s v="Churned"/>
    <s v="Facebook"/>
    <s v="May-2024"/>
    <s v="Dec-2024"/>
    <s v="Netherlands"/>
    <s v="Retail"/>
    <s v="Enterprise"/>
    <n v="2024"/>
  </r>
  <r>
    <s v="C0099"/>
    <x v="1"/>
    <d v="2022-09-12T00:00:00"/>
    <d v="2024-12-31T00:00:00"/>
    <n v="15"/>
    <s v="Active"/>
    <s v="Google"/>
    <s v="Sep-2022"/>
    <s v="Dec-2024"/>
    <s v="Italy"/>
    <s v="Healthcare"/>
    <s v="Enterprise"/>
    <n v="2022"/>
  </r>
  <r>
    <s v="C0100"/>
    <x v="2"/>
    <d v="2020-08-14T00:00:00"/>
    <d v="2024-12-31T00:00:00"/>
    <n v="25"/>
    <s v="Active"/>
    <s v="Instagram"/>
    <s v="Aug-2020"/>
    <s v="Dec-2024"/>
    <s v="Sweden"/>
    <s v="Tech"/>
    <s v="Medium"/>
    <n v="2020"/>
  </r>
  <r>
    <s v="C0101"/>
    <x v="0"/>
    <d v="2020-08-05T00:00:00"/>
    <d v="2024-12-31T00:00:00"/>
    <n v="40"/>
    <s v="Active"/>
    <s v="Facebook"/>
    <s v="Aug-2020"/>
    <s v="Dec-2024"/>
    <s v="Italy"/>
    <s v="Retail"/>
    <s v="Medium"/>
    <n v="2020"/>
  </r>
  <r>
    <s v="C0102"/>
    <x v="0"/>
    <d v="2023-12-18T00:00:00"/>
    <d v="2024-12-31T00:00:00"/>
    <n v="40"/>
    <s v="Active"/>
    <s v="Referral"/>
    <s v="Dec-2023"/>
    <s v="Dec-2024"/>
    <s v="Sweden"/>
    <s v="Healthcare"/>
    <s v="Enterprise"/>
    <n v="2023"/>
  </r>
  <r>
    <s v="C0103"/>
    <x v="2"/>
    <d v="2021-03-10T00:00:00"/>
    <d v="2021-09-16T00:00:00"/>
    <n v="25"/>
    <s v="Churned"/>
    <s v="Google"/>
    <s v="Mar-2021"/>
    <s v="Sep-2021"/>
    <s v="France"/>
    <s v="Retail"/>
    <s v="Small"/>
    <n v="2021"/>
  </r>
  <r>
    <s v="C0104"/>
    <x v="0"/>
    <d v="2024-03-20T00:00:00"/>
    <d v="2024-12-31T00:00:00"/>
    <n v="40"/>
    <s v="Active"/>
    <s v="Facebook"/>
    <s v="Mar-2024"/>
    <s v="Dec-2024"/>
    <s v="Italy"/>
    <s v="Healthcare"/>
    <s v="Small"/>
    <n v="2024"/>
  </r>
  <r>
    <s v="C0105"/>
    <x v="2"/>
    <d v="2020-05-04T00:00:00"/>
    <d v="2024-12-31T00:00:00"/>
    <n v="25"/>
    <s v="Active"/>
    <s v="Facebook"/>
    <s v="May-2020"/>
    <s v="Dec-2024"/>
    <s v="Italy"/>
    <s v="Tech"/>
    <s v="Enterprise"/>
    <n v="2020"/>
  </r>
  <r>
    <s v="C0106"/>
    <x v="2"/>
    <d v="2024-06-17T00:00:00"/>
    <d v="2024-12-31T00:00:00"/>
    <n v="25"/>
    <s v="Churned"/>
    <s v="Instagram"/>
    <s v="Jun-2024"/>
    <s v="Dec-2024"/>
    <s v="Sweden"/>
    <s v="Tech"/>
    <s v="Medium"/>
    <n v="2024"/>
  </r>
  <r>
    <s v="C0107"/>
    <x v="0"/>
    <d v="2020-11-11T00:00:00"/>
    <d v="2021-02-12T00:00:00"/>
    <n v="40"/>
    <s v="Churned"/>
    <s v="Google"/>
    <s v="Nov-2020"/>
    <s v="Feb-2021"/>
    <s v="Netherlands"/>
    <s v="E-commerce"/>
    <s v="Large"/>
    <n v="2020"/>
  </r>
  <r>
    <s v="C0108"/>
    <x v="0"/>
    <d v="2022-01-25T00:00:00"/>
    <d v="2024-12-31T00:00:00"/>
    <n v="40"/>
    <s v="Active"/>
    <s v="Referral"/>
    <s v="Jan-2022"/>
    <s v="Dec-2024"/>
    <s v="Spain"/>
    <s v="Healthcare"/>
    <s v="Enterprise"/>
    <n v="2022"/>
  </r>
  <r>
    <s v="C0109"/>
    <x v="1"/>
    <d v="2021-11-21T00:00:00"/>
    <d v="2024-12-31T00:00:00"/>
    <n v="15"/>
    <s v="Active"/>
    <s v="Facebook"/>
    <s v="Nov-2021"/>
    <s v="Dec-2024"/>
    <s v="Sweden"/>
    <s v="Retail"/>
    <s v="Large"/>
    <n v="2021"/>
  </r>
  <r>
    <s v="C0110"/>
    <x v="0"/>
    <d v="2023-04-15T00:00:00"/>
    <d v="2024-12-31T00:00:00"/>
    <n v="40"/>
    <s v="Active"/>
    <s v="Instagram"/>
    <s v="Apr-2023"/>
    <s v="Dec-2024"/>
    <s v="Spain"/>
    <s v="Healthcare"/>
    <s v="Large"/>
    <n v="2023"/>
  </r>
  <r>
    <s v="C0111"/>
    <x v="2"/>
    <d v="2022-12-11T00:00:00"/>
    <d v="2023-08-31T00:00:00"/>
    <n v="25"/>
    <s v="Churned"/>
    <s v="Instagram"/>
    <s v="Dec-2022"/>
    <s v="Aug-2023"/>
    <s v="Spain"/>
    <s v="Finance"/>
    <s v="Enterprise"/>
    <n v="2022"/>
  </r>
  <r>
    <s v="C0112"/>
    <x v="1"/>
    <d v="2023-08-25T00:00:00"/>
    <d v="2024-09-18T00:00:00"/>
    <n v="15"/>
    <s v="Churned"/>
    <s v="Referral"/>
    <s v="Aug-2023"/>
    <s v="Sep-2024"/>
    <s v="Germany"/>
    <s v="Retail"/>
    <s v="Medium"/>
    <n v="2023"/>
  </r>
  <r>
    <s v="C0113"/>
    <x v="2"/>
    <d v="2024-04-08T00:00:00"/>
    <d v="2024-12-31T00:00:00"/>
    <n v="25"/>
    <s v="Churned"/>
    <s v="Google"/>
    <s v="Apr-2024"/>
    <s v="Dec-2024"/>
    <s v="France"/>
    <s v="Finance"/>
    <s v="Enterprise"/>
    <n v="2024"/>
  </r>
  <r>
    <s v="C0114"/>
    <x v="2"/>
    <d v="2020-04-10T00:00:00"/>
    <d v="2024-12-31T00:00:00"/>
    <n v="25"/>
    <s v="Active"/>
    <s v="Facebook"/>
    <s v="Apr-2020"/>
    <s v="Dec-2024"/>
    <s v="Sweden"/>
    <s v="Tech"/>
    <s v="Small"/>
    <n v="2020"/>
  </r>
  <r>
    <s v="C0115"/>
    <x v="0"/>
    <d v="2020-11-06T00:00:00"/>
    <d v="2024-12-31T00:00:00"/>
    <n v="40"/>
    <s v="Active"/>
    <s v="Referral"/>
    <s v="Nov-2020"/>
    <s v="Dec-2024"/>
    <s v="Netherlands"/>
    <s v="Tech"/>
    <s v="Enterprise"/>
    <n v="2020"/>
  </r>
  <r>
    <s v="C0116"/>
    <x v="0"/>
    <d v="2021-08-05T00:00:00"/>
    <d v="2024-12-31T00:00:00"/>
    <n v="40"/>
    <s v="Active"/>
    <s v="Facebook"/>
    <s v="Aug-2021"/>
    <s v="Dec-2024"/>
    <s v="Sweden"/>
    <s v="Retail"/>
    <s v="Medium"/>
    <n v="2021"/>
  </r>
  <r>
    <s v="C0117"/>
    <x v="2"/>
    <d v="2024-03-19T00:00:00"/>
    <d v="2024-12-31T00:00:00"/>
    <n v="25"/>
    <s v="Churned"/>
    <s v="Google"/>
    <s v="Mar-2024"/>
    <s v="Dec-2024"/>
    <s v="Germany"/>
    <s v="Tech"/>
    <s v="Small"/>
    <n v="2024"/>
  </r>
  <r>
    <s v="C0118"/>
    <x v="2"/>
    <d v="2024-04-13T00:00:00"/>
    <d v="2024-12-31T00:00:00"/>
    <n v="25"/>
    <s v="Churned"/>
    <s v="Instagram"/>
    <s v="Apr-2024"/>
    <s v="Dec-2024"/>
    <s v="Netherlands"/>
    <s v="Education"/>
    <s v="Medium"/>
    <n v="2024"/>
  </r>
  <r>
    <s v="C0119"/>
    <x v="2"/>
    <d v="2023-12-03T00:00:00"/>
    <d v="2024-12-31T00:00:00"/>
    <n v="25"/>
    <s v="Active"/>
    <s v="Instagram"/>
    <s v="Dec-2023"/>
    <s v="Dec-2024"/>
    <s v="Germany"/>
    <s v="Education"/>
    <s v="Large"/>
    <n v="2023"/>
  </r>
  <r>
    <s v="C0120"/>
    <x v="2"/>
    <d v="2023-02-14T00:00:00"/>
    <d v="2024-12-31T00:00:00"/>
    <n v="25"/>
    <s v="Active"/>
    <s v="Referral"/>
    <s v="Feb-2023"/>
    <s v="Dec-2024"/>
    <s v="Spain"/>
    <s v="E-commerce"/>
    <s v="Medium"/>
    <n v="2023"/>
  </r>
  <r>
    <s v="C0121"/>
    <x v="0"/>
    <d v="2021-06-06T00:00:00"/>
    <d v="2024-12-31T00:00:00"/>
    <n v="40"/>
    <s v="Active"/>
    <s v="Facebook"/>
    <s v="Jun-2021"/>
    <s v="Dec-2024"/>
    <s v="Italy"/>
    <s v="Retail"/>
    <s v="Enterprise"/>
    <n v="2021"/>
  </r>
  <r>
    <s v="C0122"/>
    <x v="0"/>
    <d v="2023-05-06T00:00:00"/>
    <d v="2024-12-31T00:00:00"/>
    <n v="40"/>
    <s v="Active"/>
    <s v="Google"/>
    <s v="May-2023"/>
    <s v="Dec-2024"/>
    <s v="Netherlands"/>
    <s v="Retail"/>
    <s v="Small"/>
    <n v="2023"/>
  </r>
  <r>
    <s v="C0123"/>
    <x v="0"/>
    <d v="2024-04-07T00:00:00"/>
    <d v="2024-12-31T00:00:00"/>
    <n v="40"/>
    <s v="Churned"/>
    <s v="Google"/>
    <s v="Apr-2024"/>
    <s v="Dec-2024"/>
    <s v="Italy"/>
    <s v="E-commerce"/>
    <s v="Small"/>
    <n v="2024"/>
  </r>
  <r>
    <s v="C0124"/>
    <x v="0"/>
    <d v="2024-04-13T00:00:00"/>
    <d v="2024-12-31T00:00:00"/>
    <n v="40"/>
    <s v="Active"/>
    <s v="Facebook"/>
    <s v="Apr-2024"/>
    <s v="Dec-2024"/>
    <s v="Spain"/>
    <s v="Finance"/>
    <s v="Enterprise"/>
    <n v="2024"/>
  </r>
  <r>
    <s v="C0125"/>
    <x v="0"/>
    <d v="2023-12-19T00:00:00"/>
    <d v="2024-12-31T00:00:00"/>
    <n v="40"/>
    <s v="Active"/>
    <s v="Referral"/>
    <s v="Dec-2023"/>
    <s v="Dec-2024"/>
    <s v="Sweden"/>
    <s v="Education"/>
    <s v="Small"/>
    <n v="2023"/>
  </r>
  <r>
    <s v="C0126"/>
    <x v="0"/>
    <d v="2022-03-26T00:00:00"/>
    <d v="2024-12-31T00:00:00"/>
    <n v="40"/>
    <s v="Active"/>
    <s v="Instagram"/>
    <s v="Mar-2022"/>
    <s v="Dec-2024"/>
    <s v="France"/>
    <s v="Education"/>
    <s v="Small"/>
    <n v="2022"/>
  </r>
  <r>
    <s v="C0127"/>
    <x v="2"/>
    <d v="2021-03-16T00:00:00"/>
    <d v="2022-11-01T00:00:00"/>
    <n v="25"/>
    <s v="Churned"/>
    <s v="Google"/>
    <s v="Mar-2021"/>
    <s v="Nov-2022"/>
    <s v="Italy"/>
    <s v="E-commerce"/>
    <s v="Large"/>
    <n v="2021"/>
  </r>
  <r>
    <s v="C0128"/>
    <x v="1"/>
    <d v="2022-04-02T00:00:00"/>
    <d v="2024-12-31T00:00:00"/>
    <n v="15"/>
    <s v="Active"/>
    <s v="Facebook"/>
    <s v="Apr-2022"/>
    <s v="Dec-2024"/>
    <s v="Sweden"/>
    <s v="Education"/>
    <s v="Medium"/>
    <n v="2022"/>
  </r>
  <r>
    <s v="C0129"/>
    <x v="2"/>
    <d v="2022-11-30T00:00:00"/>
    <d v="2024-12-31T00:00:00"/>
    <n v="25"/>
    <s v="Churned"/>
    <s v="LinkedIn"/>
    <s v="Nov-2022"/>
    <s v="Dec-2024"/>
    <s v="France"/>
    <s v="Retail"/>
    <s v="Small"/>
    <n v="2022"/>
  </r>
  <r>
    <s v="C0130"/>
    <x v="0"/>
    <d v="2023-08-16T00:00:00"/>
    <d v="2024-12-31T00:00:00"/>
    <n v="40"/>
    <s v="Active"/>
    <s v="Instagram"/>
    <s v="Aug-2023"/>
    <s v="Dec-2024"/>
    <s v="France"/>
    <s v="Education"/>
    <s v="Enterprise"/>
    <n v="2023"/>
  </r>
  <r>
    <s v="C0131"/>
    <x v="0"/>
    <d v="2023-02-04T00:00:00"/>
    <d v="2024-12-31T00:00:00"/>
    <n v="40"/>
    <s v="Active"/>
    <s v="Google"/>
    <s v="Feb-2023"/>
    <s v="Dec-2024"/>
    <s v="Italy"/>
    <s v="E-commerce"/>
    <s v="Medium"/>
    <n v="2023"/>
  </r>
  <r>
    <s v="C0132"/>
    <x v="0"/>
    <d v="2021-05-22T00:00:00"/>
    <d v="2024-12-31T00:00:00"/>
    <n v="40"/>
    <s v="Active"/>
    <s v="Google"/>
    <s v="May-2021"/>
    <s v="Dec-2024"/>
    <s v="Netherlands"/>
    <s v="E-commerce"/>
    <s v="Enterprise"/>
    <n v="2021"/>
  </r>
  <r>
    <s v="C0133"/>
    <x v="1"/>
    <d v="2023-03-06T00:00:00"/>
    <d v="2024-12-31T00:00:00"/>
    <n v="15"/>
    <s v="Churned"/>
    <s v="LinkedIn"/>
    <s v="Mar-2023"/>
    <s v="Dec-2024"/>
    <s v="Italy"/>
    <s v="Finance"/>
    <s v="Medium"/>
    <n v="2023"/>
  </r>
  <r>
    <s v="C0134"/>
    <x v="1"/>
    <d v="2023-07-08T00:00:00"/>
    <d v="2024-12-31T00:00:00"/>
    <n v="15"/>
    <s v="Active"/>
    <s v="Google"/>
    <s v="Jul-2023"/>
    <s v="Dec-2024"/>
    <s v="Germany"/>
    <s v="Finance"/>
    <s v="Medium"/>
    <n v="2023"/>
  </r>
  <r>
    <s v="C0135"/>
    <x v="1"/>
    <d v="2022-08-28T00:00:00"/>
    <d v="2024-12-31T00:00:00"/>
    <n v="15"/>
    <s v="Active"/>
    <s v="Instagram"/>
    <s v="Aug-2022"/>
    <s v="Dec-2024"/>
    <s v="Netherlands"/>
    <s v="Education"/>
    <s v="Enterprise"/>
    <n v="2022"/>
  </r>
  <r>
    <s v="C0136"/>
    <x v="0"/>
    <d v="2024-06-10T00:00:00"/>
    <d v="2024-12-31T00:00:00"/>
    <n v="40"/>
    <s v="Active"/>
    <s v="Facebook"/>
    <s v="Jun-2024"/>
    <s v="Dec-2024"/>
    <s v="Sweden"/>
    <s v="Education"/>
    <s v="Small"/>
    <n v="2024"/>
  </r>
  <r>
    <s v="C0137"/>
    <x v="0"/>
    <d v="2022-05-11T00:00:00"/>
    <d v="2024-12-31T00:00:00"/>
    <n v="40"/>
    <s v="Active"/>
    <s v="Google"/>
    <s v="May-2022"/>
    <s v="Dec-2024"/>
    <s v="Netherlands"/>
    <s v="Tech"/>
    <s v="Enterprise"/>
    <n v="2022"/>
  </r>
  <r>
    <s v="C0138"/>
    <x v="0"/>
    <d v="2020-06-18T00:00:00"/>
    <d v="2021-10-11T00:00:00"/>
    <n v="40"/>
    <s v="Churned"/>
    <s v="Referral"/>
    <s v="Jun-2020"/>
    <s v="Oct-2021"/>
    <s v="Sweden"/>
    <s v="Tech"/>
    <s v="Medium"/>
    <n v="2020"/>
  </r>
  <r>
    <s v="C0139"/>
    <x v="0"/>
    <d v="2020-08-26T00:00:00"/>
    <d v="2024-12-31T00:00:00"/>
    <n v="40"/>
    <s v="Active"/>
    <s v="Facebook"/>
    <s v="Aug-2020"/>
    <s v="Dec-2024"/>
    <s v="Netherlands"/>
    <s v="Healthcare"/>
    <s v="Small"/>
    <n v="2020"/>
  </r>
  <r>
    <s v="C0140"/>
    <x v="0"/>
    <d v="2021-11-01T00:00:00"/>
    <d v="2024-01-01T00:00:00"/>
    <n v="40"/>
    <s v="Churned"/>
    <s v="Referral"/>
    <s v="Nov-2021"/>
    <s v="Jan-2024"/>
    <s v="Netherlands"/>
    <s v="E-commerce"/>
    <s v="Large"/>
    <n v="2021"/>
  </r>
  <r>
    <s v="C0141"/>
    <x v="2"/>
    <d v="2023-09-10T00:00:00"/>
    <d v="2024-12-31T00:00:00"/>
    <n v="25"/>
    <s v="Active"/>
    <s v="Referral"/>
    <s v="Sep-2023"/>
    <s v="Dec-2024"/>
    <s v="Italy"/>
    <s v="Finance"/>
    <s v="Medium"/>
    <n v="2023"/>
  </r>
  <r>
    <s v="C0142"/>
    <x v="0"/>
    <d v="2022-07-19T00:00:00"/>
    <d v="2024-09-26T00:00:00"/>
    <n v="40"/>
    <s v="Churned"/>
    <s v="Google"/>
    <s v="Jul-2022"/>
    <s v="Sep-2024"/>
    <s v="France"/>
    <s v="Healthcare"/>
    <s v="Large"/>
    <n v="2022"/>
  </r>
  <r>
    <s v="C0143"/>
    <x v="2"/>
    <d v="2021-03-06T00:00:00"/>
    <d v="2024-12-31T00:00:00"/>
    <n v="25"/>
    <s v="Active"/>
    <s v="LinkedIn"/>
    <s v="Mar-2021"/>
    <s v="Dec-2024"/>
    <s v="Germany"/>
    <s v="Retail"/>
    <s v="Small"/>
    <n v="2021"/>
  </r>
  <r>
    <s v="C0144"/>
    <x v="0"/>
    <d v="2022-06-11T00:00:00"/>
    <d v="2024-05-29T00:00:00"/>
    <n v="40"/>
    <s v="Churned"/>
    <s v="Facebook"/>
    <s v="Jun-2022"/>
    <s v="May-2024"/>
    <s v="Sweden"/>
    <s v="Education"/>
    <s v="Enterprise"/>
    <n v="2022"/>
  </r>
  <r>
    <s v="C0145"/>
    <x v="2"/>
    <d v="2021-01-13T00:00:00"/>
    <d v="2022-08-06T00:00:00"/>
    <n v="25"/>
    <s v="Churned"/>
    <s v="LinkedIn"/>
    <s v="Jan-2021"/>
    <s v="Aug-2022"/>
    <s v="France"/>
    <s v="Retail"/>
    <s v="Medium"/>
    <n v="2021"/>
  </r>
  <r>
    <s v="C0146"/>
    <x v="2"/>
    <d v="2024-06-13T00:00:00"/>
    <d v="2024-12-31T00:00:00"/>
    <n v="25"/>
    <s v="Churned"/>
    <s v="Facebook"/>
    <s v="Jun-2024"/>
    <s v="Dec-2024"/>
    <s v="France"/>
    <s v="Tech"/>
    <s v="Large"/>
    <n v="2024"/>
  </r>
  <r>
    <s v="C0147"/>
    <x v="2"/>
    <d v="2024-04-02T00:00:00"/>
    <d v="2024-12-31T00:00:00"/>
    <n v="25"/>
    <s v="Active"/>
    <s v="LinkedIn"/>
    <s v="Apr-2024"/>
    <s v="Dec-2024"/>
    <s v="Sweden"/>
    <s v="Finance"/>
    <s v="Medium"/>
    <n v="2024"/>
  </r>
  <r>
    <s v="C0148"/>
    <x v="1"/>
    <d v="2024-05-23T00:00:00"/>
    <d v="2024-12-31T00:00:00"/>
    <n v="15"/>
    <s v="Active"/>
    <s v="Referral"/>
    <s v="May-2024"/>
    <s v="Dec-2024"/>
    <s v="Italy"/>
    <s v="Education"/>
    <s v="Small"/>
    <n v="2024"/>
  </r>
  <r>
    <s v="C0149"/>
    <x v="0"/>
    <d v="2021-08-24T00:00:00"/>
    <d v="2024-12-31T00:00:00"/>
    <n v="40"/>
    <s v="Active"/>
    <s v="LinkedIn"/>
    <s v="Aug-2021"/>
    <s v="Dec-2024"/>
    <s v="Netherlands"/>
    <s v="Education"/>
    <s v="Enterprise"/>
    <n v="2021"/>
  </r>
  <r>
    <s v="C0150"/>
    <x v="0"/>
    <d v="2021-02-23T00:00:00"/>
    <d v="2024-12-31T00:00:00"/>
    <n v="40"/>
    <s v="Active"/>
    <s v="LinkedIn"/>
    <s v="Feb-2021"/>
    <s v="Dec-2024"/>
    <s v="Germany"/>
    <s v="Finance"/>
    <s v="Enterprise"/>
    <n v="2021"/>
  </r>
  <r>
    <s v="C0151"/>
    <x v="2"/>
    <d v="2022-11-01T00:00:00"/>
    <d v="2024-12-31T00:00:00"/>
    <n v="25"/>
    <s v="Active"/>
    <s v="Referral"/>
    <s v="Nov-2022"/>
    <s v="Dec-2024"/>
    <s v="Netherlands"/>
    <s v="Finance"/>
    <s v="Medium"/>
    <n v="2022"/>
  </r>
  <r>
    <s v="C0152"/>
    <x v="1"/>
    <d v="2021-11-24T00:00:00"/>
    <d v="2023-04-24T00:00:00"/>
    <n v="15"/>
    <s v="Churned"/>
    <s v="LinkedIn"/>
    <s v="Nov-2021"/>
    <s v="Apr-2023"/>
    <s v="Germany"/>
    <s v="Healthcare"/>
    <s v="Enterprise"/>
    <n v="2021"/>
  </r>
  <r>
    <s v="C0153"/>
    <x v="2"/>
    <d v="2023-01-29T00:00:00"/>
    <d v="2024-12-31T00:00:00"/>
    <n v="25"/>
    <s v="Active"/>
    <s v="Google"/>
    <s v="Jan-2023"/>
    <s v="Dec-2024"/>
    <s v="Italy"/>
    <s v="E-commerce"/>
    <s v="Enterprise"/>
    <n v="2023"/>
  </r>
  <r>
    <s v="C0154"/>
    <x v="2"/>
    <d v="2021-12-08T00:00:00"/>
    <d v="2024-12-31T00:00:00"/>
    <n v="25"/>
    <s v="Active"/>
    <s v="Referral"/>
    <s v="Dec-2021"/>
    <s v="Dec-2024"/>
    <s v="Italy"/>
    <s v="Retail"/>
    <s v="Enterprise"/>
    <n v="2021"/>
  </r>
  <r>
    <s v="C0155"/>
    <x v="0"/>
    <d v="2024-04-07T00:00:00"/>
    <d v="2024-12-31T00:00:00"/>
    <n v="40"/>
    <s v="Active"/>
    <s v="LinkedIn"/>
    <s v="Apr-2024"/>
    <s v="Dec-2024"/>
    <s v="Spain"/>
    <s v="E-commerce"/>
    <s v="Enterprise"/>
    <n v="2024"/>
  </r>
  <r>
    <s v="C0156"/>
    <x v="2"/>
    <d v="2021-01-23T00:00:00"/>
    <d v="2021-06-24T00:00:00"/>
    <n v="25"/>
    <s v="Churned"/>
    <s v="Google"/>
    <s v="Jan-2021"/>
    <s v="Jun-2021"/>
    <s v="France"/>
    <s v="Retail"/>
    <s v="Small"/>
    <n v="2021"/>
  </r>
  <r>
    <s v="C0157"/>
    <x v="1"/>
    <d v="2022-07-23T00:00:00"/>
    <d v="2024-12-31T00:00:00"/>
    <n v="15"/>
    <s v="Active"/>
    <s v="LinkedIn"/>
    <s v="Jul-2022"/>
    <s v="Dec-2024"/>
    <s v="France"/>
    <s v="Healthcare"/>
    <s v="Medium"/>
    <n v="2022"/>
  </r>
  <r>
    <s v="C0158"/>
    <x v="1"/>
    <d v="2021-07-18T00:00:00"/>
    <d v="2024-12-31T00:00:00"/>
    <n v="15"/>
    <s v="Active"/>
    <s v="Google"/>
    <s v="Jul-2021"/>
    <s v="Dec-2024"/>
    <s v="Netherlands"/>
    <s v="Healthcare"/>
    <s v="Small"/>
    <n v="2021"/>
  </r>
  <r>
    <s v="C0159"/>
    <x v="2"/>
    <d v="2023-05-30T00:00:00"/>
    <d v="2024-12-31T00:00:00"/>
    <n v="25"/>
    <s v="Churned"/>
    <s v="Google"/>
    <s v="May-2023"/>
    <s v="Dec-2024"/>
    <s v="Germany"/>
    <s v="Tech"/>
    <s v="Large"/>
    <n v="2023"/>
  </r>
  <r>
    <s v="C0160"/>
    <x v="0"/>
    <d v="2020-01-29T00:00:00"/>
    <d v="2024-12-31T00:00:00"/>
    <n v="40"/>
    <s v="Active"/>
    <s v="LinkedIn"/>
    <s v="Jan-2020"/>
    <s v="Dec-2024"/>
    <s v="Germany"/>
    <s v="Finance"/>
    <s v="Enterprise"/>
    <n v="2020"/>
  </r>
  <r>
    <s v="C0161"/>
    <x v="2"/>
    <d v="2023-04-18T00:00:00"/>
    <d v="2024-12-31T00:00:00"/>
    <n v="25"/>
    <s v="Active"/>
    <s v="Facebook"/>
    <s v="Apr-2023"/>
    <s v="Dec-2024"/>
    <s v="Germany"/>
    <s v="Healthcare"/>
    <s v="Small"/>
    <n v="2023"/>
  </r>
  <r>
    <s v="C0162"/>
    <x v="2"/>
    <d v="2023-11-24T00:00:00"/>
    <d v="2024-12-31T00:00:00"/>
    <n v="25"/>
    <s v="Active"/>
    <s v="Facebook"/>
    <s v="Nov-2023"/>
    <s v="Dec-2024"/>
    <s v="Spain"/>
    <s v="Education"/>
    <s v="Medium"/>
    <n v="2023"/>
  </r>
  <r>
    <s v="C0163"/>
    <x v="0"/>
    <d v="2021-12-02T00:00:00"/>
    <d v="2024-12-31T00:00:00"/>
    <n v="40"/>
    <s v="Active"/>
    <s v="Instagram"/>
    <s v="Dec-2021"/>
    <s v="Dec-2024"/>
    <s v="Germany"/>
    <s v="Tech"/>
    <s v="Small"/>
    <n v="2021"/>
  </r>
  <r>
    <s v="C0164"/>
    <x v="2"/>
    <d v="2023-10-23T00:00:00"/>
    <d v="2024-12-31T00:00:00"/>
    <n v="25"/>
    <s v="Active"/>
    <s v="Google"/>
    <s v="Oct-2023"/>
    <s v="Dec-2024"/>
    <s v="Netherlands"/>
    <s v="Tech"/>
    <s v="Enterprise"/>
    <n v="2023"/>
  </r>
  <r>
    <s v="C0165"/>
    <x v="0"/>
    <d v="2024-05-08T00:00:00"/>
    <d v="2024-12-31T00:00:00"/>
    <n v="40"/>
    <s v="Active"/>
    <s v="Instagram"/>
    <s v="May-2024"/>
    <s v="Dec-2024"/>
    <s v="Netherlands"/>
    <s v="Retail"/>
    <s v="Small"/>
    <n v="2024"/>
  </r>
  <r>
    <s v="C0166"/>
    <x v="0"/>
    <d v="2023-04-08T00:00:00"/>
    <d v="2024-12-31T00:00:00"/>
    <n v="40"/>
    <s v="Active"/>
    <s v="Referral"/>
    <s v="Apr-2023"/>
    <s v="Dec-2024"/>
    <s v="Germany"/>
    <s v="E-commerce"/>
    <s v="Large"/>
    <n v="2023"/>
  </r>
  <r>
    <s v="C0167"/>
    <x v="1"/>
    <d v="2023-11-23T00:00:00"/>
    <d v="2024-12-31T00:00:00"/>
    <n v="15"/>
    <s v="Active"/>
    <s v="Facebook"/>
    <s v="Nov-2023"/>
    <s v="Dec-2024"/>
    <s v="Netherlands"/>
    <s v="E-commerce"/>
    <s v="Small"/>
    <n v="2023"/>
  </r>
  <r>
    <s v="C0168"/>
    <x v="0"/>
    <d v="2023-09-08T00:00:00"/>
    <d v="2024-12-31T00:00:00"/>
    <n v="40"/>
    <s v="Active"/>
    <s v="Google"/>
    <s v="Sep-2023"/>
    <s v="Dec-2024"/>
    <s v="Spain"/>
    <s v="Education"/>
    <s v="Medium"/>
    <n v="2023"/>
  </r>
  <r>
    <s v="C0169"/>
    <x v="2"/>
    <d v="2021-07-08T00:00:00"/>
    <d v="2023-04-11T00:00:00"/>
    <n v="25"/>
    <s v="Churned"/>
    <s v="Facebook"/>
    <s v="Jul-2021"/>
    <s v="Apr-2023"/>
    <s v="Sweden"/>
    <s v="Retail"/>
    <s v="Large"/>
    <n v="2021"/>
  </r>
  <r>
    <s v="C0170"/>
    <x v="0"/>
    <d v="2020-05-21T00:00:00"/>
    <d v="2024-12-31T00:00:00"/>
    <n v="40"/>
    <s v="Active"/>
    <s v="Facebook"/>
    <s v="May-2020"/>
    <s v="Dec-2024"/>
    <s v="Germany"/>
    <s v="Tech"/>
    <s v="Medium"/>
    <n v="2020"/>
  </r>
  <r>
    <s v="C0171"/>
    <x v="1"/>
    <d v="2023-06-05T00:00:00"/>
    <d v="2024-12-31T00:00:00"/>
    <n v="15"/>
    <s v="Churned"/>
    <s v="LinkedIn"/>
    <s v="Jun-2023"/>
    <s v="Dec-2024"/>
    <s v="Italy"/>
    <s v="Finance"/>
    <s v="Medium"/>
    <n v="2023"/>
  </r>
  <r>
    <s v="C0172"/>
    <x v="1"/>
    <d v="2022-05-18T00:00:00"/>
    <d v="2024-12-31T00:00:00"/>
    <n v="15"/>
    <s v="Active"/>
    <s v="Google"/>
    <s v="May-2022"/>
    <s v="Dec-2024"/>
    <s v="Netherlands"/>
    <s v="Retail"/>
    <s v="Large"/>
    <n v="2022"/>
  </r>
  <r>
    <s v="C0173"/>
    <x v="0"/>
    <d v="2020-11-10T00:00:00"/>
    <d v="2024-12-31T00:00:00"/>
    <n v="40"/>
    <s v="Active"/>
    <s v="LinkedIn"/>
    <s v="Nov-2020"/>
    <s v="Dec-2024"/>
    <s v="Italy"/>
    <s v="Finance"/>
    <s v="Medium"/>
    <n v="2020"/>
  </r>
  <r>
    <s v="C0174"/>
    <x v="2"/>
    <d v="2021-03-17T00:00:00"/>
    <d v="2021-07-10T00:00:00"/>
    <n v="25"/>
    <s v="Churned"/>
    <s v="LinkedIn"/>
    <s v="Mar-2021"/>
    <s v="Jul-2021"/>
    <s v="Spain"/>
    <s v="Retail"/>
    <s v="Enterprise"/>
    <n v="2021"/>
  </r>
  <r>
    <s v="C0175"/>
    <x v="0"/>
    <d v="2023-12-13T00:00:00"/>
    <d v="2024-12-31T00:00:00"/>
    <n v="40"/>
    <s v="Active"/>
    <s v="LinkedIn"/>
    <s v="Dec-2023"/>
    <s v="Dec-2024"/>
    <s v="Spain"/>
    <s v="Healthcare"/>
    <s v="Medium"/>
    <n v="2023"/>
  </r>
  <r>
    <s v="C0176"/>
    <x v="0"/>
    <d v="2021-07-14T00:00:00"/>
    <d v="2024-12-31T00:00:00"/>
    <n v="40"/>
    <s v="Active"/>
    <s v="Instagram"/>
    <s v="Jul-2021"/>
    <s v="Dec-2024"/>
    <s v="Sweden"/>
    <s v="E-commerce"/>
    <s v="Large"/>
    <n v="2021"/>
  </r>
  <r>
    <s v="C0177"/>
    <x v="1"/>
    <d v="2020-12-03T00:00:00"/>
    <d v="2024-12-31T00:00:00"/>
    <n v="15"/>
    <s v="Active"/>
    <s v="Referral"/>
    <s v="Dec-2020"/>
    <s v="Dec-2024"/>
    <s v="Spain"/>
    <s v="E-commerce"/>
    <s v="Medium"/>
    <n v="2020"/>
  </r>
  <r>
    <s v="C0178"/>
    <x v="0"/>
    <d v="2023-10-04T00:00:00"/>
    <d v="2024-12-31T00:00:00"/>
    <n v="40"/>
    <s v="Active"/>
    <s v="Instagram"/>
    <s v="Oct-2023"/>
    <s v="Dec-2024"/>
    <s v="France"/>
    <s v="Finance"/>
    <s v="Medium"/>
    <n v="2023"/>
  </r>
  <r>
    <s v="C0179"/>
    <x v="0"/>
    <d v="2021-05-05T00:00:00"/>
    <d v="2024-12-31T00:00:00"/>
    <n v="40"/>
    <s v="Active"/>
    <s v="Referral"/>
    <s v="May-2021"/>
    <s v="Dec-2024"/>
    <s v="France"/>
    <s v="Finance"/>
    <s v="Enterprise"/>
    <n v="2021"/>
  </r>
  <r>
    <s v="C0180"/>
    <x v="1"/>
    <d v="2021-01-03T00:00:00"/>
    <d v="2023-01-20T00:00:00"/>
    <n v="15"/>
    <s v="Churned"/>
    <s v="Referral"/>
    <s v="Jan-2021"/>
    <s v="Jan-2023"/>
    <s v="France"/>
    <s v="Finance"/>
    <s v="Large"/>
    <n v="2021"/>
  </r>
  <r>
    <s v="C0181"/>
    <x v="2"/>
    <d v="2020-10-19T00:00:00"/>
    <d v="2024-12-31T00:00:00"/>
    <n v="25"/>
    <s v="Active"/>
    <s v="Instagram"/>
    <s v="Oct-2020"/>
    <s v="Dec-2024"/>
    <s v="Italy"/>
    <s v="Retail"/>
    <s v="Large"/>
    <n v="2020"/>
  </r>
  <r>
    <s v="C0182"/>
    <x v="2"/>
    <d v="2020-03-12T00:00:00"/>
    <d v="2024-12-31T00:00:00"/>
    <n v="25"/>
    <s v="Active"/>
    <s v="Facebook"/>
    <s v="Mar-2020"/>
    <s v="Dec-2024"/>
    <s v="Sweden"/>
    <s v="Retail"/>
    <s v="Medium"/>
    <n v="2020"/>
  </r>
  <r>
    <s v="C0183"/>
    <x v="1"/>
    <d v="2024-03-31T00:00:00"/>
    <d v="2024-12-31T00:00:00"/>
    <n v="15"/>
    <s v="Churned"/>
    <s v="Facebook"/>
    <s v="Mar-2024"/>
    <s v="Dec-2024"/>
    <s v="Italy"/>
    <s v="Finance"/>
    <s v="Medium"/>
    <n v="2024"/>
  </r>
  <r>
    <s v="C0184"/>
    <x v="0"/>
    <d v="2021-05-25T00:00:00"/>
    <d v="2024-12-31T00:00:00"/>
    <n v="40"/>
    <s v="Active"/>
    <s v="Google"/>
    <s v="May-2021"/>
    <s v="Dec-2024"/>
    <s v="France"/>
    <s v="Retail"/>
    <s v="Enterprise"/>
    <n v="2021"/>
  </r>
  <r>
    <s v="C0185"/>
    <x v="2"/>
    <d v="2020-06-08T00:00:00"/>
    <d v="2024-12-31T00:00:00"/>
    <n v="25"/>
    <s v="Active"/>
    <s v="Google"/>
    <s v="Jun-2020"/>
    <s v="Dec-2024"/>
    <s v="Spain"/>
    <s v="E-commerce"/>
    <s v="Medium"/>
    <n v="2020"/>
  </r>
  <r>
    <s v="C0186"/>
    <x v="0"/>
    <d v="2023-01-29T00:00:00"/>
    <d v="2024-12-31T00:00:00"/>
    <n v="40"/>
    <s v="Active"/>
    <s v="LinkedIn"/>
    <s v="Jan-2023"/>
    <s v="Dec-2024"/>
    <s v="Germany"/>
    <s v="Education"/>
    <s v="Medium"/>
    <n v="2023"/>
  </r>
  <r>
    <s v="C0187"/>
    <x v="2"/>
    <d v="2022-01-19T00:00:00"/>
    <d v="2024-12-31T00:00:00"/>
    <n v="25"/>
    <s v="Active"/>
    <s v="LinkedIn"/>
    <s v="Jan-2022"/>
    <s v="Dec-2024"/>
    <s v="Spain"/>
    <s v="Education"/>
    <s v="Large"/>
    <n v="2022"/>
  </r>
  <r>
    <s v="C0188"/>
    <x v="2"/>
    <d v="2020-11-24T00:00:00"/>
    <d v="2022-11-02T00:00:00"/>
    <n v="25"/>
    <s v="Churned"/>
    <s v="Facebook"/>
    <s v="Nov-2020"/>
    <s v="Nov-2022"/>
    <s v="Spain"/>
    <s v="Retail"/>
    <s v="Large"/>
    <n v="2020"/>
  </r>
  <r>
    <s v="C0189"/>
    <x v="1"/>
    <d v="2023-08-24T00:00:00"/>
    <d v="2024-12-31T00:00:00"/>
    <n v="15"/>
    <s v="Churned"/>
    <s v="LinkedIn"/>
    <s v="Aug-2023"/>
    <s v="Dec-2024"/>
    <s v="Italy"/>
    <s v="Retail"/>
    <s v="Large"/>
    <n v="2023"/>
  </r>
  <r>
    <s v="C0190"/>
    <x v="1"/>
    <d v="2021-03-02T00:00:00"/>
    <d v="2024-12-31T00:00:00"/>
    <n v="15"/>
    <s v="Active"/>
    <s v="Instagram"/>
    <s v="Mar-2021"/>
    <s v="Dec-2024"/>
    <s v="Netherlands"/>
    <s v="Education"/>
    <s v="Enterprise"/>
    <n v="2021"/>
  </r>
  <r>
    <s v="C0191"/>
    <x v="2"/>
    <d v="2020-01-05T00:00:00"/>
    <d v="2024-12-31T00:00:00"/>
    <n v="25"/>
    <s v="Active"/>
    <s v="Google"/>
    <s v="Jan-2020"/>
    <s v="Dec-2024"/>
    <s v="Spain"/>
    <s v="Education"/>
    <s v="Small"/>
    <n v="2020"/>
  </r>
  <r>
    <s v="C0192"/>
    <x v="0"/>
    <d v="2021-02-22T00:00:00"/>
    <d v="2024-12-31T00:00:00"/>
    <n v="40"/>
    <s v="Active"/>
    <s v="Referral"/>
    <s v="Feb-2021"/>
    <s v="Dec-2024"/>
    <s v="Italy"/>
    <s v="Tech"/>
    <s v="Enterprise"/>
    <n v="2021"/>
  </r>
  <r>
    <s v="C0193"/>
    <x v="0"/>
    <d v="2024-03-27T00:00:00"/>
    <d v="2024-12-31T00:00:00"/>
    <n v="40"/>
    <s v="Active"/>
    <s v="Instagram"/>
    <s v="Mar-2024"/>
    <s v="Dec-2024"/>
    <s v="France"/>
    <s v="Tech"/>
    <s v="Small"/>
    <n v="2024"/>
  </r>
  <r>
    <s v="C0194"/>
    <x v="0"/>
    <d v="2021-07-19T00:00:00"/>
    <d v="2024-12-31T00:00:00"/>
    <n v="40"/>
    <s v="Active"/>
    <s v="Facebook"/>
    <s v="Jul-2021"/>
    <s v="Dec-2024"/>
    <s v="Netherlands"/>
    <s v="Tech"/>
    <s v="Enterprise"/>
    <n v="2021"/>
  </r>
  <r>
    <s v="C0195"/>
    <x v="0"/>
    <d v="2020-06-02T00:00:00"/>
    <d v="2024-12-31T00:00:00"/>
    <n v="40"/>
    <s v="Active"/>
    <s v="Google"/>
    <s v="Jun-2020"/>
    <s v="Dec-2024"/>
    <s v="Germany"/>
    <s v="Tech"/>
    <s v="Medium"/>
    <n v="2020"/>
  </r>
  <r>
    <s v="C0196"/>
    <x v="2"/>
    <d v="2024-01-13T00:00:00"/>
    <d v="2024-12-31T00:00:00"/>
    <n v="25"/>
    <s v="Active"/>
    <s v="Facebook"/>
    <s v="Jan-2024"/>
    <s v="Dec-2024"/>
    <s v="Germany"/>
    <s v="Retail"/>
    <s v="Small"/>
    <n v="2024"/>
  </r>
  <r>
    <s v="C0197"/>
    <x v="2"/>
    <d v="2022-04-27T00:00:00"/>
    <d v="2024-12-31T00:00:00"/>
    <n v="25"/>
    <s v="Active"/>
    <s v="Referral"/>
    <s v="Apr-2022"/>
    <s v="Dec-2024"/>
    <s v="France"/>
    <s v="Retail"/>
    <s v="Enterprise"/>
    <n v="2022"/>
  </r>
  <r>
    <s v="C0198"/>
    <x v="0"/>
    <d v="2024-05-02T00:00:00"/>
    <d v="2024-12-31T00:00:00"/>
    <n v="40"/>
    <s v="Churned"/>
    <s v="LinkedIn"/>
    <s v="May-2024"/>
    <s v="Dec-2024"/>
    <s v="Netherlands"/>
    <s v="Education"/>
    <s v="Large"/>
    <n v="2024"/>
  </r>
  <r>
    <s v="C0199"/>
    <x v="1"/>
    <d v="2022-05-25T00:00:00"/>
    <d v="2024-12-31T00:00:00"/>
    <n v="15"/>
    <s v="Active"/>
    <s v="LinkedIn"/>
    <s v="May-2022"/>
    <s v="Dec-2024"/>
    <s v="Netherlands"/>
    <s v="Education"/>
    <s v="Enterprise"/>
    <n v="2022"/>
  </r>
  <r>
    <s v="C0200"/>
    <x v="0"/>
    <d v="2022-01-28T00:00:00"/>
    <d v="2023-03-28T00:00:00"/>
    <n v="40"/>
    <s v="Churned"/>
    <s v="Facebook"/>
    <s v="Jan-2022"/>
    <s v="Mar-2023"/>
    <s v="Italy"/>
    <s v="E-commerce"/>
    <s v="Large"/>
    <n v="2022"/>
  </r>
  <r>
    <s v="C0201"/>
    <x v="0"/>
    <d v="2021-06-01T00:00:00"/>
    <d v="2024-12-31T00:00:00"/>
    <n v="40"/>
    <s v="Active"/>
    <s v="Google"/>
    <s v="Jun-2021"/>
    <s v="Dec-2024"/>
    <s v="Italy"/>
    <s v="E-commerce"/>
    <s v="Enterprise"/>
    <n v="2021"/>
  </r>
  <r>
    <s v="C0202"/>
    <x v="2"/>
    <d v="2020-02-16T00:00:00"/>
    <d v="2024-12-31T00:00:00"/>
    <n v="25"/>
    <s v="Active"/>
    <s v="Referral"/>
    <s v="Feb-2020"/>
    <s v="Dec-2024"/>
    <s v="Italy"/>
    <s v="Tech"/>
    <s v="Small"/>
    <n v="2020"/>
  </r>
  <r>
    <s v="C0203"/>
    <x v="0"/>
    <d v="2021-12-15T00:00:00"/>
    <d v="2024-12-31T00:00:00"/>
    <n v="40"/>
    <s v="Active"/>
    <s v="Referral"/>
    <s v="Dec-2021"/>
    <s v="Dec-2024"/>
    <s v="Netherlands"/>
    <s v="Education"/>
    <s v="Medium"/>
    <n v="2021"/>
  </r>
  <r>
    <s v="C0204"/>
    <x v="1"/>
    <d v="2021-03-07T00:00:00"/>
    <d v="2022-07-30T00:00:00"/>
    <n v="15"/>
    <s v="Churned"/>
    <s v="Facebook"/>
    <s v="Mar-2021"/>
    <s v="Jul-2022"/>
    <s v="Netherlands"/>
    <s v="Tech"/>
    <s v="Enterprise"/>
    <n v="2021"/>
  </r>
  <r>
    <s v="C0205"/>
    <x v="2"/>
    <d v="2023-07-14T00:00:00"/>
    <d v="2024-12-31T00:00:00"/>
    <n v="25"/>
    <s v="Churned"/>
    <s v="LinkedIn"/>
    <s v="Jul-2023"/>
    <s v="Dec-2024"/>
    <s v="Italy"/>
    <s v="Tech"/>
    <s v="Medium"/>
    <n v="2023"/>
  </r>
  <r>
    <s v="C0206"/>
    <x v="2"/>
    <d v="2024-05-20T00:00:00"/>
    <d v="2024-12-31T00:00:00"/>
    <n v="25"/>
    <s v="Active"/>
    <s v="Referral"/>
    <s v="May-2024"/>
    <s v="Dec-2024"/>
    <s v="Spain"/>
    <s v="Tech"/>
    <s v="Enterprise"/>
    <n v="2024"/>
  </r>
  <r>
    <s v="C0207"/>
    <x v="0"/>
    <d v="2021-10-28T00:00:00"/>
    <d v="2022-09-25T00:00:00"/>
    <n v="40"/>
    <s v="Churned"/>
    <s v="Google"/>
    <s v="Oct-2021"/>
    <s v="Sep-2022"/>
    <s v="Spain"/>
    <s v="Healthcare"/>
    <s v="Large"/>
    <n v="2021"/>
  </r>
  <r>
    <s v="C0208"/>
    <x v="1"/>
    <d v="2023-02-18T00:00:00"/>
    <d v="2023-08-19T00:00:00"/>
    <n v="15"/>
    <s v="Churned"/>
    <s v="LinkedIn"/>
    <s v="Feb-2023"/>
    <s v="Aug-2023"/>
    <s v="Spain"/>
    <s v="Finance"/>
    <s v="Large"/>
    <n v="2023"/>
  </r>
  <r>
    <s v="C0209"/>
    <x v="0"/>
    <d v="2022-05-26T00:00:00"/>
    <d v="2024-12-31T00:00:00"/>
    <n v="40"/>
    <s v="Active"/>
    <s v="Instagram"/>
    <s v="May-2022"/>
    <s v="Dec-2024"/>
    <s v="France"/>
    <s v="Education"/>
    <s v="Medium"/>
    <n v="2022"/>
  </r>
  <r>
    <s v="C0210"/>
    <x v="1"/>
    <d v="2023-11-16T00:00:00"/>
    <d v="2024-12-31T00:00:00"/>
    <n v="15"/>
    <s v="Active"/>
    <s v="Instagram"/>
    <s v="Nov-2023"/>
    <s v="Dec-2024"/>
    <s v="Sweden"/>
    <s v="Education"/>
    <s v="Large"/>
    <n v="2023"/>
  </r>
  <r>
    <s v="C0211"/>
    <x v="2"/>
    <d v="2022-12-21T00:00:00"/>
    <d v="2024-12-31T00:00:00"/>
    <n v="25"/>
    <s v="Active"/>
    <s v="Facebook"/>
    <s v="Dec-2022"/>
    <s v="Dec-2024"/>
    <s v="Spain"/>
    <s v="Healthcare"/>
    <s v="Small"/>
    <n v="2022"/>
  </r>
  <r>
    <s v="C0212"/>
    <x v="0"/>
    <d v="2020-08-24T00:00:00"/>
    <d v="2021-12-17T00:00:00"/>
    <n v="40"/>
    <s v="Churned"/>
    <s v="Instagram"/>
    <s v="Aug-2020"/>
    <s v="Dec-2021"/>
    <s v="Italy"/>
    <s v="Finance"/>
    <s v="Large"/>
    <n v="2020"/>
  </r>
  <r>
    <s v="C0213"/>
    <x v="2"/>
    <d v="2022-02-28T00:00:00"/>
    <d v="2024-12-31T00:00:00"/>
    <n v="25"/>
    <s v="Active"/>
    <s v="Google"/>
    <s v="Feb-2022"/>
    <s v="Dec-2024"/>
    <s v="France"/>
    <s v="Retail"/>
    <s v="Enterprise"/>
    <n v="2022"/>
  </r>
  <r>
    <s v="C0214"/>
    <x v="1"/>
    <d v="2022-05-25T00:00:00"/>
    <d v="2024-12-31T00:00:00"/>
    <n v="15"/>
    <s v="Active"/>
    <s v="Google"/>
    <s v="May-2022"/>
    <s v="Dec-2024"/>
    <s v="Italy"/>
    <s v="Education"/>
    <s v="Large"/>
    <n v="2022"/>
  </r>
  <r>
    <s v="C0215"/>
    <x v="1"/>
    <d v="2022-07-15T00:00:00"/>
    <d v="2024-12-31T00:00:00"/>
    <n v="15"/>
    <s v="Active"/>
    <s v="Facebook"/>
    <s v="Jul-2022"/>
    <s v="Dec-2024"/>
    <s v="Sweden"/>
    <s v="Tech"/>
    <s v="Large"/>
    <n v="2022"/>
  </r>
  <r>
    <s v="C0216"/>
    <x v="1"/>
    <d v="2020-11-01T00:00:00"/>
    <d v="2024-12-31T00:00:00"/>
    <n v="15"/>
    <s v="Active"/>
    <s v="LinkedIn"/>
    <s v="Nov-2020"/>
    <s v="Dec-2024"/>
    <s v="Spain"/>
    <s v="Finance"/>
    <s v="Medium"/>
    <n v="2020"/>
  </r>
  <r>
    <s v="C0217"/>
    <x v="0"/>
    <d v="2023-09-08T00:00:00"/>
    <d v="2024-04-20T00:00:00"/>
    <n v="40"/>
    <s v="Churned"/>
    <s v="LinkedIn"/>
    <s v="Sep-2023"/>
    <s v="Apr-2024"/>
    <s v="Italy"/>
    <s v="Tech"/>
    <s v="Large"/>
    <n v="2023"/>
  </r>
  <r>
    <s v="C0218"/>
    <x v="2"/>
    <d v="2023-12-11T00:00:00"/>
    <d v="2024-12-31T00:00:00"/>
    <n v="25"/>
    <s v="Active"/>
    <s v="Referral"/>
    <s v="Dec-2023"/>
    <s v="Dec-2024"/>
    <s v="Netherlands"/>
    <s v="Healthcare"/>
    <s v="Medium"/>
    <n v="2023"/>
  </r>
  <r>
    <s v="C0219"/>
    <x v="2"/>
    <d v="2022-02-20T00:00:00"/>
    <d v="2024-12-31T00:00:00"/>
    <n v="25"/>
    <s v="Active"/>
    <s v="Facebook"/>
    <s v="Feb-2022"/>
    <s v="Dec-2024"/>
    <s v="France"/>
    <s v="Education"/>
    <s v="Enterprise"/>
    <n v="2022"/>
  </r>
  <r>
    <s v="C0220"/>
    <x v="1"/>
    <d v="2023-08-04T00:00:00"/>
    <d v="2024-11-08T00:00:00"/>
    <n v="15"/>
    <s v="Churned"/>
    <s v="Instagram"/>
    <s v="Aug-2023"/>
    <s v="Nov-2024"/>
    <s v="Spain"/>
    <s v="Tech"/>
    <s v="Enterprise"/>
    <n v="2023"/>
  </r>
  <r>
    <s v="C0221"/>
    <x v="2"/>
    <d v="2021-07-22T00:00:00"/>
    <d v="2024-12-31T00:00:00"/>
    <n v="25"/>
    <s v="Active"/>
    <s v="Instagram"/>
    <s v="Jul-2021"/>
    <s v="Dec-2024"/>
    <s v="France"/>
    <s v="Tech"/>
    <s v="Large"/>
    <n v="2021"/>
  </r>
  <r>
    <s v="C0222"/>
    <x v="0"/>
    <d v="2021-09-04T00:00:00"/>
    <d v="2023-04-03T00:00:00"/>
    <n v="40"/>
    <s v="Churned"/>
    <s v="Facebook"/>
    <s v="Sep-2021"/>
    <s v="Apr-2023"/>
    <s v="Netherlands"/>
    <s v="Healthcare"/>
    <s v="Large"/>
    <n v="2021"/>
  </r>
  <r>
    <s v="C0223"/>
    <x v="1"/>
    <d v="2024-04-05T00:00:00"/>
    <d v="2024-10-08T00:00:00"/>
    <n v="15"/>
    <s v="Churned"/>
    <s v="Facebook"/>
    <s v="Apr-2024"/>
    <s v="Oct-2024"/>
    <s v="Spain"/>
    <s v="E-commerce"/>
    <s v="Enterprise"/>
    <n v="2024"/>
  </r>
  <r>
    <s v="C0224"/>
    <x v="1"/>
    <d v="2022-08-07T00:00:00"/>
    <d v="2024-12-31T00:00:00"/>
    <n v="15"/>
    <s v="Active"/>
    <s v="Facebook"/>
    <s v="Aug-2022"/>
    <s v="Dec-2024"/>
    <s v="Italy"/>
    <s v="Tech"/>
    <s v="Small"/>
    <n v="2022"/>
  </r>
  <r>
    <s v="C0225"/>
    <x v="0"/>
    <d v="2020-03-21T00:00:00"/>
    <d v="2021-12-05T00:00:00"/>
    <n v="40"/>
    <s v="Churned"/>
    <s v="Facebook"/>
    <s v="Mar-2020"/>
    <s v="Dec-2021"/>
    <s v="Italy"/>
    <s v="Finance"/>
    <s v="Medium"/>
    <n v="2020"/>
  </r>
  <r>
    <s v="C0226"/>
    <x v="0"/>
    <d v="2023-12-23T00:00:00"/>
    <d v="2024-12-31T00:00:00"/>
    <n v="40"/>
    <s v="Active"/>
    <s v="LinkedIn"/>
    <s v="Dec-2023"/>
    <s v="Dec-2024"/>
    <s v="Germany"/>
    <s v="Education"/>
    <s v="Medium"/>
    <n v="2023"/>
  </r>
  <r>
    <s v="C0227"/>
    <x v="2"/>
    <d v="2022-05-10T00:00:00"/>
    <d v="2024-12-31T00:00:00"/>
    <n v="25"/>
    <s v="Active"/>
    <s v="Instagram"/>
    <s v="May-2022"/>
    <s v="Dec-2024"/>
    <s v="Spain"/>
    <s v="Healthcare"/>
    <s v="Enterprise"/>
    <n v="2022"/>
  </r>
  <r>
    <s v="C0228"/>
    <x v="2"/>
    <d v="2020-02-29T00:00:00"/>
    <d v="2024-12-31T00:00:00"/>
    <n v="25"/>
    <s v="Active"/>
    <s v="Facebook"/>
    <s v="Feb-2020"/>
    <s v="Dec-2024"/>
    <s v="France"/>
    <s v="Healthcare"/>
    <s v="Small"/>
    <n v="2020"/>
  </r>
  <r>
    <s v="C0229"/>
    <x v="2"/>
    <d v="2022-11-30T00:00:00"/>
    <d v="2023-04-27T00:00:00"/>
    <n v="25"/>
    <s v="Churned"/>
    <s v="LinkedIn"/>
    <s v="Nov-2022"/>
    <s v="Apr-2023"/>
    <s v="Sweden"/>
    <s v="E-commerce"/>
    <s v="Small"/>
    <n v="2022"/>
  </r>
  <r>
    <s v="C0230"/>
    <x v="0"/>
    <d v="2022-07-26T00:00:00"/>
    <d v="2024-12-31T00:00:00"/>
    <n v="40"/>
    <s v="Active"/>
    <s v="Facebook"/>
    <s v="Jul-2022"/>
    <s v="Dec-2024"/>
    <s v="Germany"/>
    <s v="Tech"/>
    <s v="Small"/>
    <n v="2022"/>
  </r>
  <r>
    <s v="C0231"/>
    <x v="1"/>
    <d v="2022-10-16T00:00:00"/>
    <d v="2024-12-31T00:00:00"/>
    <n v="15"/>
    <s v="Active"/>
    <s v="Google"/>
    <s v="Oct-2022"/>
    <s v="Dec-2024"/>
    <s v="Spain"/>
    <s v="Finance"/>
    <s v="Enterprise"/>
    <n v="2022"/>
  </r>
  <r>
    <s v="C0232"/>
    <x v="2"/>
    <d v="2022-05-16T00:00:00"/>
    <d v="2024-12-31T00:00:00"/>
    <n v="25"/>
    <s v="Active"/>
    <s v="Instagram"/>
    <s v="May-2022"/>
    <s v="Dec-2024"/>
    <s v="Netherlands"/>
    <s v="Finance"/>
    <s v="Medium"/>
    <n v="2022"/>
  </r>
  <r>
    <s v="C0233"/>
    <x v="0"/>
    <d v="2020-01-24T00:00:00"/>
    <d v="2024-12-31T00:00:00"/>
    <n v="40"/>
    <s v="Active"/>
    <s v="Referral"/>
    <s v="Jan-2020"/>
    <s v="Dec-2024"/>
    <s v="Spain"/>
    <s v="Healthcare"/>
    <s v="Small"/>
    <n v="2020"/>
  </r>
  <r>
    <s v="C0234"/>
    <x v="0"/>
    <d v="2023-07-06T00:00:00"/>
    <d v="2024-12-31T00:00:00"/>
    <n v="40"/>
    <s v="Active"/>
    <s v="LinkedIn"/>
    <s v="Jul-2023"/>
    <s v="Dec-2024"/>
    <s v="Sweden"/>
    <s v="E-commerce"/>
    <s v="Small"/>
    <n v="2023"/>
  </r>
  <r>
    <s v="C0235"/>
    <x v="1"/>
    <d v="2021-10-01T00:00:00"/>
    <d v="2024-12-31T00:00:00"/>
    <n v="15"/>
    <s v="Active"/>
    <s v="Instagram"/>
    <s v="Oct-2021"/>
    <s v="Dec-2024"/>
    <s v="Italy"/>
    <s v="Education"/>
    <s v="Small"/>
    <n v="2021"/>
  </r>
  <r>
    <s v="C0236"/>
    <x v="1"/>
    <d v="2020-08-20T00:00:00"/>
    <d v="2024-12-31T00:00:00"/>
    <n v="15"/>
    <s v="Active"/>
    <s v="Instagram"/>
    <s v="Aug-2020"/>
    <s v="Dec-2024"/>
    <s v="Sweden"/>
    <s v="Healthcare"/>
    <s v="Medium"/>
    <n v="2020"/>
  </r>
  <r>
    <s v="C0237"/>
    <x v="2"/>
    <d v="2023-06-13T00:00:00"/>
    <d v="2024-12-31T00:00:00"/>
    <n v="25"/>
    <s v="Active"/>
    <s v="Instagram"/>
    <s v="Jun-2023"/>
    <s v="Dec-2024"/>
    <s v="Germany"/>
    <s v="Education"/>
    <s v="Medium"/>
    <n v="2023"/>
  </r>
  <r>
    <s v="C0238"/>
    <x v="2"/>
    <d v="2022-12-31T00:00:00"/>
    <d v="2024-08-17T00:00:00"/>
    <n v="25"/>
    <s v="Churned"/>
    <s v="Google"/>
    <s v="Dec-2022"/>
    <s v="Aug-2024"/>
    <s v="France"/>
    <s v="Finance"/>
    <s v="Enterprise"/>
    <n v="2022"/>
  </r>
  <r>
    <s v="C0239"/>
    <x v="2"/>
    <d v="2022-05-22T00:00:00"/>
    <d v="2024-12-31T00:00:00"/>
    <n v="25"/>
    <s v="Active"/>
    <s v="LinkedIn"/>
    <s v="May-2022"/>
    <s v="Dec-2024"/>
    <s v="Netherlands"/>
    <s v="Tech"/>
    <s v="Small"/>
    <n v="2022"/>
  </r>
  <r>
    <s v="C0240"/>
    <x v="1"/>
    <d v="2021-05-24T00:00:00"/>
    <d v="2022-07-08T00:00:00"/>
    <n v="15"/>
    <s v="Churned"/>
    <s v="Facebook"/>
    <s v="May-2021"/>
    <s v="Jul-2022"/>
    <s v="Spain"/>
    <s v="Education"/>
    <s v="Medium"/>
    <n v="2021"/>
  </r>
  <r>
    <s v="C0241"/>
    <x v="0"/>
    <d v="2021-03-29T00:00:00"/>
    <d v="2024-12-31T00:00:00"/>
    <n v="40"/>
    <s v="Active"/>
    <s v="LinkedIn"/>
    <s v="Mar-2021"/>
    <s v="Dec-2024"/>
    <s v="Italy"/>
    <s v="E-commerce"/>
    <s v="Medium"/>
    <n v="2021"/>
  </r>
  <r>
    <s v="C0242"/>
    <x v="0"/>
    <d v="2021-08-29T00:00:00"/>
    <d v="2023-04-11T00:00:00"/>
    <n v="40"/>
    <s v="Churned"/>
    <s v="Referral"/>
    <s v="Aug-2021"/>
    <s v="Apr-2023"/>
    <s v="Germany"/>
    <s v="Education"/>
    <s v="Enterprise"/>
    <n v="2021"/>
  </r>
  <r>
    <s v="C0243"/>
    <x v="0"/>
    <d v="2020-08-03T00:00:00"/>
    <d v="2022-01-12T00:00:00"/>
    <n v="40"/>
    <s v="Churned"/>
    <s v="Google"/>
    <s v="Aug-2020"/>
    <s v="Jan-2022"/>
    <s v="Spain"/>
    <s v="Finance"/>
    <s v="Large"/>
    <n v="2020"/>
  </r>
  <r>
    <s v="C0244"/>
    <x v="0"/>
    <d v="2023-08-31T00:00:00"/>
    <d v="2024-12-31T00:00:00"/>
    <n v="40"/>
    <s v="Active"/>
    <s v="Referral"/>
    <s v="Aug-2023"/>
    <s v="Dec-2024"/>
    <s v="Netherlands"/>
    <s v="E-commerce"/>
    <s v="Medium"/>
    <n v="2023"/>
  </r>
  <r>
    <s v="C0245"/>
    <x v="2"/>
    <d v="2022-04-01T00:00:00"/>
    <d v="2024-12-31T00:00:00"/>
    <n v="25"/>
    <s v="Active"/>
    <s v="Google"/>
    <s v="Apr-2022"/>
    <s v="Dec-2024"/>
    <s v="Netherlands"/>
    <s v="Healthcare"/>
    <s v="Enterprise"/>
    <n v="2022"/>
  </r>
  <r>
    <s v="C0246"/>
    <x v="2"/>
    <d v="2024-01-22T00:00:00"/>
    <d v="2024-12-31T00:00:00"/>
    <n v="25"/>
    <s v="Active"/>
    <s v="LinkedIn"/>
    <s v="Jan-2024"/>
    <s v="Dec-2024"/>
    <s v="France"/>
    <s v="Tech"/>
    <s v="Large"/>
    <n v="2024"/>
  </r>
  <r>
    <s v="C0247"/>
    <x v="0"/>
    <d v="2020-02-27T00:00:00"/>
    <d v="2024-12-31T00:00:00"/>
    <n v="40"/>
    <s v="Active"/>
    <s v="LinkedIn"/>
    <s v="Feb-2020"/>
    <s v="Dec-2024"/>
    <s v="Sweden"/>
    <s v="Retail"/>
    <s v="Medium"/>
    <n v="2020"/>
  </r>
  <r>
    <s v="C0248"/>
    <x v="1"/>
    <d v="2021-10-26T00:00:00"/>
    <d v="2024-12-31T00:00:00"/>
    <n v="15"/>
    <s v="Active"/>
    <s v="Instagram"/>
    <s v="Oct-2021"/>
    <s v="Dec-2024"/>
    <s v="Spain"/>
    <s v="Education"/>
    <s v="Enterprise"/>
    <n v="2021"/>
  </r>
  <r>
    <s v="C0249"/>
    <x v="1"/>
    <d v="2020-02-04T00:00:00"/>
    <d v="2024-12-31T00:00:00"/>
    <n v="15"/>
    <s v="Active"/>
    <s v="Instagram"/>
    <s v="Feb-2020"/>
    <s v="Dec-2024"/>
    <s v="Italy"/>
    <s v="E-commerce"/>
    <s v="Enterprise"/>
    <n v="2020"/>
  </r>
  <r>
    <s v="C0250"/>
    <x v="2"/>
    <d v="2020-03-28T00:00:00"/>
    <d v="2024-12-31T00:00:00"/>
    <n v="25"/>
    <s v="Active"/>
    <s v="Facebook"/>
    <s v="Mar-2020"/>
    <s v="Dec-2024"/>
    <s v="France"/>
    <s v="Tech"/>
    <s v="Enterprise"/>
    <n v="2020"/>
  </r>
  <r>
    <s v="C0251"/>
    <x v="1"/>
    <d v="2021-09-06T00:00:00"/>
    <d v="2023-04-10T00:00:00"/>
    <n v="15"/>
    <s v="Churned"/>
    <s v="Facebook"/>
    <s v="Sep-2021"/>
    <s v="Apr-2023"/>
    <s v="Germany"/>
    <s v="Healthcare"/>
    <s v="Large"/>
    <n v="2021"/>
  </r>
  <r>
    <s v="C0252"/>
    <x v="0"/>
    <d v="2022-06-21T00:00:00"/>
    <d v="2023-11-23T00:00:00"/>
    <n v="40"/>
    <s v="Churned"/>
    <s v="Facebook"/>
    <s v="Jun-2022"/>
    <s v="Nov-2023"/>
    <s v="Netherlands"/>
    <s v="Finance"/>
    <s v="Medium"/>
    <n v="2022"/>
  </r>
  <r>
    <s v="C0253"/>
    <x v="0"/>
    <d v="2024-03-15T00:00:00"/>
    <d v="2024-12-31T00:00:00"/>
    <n v="40"/>
    <s v="Churned"/>
    <s v="Instagram"/>
    <s v="Mar-2024"/>
    <s v="Dec-2024"/>
    <s v="France"/>
    <s v="Retail"/>
    <s v="Small"/>
    <n v="2024"/>
  </r>
  <r>
    <s v="C0254"/>
    <x v="2"/>
    <d v="2020-10-24T00:00:00"/>
    <d v="2024-12-31T00:00:00"/>
    <n v="25"/>
    <s v="Active"/>
    <s v="Instagram"/>
    <s v="Oct-2020"/>
    <s v="Dec-2024"/>
    <s v="Italy"/>
    <s v="Healthcare"/>
    <s v="Medium"/>
    <n v="2020"/>
  </r>
  <r>
    <s v="C0255"/>
    <x v="2"/>
    <d v="2021-01-07T00:00:00"/>
    <d v="2024-12-31T00:00:00"/>
    <n v="25"/>
    <s v="Active"/>
    <s v="Facebook"/>
    <s v="Jan-2021"/>
    <s v="Dec-2024"/>
    <s v="Netherlands"/>
    <s v="Healthcare"/>
    <s v="Large"/>
    <n v="2021"/>
  </r>
  <r>
    <s v="C0256"/>
    <x v="0"/>
    <d v="2020-06-06T00:00:00"/>
    <d v="2021-07-11T00:00:00"/>
    <n v="40"/>
    <s v="Churned"/>
    <s v="LinkedIn"/>
    <s v="Jun-2020"/>
    <s v="Jul-2021"/>
    <s v="Italy"/>
    <s v="Retail"/>
    <s v="Large"/>
    <n v="2020"/>
  </r>
  <r>
    <s v="C0257"/>
    <x v="2"/>
    <d v="2022-09-19T00:00:00"/>
    <d v="2024-12-31T00:00:00"/>
    <n v="25"/>
    <s v="Active"/>
    <s v="Facebook"/>
    <s v="Sep-2022"/>
    <s v="Dec-2024"/>
    <s v="Spain"/>
    <s v="Retail"/>
    <s v="Enterprise"/>
    <n v="2022"/>
  </r>
  <r>
    <s v="C0258"/>
    <x v="2"/>
    <d v="2023-01-19T00:00:00"/>
    <d v="2024-12-31T00:00:00"/>
    <n v="25"/>
    <s v="Active"/>
    <s v="Referral"/>
    <s v="Jan-2023"/>
    <s v="Dec-2024"/>
    <s v="Netherlands"/>
    <s v="Education"/>
    <s v="Enterprise"/>
    <n v="2023"/>
  </r>
  <r>
    <s v="C0259"/>
    <x v="2"/>
    <d v="2020-08-19T00:00:00"/>
    <d v="2022-11-04T00:00:00"/>
    <n v="25"/>
    <s v="Churned"/>
    <s v="Facebook"/>
    <s v="Aug-2020"/>
    <s v="Nov-2022"/>
    <s v="Sweden"/>
    <s v="Tech"/>
    <s v="Medium"/>
    <n v="2020"/>
  </r>
  <r>
    <s v="C0260"/>
    <x v="1"/>
    <d v="2020-03-07T00:00:00"/>
    <d v="2024-12-31T00:00:00"/>
    <n v="15"/>
    <s v="Active"/>
    <s v="Instagram"/>
    <s v="Mar-2020"/>
    <s v="Dec-2024"/>
    <s v="France"/>
    <s v="Finance"/>
    <s v="Small"/>
    <n v="2020"/>
  </r>
  <r>
    <s v="C0261"/>
    <x v="1"/>
    <d v="2022-04-19T00:00:00"/>
    <d v="2024-12-31T00:00:00"/>
    <n v="15"/>
    <s v="Active"/>
    <s v="Referral"/>
    <s v="Apr-2022"/>
    <s v="Dec-2024"/>
    <s v="Germany"/>
    <s v="Retail"/>
    <s v="Large"/>
    <n v="2022"/>
  </r>
  <r>
    <s v="C0262"/>
    <x v="0"/>
    <d v="2021-09-03T00:00:00"/>
    <d v="2022-03-15T00:00:00"/>
    <n v="40"/>
    <s v="Churned"/>
    <s v="Google"/>
    <s v="Sep-2021"/>
    <s v="Mar-2022"/>
    <s v="Netherlands"/>
    <s v="Finance"/>
    <s v="Medium"/>
    <n v="2021"/>
  </r>
  <r>
    <s v="C0263"/>
    <x v="1"/>
    <d v="2022-09-15T00:00:00"/>
    <d v="2024-12-31T00:00:00"/>
    <n v="15"/>
    <s v="Active"/>
    <s v="Referral"/>
    <s v="Sep-2022"/>
    <s v="Dec-2024"/>
    <s v="Netherlands"/>
    <s v="Finance"/>
    <s v="Enterprise"/>
    <n v="2022"/>
  </r>
  <r>
    <s v="C0264"/>
    <x v="0"/>
    <d v="2022-10-08T00:00:00"/>
    <d v="2024-12-31T00:00:00"/>
    <n v="40"/>
    <s v="Active"/>
    <s v="LinkedIn"/>
    <s v="Oct-2022"/>
    <s v="Dec-2024"/>
    <s v="Netherlands"/>
    <s v="Finance"/>
    <s v="Enterprise"/>
    <n v="2022"/>
  </r>
  <r>
    <s v="C0265"/>
    <x v="0"/>
    <d v="2020-07-04T00:00:00"/>
    <d v="2022-05-05T00:00:00"/>
    <n v="40"/>
    <s v="Churned"/>
    <s v="Referral"/>
    <s v="Jul-2020"/>
    <s v="May-2022"/>
    <s v="Italy"/>
    <s v="Retail"/>
    <s v="Enterprise"/>
    <n v="2020"/>
  </r>
  <r>
    <s v="C0266"/>
    <x v="2"/>
    <d v="2021-05-07T00:00:00"/>
    <d v="2024-12-31T00:00:00"/>
    <n v="25"/>
    <s v="Active"/>
    <s v="Facebook"/>
    <s v="May-2021"/>
    <s v="Dec-2024"/>
    <s v="Germany"/>
    <s v="Retail"/>
    <s v="Small"/>
    <n v="2021"/>
  </r>
  <r>
    <s v="C0267"/>
    <x v="2"/>
    <d v="2021-10-02T00:00:00"/>
    <d v="2024-12-31T00:00:00"/>
    <n v="25"/>
    <s v="Active"/>
    <s v="Referral"/>
    <s v="Oct-2021"/>
    <s v="Dec-2024"/>
    <s v="Italy"/>
    <s v="E-commerce"/>
    <s v="Enterprise"/>
    <n v="2021"/>
  </r>
  <r>
    <s v="C0268"/>
    <x v="1"/>
    <d v="2022-01-04T00:00:00"/>
    <d v="2024-12-31T00:00:00"/>
    <n v="15"/>
    <s v="Active"/>
    <s v="Instagram"/>
    <s v="Jan-2022"/>
    <s v="Dec-2024"/>
    <s v="Sweden"/>
    <s v="E-commerce"/>
    <s v="Small"/>
    <n v="2022"/>
  </r>
  <r>
    <s v="C0269"/>
    <x v="1"/>
    <d v="2022-09-17T00:00:00"/>
    <d v="2024-12-31T00:00:00"/>
    <n v="15"/>
    <s v="Active"/>
    <s v="Facebook"/>
    <s v="Sep-2022"/>
    <s v="Dec-2024"/>
    <s v="Netherlands"/>
    <s v="Education"/>
    <s v="Enterprise"/>
    <n v="2022"/>
  </r>
  <r>
    <s v="C0270"/>
    <x v="2"/>
    <d v="2020-03-10T00:00:00"/>
    <d v="2024-12-31T00:00:00"/>
    <n v="25"/>
    <s v="Active"/>
    <s v="Instagram"/>
    <s v="Mar-2020"/>
    <s v="Dec-2024"/>
    <s v="Netherlands"/>
    <s v="Healthcare"/>
    <s v="Enterprise"/>
    <n v="2020"/>
  </r>
  <r>
    <s v="C0271"/>
    <x v="2"/>
    <d v="2022-10-28T00:00:00"/>
    <d v="2024-12-01T00:00:00"/>
    <n v="25"/>
    <s v="Churned"/>
    <s v="Google"/>
    <s v="Oct-2022"/>
    <s v="Dec-2024"/>
    <s v="France"/>
    <s v="Tech"/>
    <s v="Enterprise"/>
    <n v="2022"/>
  </r>
  <r>
    <s v="C0272"/>
    <x v="2"/>
    <d v="2024-01-20T00:00:00"/>
    <d v="2024-12-31T00:00:00"/>
    <n v="25"/>
    <s v="Active"/>
    <s v="Referral"/>
    <s v="Jan-2024"/>
    <s v="Dec-2024"/>
    <s v="Netherlands"/>
    <s v="Healthcare"/>
    <s v="Enterprise"/>
    <n v="2024"/>
  </r>
  <r>
    <s v="C0273"/>
    <x v="0"/>
    <d v="2020-10-25T00:00:00"/>
    <d v="2021-02-26T00:00:00"/>
    <n v="40"/>
    <s v="Churned"/>
    <s v="Instagram"/>
    <s v="Oct-2020"/>
    <s v="Feb-2021"/>
    <s v="France"/>
    <s v="Education"/>
    <s v="Large"/>
    <n v="2020"/>
  </r>
  <r>
    <s v="C0274"/>
    <x v="0"/>
    <d v="2021-10-21T00:00:00"/>
    <d v="2024-12-31T00:00:00"/>
    <n v="40"/>
    <s v="Active"/>
    <s v="Referral"/>
    <s v="Oct-2021"/>
    <s v="Dec-2024"/>
    <s v="Sweden"/>
    <s v="Finance"/>
    <s v="Enterprise"/>
    <n v="2021"/>
  </r>
  <r>
    <s v="C0275"/>
    <x v="1"/>
    <d v="2022-07-13T00:00:00"/>
    <d v="2024-12-31T00:00:00"/>
    <n v="15"/>
    <s v="Active"/>
    <s v="LinkedIn"/>
    <s v="Jul-2022"/>
    <s v="Dec-2024"/>
    <s v="France"/>
    <s v="Healthcare"/>
    <s v="Small"/>
    <n v="2022"/>
  </r>
  <r>
    <s v="C0276"/>
    <x v="2"/>
    <d v="2023-12-18T00:00:00"/>
    <d v="2024-04-28T00:00:00"/>
    <n v="25"/>
    <s v="Churned"/>
    <s v="Instagram"/>
    <s v="Dec-2023"/>
    <s v="Apr-2024"/>
    <s v="Spain"/>
    <s v="E-commerce"/>
    <s v="Large"/>
    <n v="2023"/>
  </r>
  <r>
    <s v="C0277"/>
    <x v="2"/>
    <d v="2022-06-04T00:00:00"/>
    <d v="2024-12-31T00:00:00"/>
    <n v="25"/>
    <s v="Active"/>
    <s v="Google"/>
    <s v="Jun-2022"/>
    <s v="Dec-2024"/>
    <s v="Netherlands"/>
    <s v="Healthcare"/>
    <s v="Enterprise"/>
    <n v="2022"/>
  </r>
  <r>
    <s v="C0278"/>
    <x v="0"/>
    <d v="2020-01-19T00:00:00"/>
    <d v="2021-04-26T00:00:00"/>
    <n v="40"/>
    <s v="Churned"/>
    <s v="Facebook"/>
    <s v="Jan-2020"/>
    <s v="Apr-2021"/>
    <s v="Spain"/>
    <s v="E-commerce"/>
    <s v="Large"/>
    <n v="2020"/>
  </r>
  <r>
    <s v="C0279"/>
    <x v="1"/>
    <d v="2023-04-25T00:00:00"/>
    <d v="2024-12-31T00:00:00"/>
    <n v="15"/>
    <s v="Active"/>
    <s v="Facebook"/>
    <s v="Apr-2023"/>
    <s v="Dec-2024"/>
    <s v="Germany"/>
    <s v="Retail"/>
    <s v="Medium"/>
    <n v="2023"/>
  </r>
  <r>
    <s v="C0280"/>
    <x v="1"/>
    <d v="2023-07-03T00:00:00"/>
    <d v="2024-12-31T00:00:00"/>
    <n v="15"/>
    <s v="Churned"/>
    <s v="Google"/>
    <s v="Jul-2023"/>
    <s v="Dec-2024"/>
    <s v="Sweden"/>
    <s v="Education"/>
    <s v="Small"/>
    <n v="2023"/>
  </r>
  <r>
    <s v="C0281"/>
    <x v="1"/>
    <d v="2024-02-05T00:00:00"/>
    <d v="2024-12-31T00:00:00"/>
    <n v="15"/>
    <s v="Active"/>
    <s v="Google"/>
    <s v="Feb-2024"/>
    <s v="Dec-2024"/>
    <s v="Italy"/>
    <s v="Tech"/>
    <s v="Small"/>
    <n v="2024"/>
  </r>
  <r>
    <s v="C0282"/>
    <x v="0"/>
    <d v="2020-11-28T00:00:00"/>
    <d v="2022-11-19T00:00:00"/>
    <n v="40"/>
    <s v="Churned"/>
    <s v="LinkedIn"/>
    <s v="Nov-2020"/>
    <s v="Nov-2022"/>
    <s v="Spain"/>
    <s v="E-commerce"/>
    <s v="Small"/>
    <n v="2020"/>
  </r>
  <r>
    <s v="C0283"/>
    <x v="2"/>
    <d v="2020-04-18T00:00:00"/>
    <d v="2022-05-20T00:00:00"/>
    <n v="25"/>
    <s v="Churned"/>
    <s v="Referral"/>
    <s v="Apr-2020"/>
    <s v="May-2022"/>
    <s v="Italy"/>
    <s v="Education"/>
    <s v="Medium"/>
    <n v="2020"/>
  </r>
  <r>
    <s v="C0284"/>
    <x v="2"/>
    <d v="2021-10-15T00:00:00"/>
    <d v="2023-09-29T00:00:00"/>
    <n v="25"/>
    <s v="Churned"/>
    <s v="Facebook"/>
    <s v="Oct-2021"/>
    <s v="Sep-2023"/>
    <s v="Italy"/>
    <s v="Tech"/>
    <s v="Medium"/>
    <n v="2021"/>
  </r>
  <r>
    <s v="C0285"/>
    <x v="2"/>
    <d v="2023-08-08T00:00:00"/>
    <d v="2024-12-31T00:00:00"/>
    <n v="25"/>
    <s v="Active"/>
    <s v="Facebook"/>
    <s v="Aug-2023"/>
    <s v="Dec-2024"/>
    <s v="Spain"/>
    <s v="Finance"/>
    <s v="Large"/>
    <n v="2023"/>
  </r>
  <r>
    <s v="C0286"/>
    <x v="1"/>
    <d v="2024-07-02T00:00:00"/>
    <d v="2024-12-31T00:00:00"/>
    <n v="15"/>
    <s v="Active"/>
    <s v="Referral"/>
    <s v="Jul-2024"/>
    <s v="Dec-2024"/>
    <s v="Italy"/>
    <s v="Retail"/>
    <s v="Large"/>
    <n v="2024"/>
  </r>
  <r>
    <s v="C0287"/>
    <x v="1"/>
    <d v="2021-06-27T00:00:00"/>
    <d v="2023-02-20T00:00:00"/>
    <n v="15"/>
    <s v="Churned"/>
    <s v="Referral"/>
    <s v="Jun-2021"/>
    <s v="Feb-2023"/>
    <s v="Spain"/>
    <s v="Tech"/>
    <s v="Medium"/>
    <n v="2021"/>
  </r>
  <r>
    <s v="C0288"/>
    <x v="1"/>
    <d v="2021-08-14T00:00:00"/>
    <d v="2024-12-31T00:00:00"/>
    <n v="15"/>
    <s v="Active"/>
    <s v="Facebook"/>
    <s v="Aug-2021"/>
    <s v="Dec-2024"/>
    <s v="Netherlands"/>
    <s v="Tech"/>
    <s v="Enterprise"/>
    <n v="2021"/>
  </r>
  <r>
    <s v="C0289"/>
    <x v="2"/>
    <d v="2024-01-08T00:00:00"/>
    <d v="2024-12-31T00:00:00"/>
    <n v="25"/>
    <s v="Active"/>
    <s v="Instagram"/>
    <s v="Jan-2024"/>
    <s v="Dec-2024"/>
    <s v="Germany"/>
    <s v="Education"/>
    <s v="Small"/>
    <n v="2024"/>
  </r>
  <r>
    <s v="C0290"/>
    <x v="1"/>
    <d v="2023-04-07T00:00:00"/>
    <d v="2024-12-31T00:00:00"/>
    <n v="15"/>
    <s v="Active"/>
    <s v="LinkedIn"/>
    <s v="Apr-2023"/>
    <s v="Dec-2024"/>
    <s v="Italy"/>
    <s v="Education"/>
    <s v="Medium"/>
    <n v="2023"/>
  </r>
  <r>
    <s v="C0291"/>
    <x v="0"/>
    <d v="2024-02-08T00:00:00"/>
    <d v="2024-05-10T00:00:00"/>
    <n v="40"/>
    <s v="Churned"/>
    <s v="Google"/>
    <s v="Feb-2024"/>
    <s v="May-2024"/>
    <s v="Sweden"/>
    <s v="Tech"/>
    <s v="Small"/>
    <n v="2024"/>
  </r>
  <r>
    <s v="C0292"/>
    <x v="2"/>
    <d v="2021-05-24T00:00:00"/>
    <d v="2024-12-31T00:00:00"/>
    <n v="25"/>
    <s v="Active"/>
    <s v="Referral"/>
    <s v="May-2021"/>
    <s v="Dec-2024"/>
    <s v="Sweden"/>
    <s v="Education"/>
    <s v="Large"/>
    <n v="2021"/>
  </r>
  <r>
    <s v="C0293"/>
    <x v="1"/>
    <d v="2023-03-21T00:00:00"/>
    <d v="2024-12-31T00:00:00"/>
    <n v="15"/>
    <s v="Active"/>
    <s v="Referral"/>
    <s v="Mar-2023"/>
    <s v="Dec-2024"/>
    <s v="Italy"/>
    <s v="E-commerce"/>
    <s v="Enterprise"/>
    <n v="2023"/>
  </r>
  <r>
    <s v="C0294"/>
    <x v="0"/>
    <d v="2021-12-24T00:00:00"/>
    <d v="2024-12-31T00:00:00"/>
    <n v="40"/>
    <s v="Active"/>
    <s v="Referral"/>
    <s v="Dec-2021"/>
    <s v="Dec-2024"/>
    <s v="Germany"/>
    <s v="Healthcare"/>
    <s v="Medium"/>
    <n v="2021"/>
  </r>
  <r>
    <s v="C0295"/>
    <x v="1"/>
    <d v="2022-09-07T00:00:00"/>
    <d v="2024-12-31T00:00:00"/>
    <n v="15"/>
    <s v="Active"/>
    <s v="Facebook"/>
    <s v="Sep-2022"/>
    <s v="Dec-2024"/>
    <s v="Spain"/>
    <s v="Healthcare"/>
    <s v="Small"/>
    <n v="2022"/>
  </r>
  <r>
    <s v="C0296"/>
    <x v="1"/>
    <d v="2023-07-03T00:00:00"/>
    <d v="2024-12-31T00:00:00"/>
    <n v="15"/>
    <s v="Churned"/>
    <s v="LinkedIn"/>
    <s v="Jul-2023"/>
    <s v="Dec-2024"/>
    <s v="Netherlands"/>
    <s v="Healthcare"/>
    <s v="Small"/>
    <n v="2023"/>
  </r>
  <r>
    <s v="C0297"/>
    <x v="0"/>
    <d v="2021-08-13T00:00:00"/>
    <d v="2024-12-31T00:00:00"/>
    <n v="40"/>
    <s v="Active"/>
    <s v="Instagram"/>
    <s v="Aug-2021"/>
    <s v="Dec-2024"/>
    <s v="France"/>
    <s v="E-commerce"/>
    <s v="Medium"/>
    <n v="2021"/>
  </r>
  <r>
    <s v="C0298"/>
    <x v="1"/>
    <d v="2020-05-22T00:00:00"/>
    <d v="2024-12-31T00:00:00"/>
    <n v="15"/>
    <s v="Active"/>
    <s v="Instagram"/>
    <s v="May-2020"/>
    <s v="Dec-2024"/>
    <s v="Sweden"/>
    <s v="Retail"/>
    <s v="Large"/>
    <n v="2020"/>
  </r>
  <r>
    <s v="C0299"/>
    <x v="2"/>
    <d v="2020-11-26T00:00:00"/>
    <d v="2022-07-19T00:00:00"/>
    <n v="25"/>
    <s v="Churned"/>
    <s v="Google"/>
    <s v="Nov-2020"/>
    <s v="Jul-2022"/>
    <s v="Italy"/>
    <s v="Healthcare"/>
    <s v="Enterprise"/>
    <n v="2020"/>
  </r>
  <r>
    <s v="C0300"/>
    <x v="2"/>
    <d v="2020-06-25T00:00:00"/>
    <d v="2022-06-15T00:00:00"/>
    <n v="25"/>
    <s v="Churned"/>
    <s v="LinkedIn"/>
    <s v="Jun-2020"/>
    <s v="Jun-2022"/>
    <s v="Germany"/>
    <s v="E-commerce"/>
    <s v="Small"/>
    <n v="2020"/>
  </r>
  <r>
    <s v="C0301"/>
    <x v="1"/>
    <d v="2020-09-14T00:00:00"/>
    <d v="2024-12-31T00:00:00"/>
    <n v="15"/>
    <s v="Active"/>
    <s v="LinkedIn"/>
    <s v="Sep-2020"/>
    <s v="Dec-2024"/>
    <s v="Germany"/>
    <s v="Tech"/>
    <s v="Small"/>
    <n v="2020"/>
  </r>
  <r>
    <s v="C0302"/>
    <x v="1"/>
    <d v="2021-04-03T00:00:00"/>
    <d v="2024-12-31T00:00:00"/>
    <n v="15"/>
    <s v="Active"/>
    <s v="Facebook"/>
    <s v="Apr-2021"/>
    <s v="Dec-2024"/>
    <s v="Sweden"/>
    <s v="Retail"/>
    <s v="Large"/>
    <n v="2021"/>
  </r>
  <r>
    <s v="C0303"/>
    <x v="0"/>
    <d v="2024-03-27T00:00:00"/>
    <d v="2024-12-31T00:00:00"/>
    <n v="40"/>
    <s v="Active"/>
    <s v="Google"/>
    <s v="Mar-2024"/>
    <s v="Dec-2024"/>
    <s v="Italy"/>
    <s v="Healthcare"/>
    <s v="Small"/>
    <n v="2024"/>
  </r>
  <r>
    <s v="C0304"/>
    <x v="2"/>
    <d v="2021-06-24T00:00:00"/>
    <d v="2024-12-31T00:00:00"/>
    <n v="25"/>
    <s v="Active"/>
    <s v="Facebook"/>
    <s v="Jun-2021"/>
    <s v="Dec-2024"/>
    <s v="France"/>
    <s v="E-commerce"/>
    <s v="Medium"/>
    <n v="2021"/>
  </r>
  <r>
    <s v="C0305"/>
    <x v="2"/>
    <d v="2023-03-13T00:00:00"/>
    <d v="2024-12-31T00:00:00"/>
    <n v="25"/>
    <s v="Active"/>
    <s v="LinkedIn"/>
    <s v="Mar-2023"/>
    <s v="Dec-2024"/>
    <s v="Spain"/>
    <s v="Retail"/>
    <s v="Small"/>
    <n v="2023"/>
  </r>
  <r>
    <s v="C0306"/>
    <x v="0"/>
    <d v="2020-03-20T00:00:00"/>
    <d v="2024-12-31T00:00:00"/>
    <n v="40"/>
    <s v="Active"/>
    <s v="Referral"/>
    <s v="Mar-2020"/>
    <s v="Dec-2024"/>
    <s v="Sweden"/>
    <s v="Healthcare"/>
    <s v="Small"/>
    <n v="2020"/>
  </r>
  <r>
    <s v="C0307"/>
    <x v="0"/>
    <d v="2021-03-08T00:00:00"/>
    <d v="2022-12-08T00:00:00"/>
    <n v="40"/>
    <s v="Churned"/>
    <s v="Google"/>
    <s v="Mar-2021"/>
    <s v="Dec-2022"/>
    <s v="Spain"/>
    <s v="Retail"/>
    <s v="Large"/>
    <n v="2021"/>
  </r>
  <r>
    <s v="C0308"/>
    <x v="0"/>
    <d v="2022-11-27T00:00:00"/>
    <d v="2024-12-31T00:00:00"/>
    <n v="40"/>
    <s v="Active"/>
    <s v="Facebook"/>
    <s v="Nov-2022"/>
    <s v="Dec-2024"/>
    <s v="Netherlands"/>
    <s v="Healthcare"/>
    <s v="Enterprise"/>
    <n v="2022"/>
  </r>
  <r>
    <s v="C0309"/>
    <x v="1"/>
    <d v="2024-05-28T00:00:00"/>
    <d v="2024-12-31T00:00:00"/>
    <n v="15"/>
    <s v="Active"/>
    <s v="Referral"/>
    <s v="May-2024"/>
    <s v="Dec-2024"/>
    <s v="Spain"/>
    <s v="Education"/>
    <s v="Medium"/>
    <n v="2024"/>
  </r>
  <r>
    <s v="C0310"/>
    <x v="1"/>
    <d v="2022-01-13T00:00:00"/>
    <d v="2024-12-31T00:00:00"/>
    <n v="15"/>
    <s v="Active"/>
    <s v="Facebook"/>
    <s v="Jan-2022"/>
    <s v="Dec-2024"/>
    <s v="Germany"/>
    <s v="Education"/>
    <s v="Large"/>
    <n v="2022"/>
  </r>
  <r>
    <s v="C0311"/>
    <x v="2"/>
    <d v="2023-05-16T00:00:00"/>
    <d v="2024-12-31T00:00:00"/>
    <n v="25"/>
    <s v="Active"/>
    <s v="Referral"/>
    <s v="May-2023"/>
    <s v="Dec-2024"/>
    <s v="Spain"/>
    <s v="Finance"/>
    <s v="Small"/>
    <n v="2023"/>
  </r>
  <r>
    <s v="C0312"/>
    <x v="1"/>
    <d v="2021-01-16T00:00:00"/>
    <d v="2024-12-31T00:00:00"/>
    <n v="15"/>
    <s v="Active"/>
    <s v="Instagram"/>
    <s v="Jan-2021"/>
    <s v="Dec-2024"/>
    <s v="France"/>
    <s v="Education"/>
    <s v="Large"/>
    <n v="2021"/>
  </r>
  <r>
    <s v="C0313"/>
    <x v="0"/>
    <d v="2021-05-31T00:00:00"/>
    <d v="2024-12-31T00:00:00"/>
    <n v="40"/>
    <s v="Active"/>
    <s v="Google"/>
    <s v="May-2021"/>
    <s v="Dec-2024"/>
    <s v="Sweden"/>
    <s v="E-commerce"/>
    <s v="Enterprise"/>
    <n v="2021"/>
  </r>
  <r>
    <s v="C0314"/>
    <x v="1"/>
    <d v="2024-02-18T00:00:00"/>
    <d v="2024-12-31T00:00:00"/>
    <n v="15"/>
    <s v="Active"/>
    <s v="Facebook"/>
    <s v="Feb-2024"/>
    <s v="Dec-2024"/>
    <s v="Italy"/>
    <s v="Finance"/>
    <s v="Small"/>
    <n v="2024"/>
  </r>
  <r>
    <s v="C0315"/>
    <x v="1"/>
    <d v="2020-01-29T00:00:00"/>
    <d v="2024-12-31T00:00:00"/>
    <n v="15"/>
    <s v="Active"/>
    <s v="Instagram"/>
    <s v="Jan-2020"/>
    <s v="Dec-2024"/>
    <s v="Spain"/>
    <s v="Education"/>
    <s v="Medium"/>
    <n v="2020"/>
  </r>
  <r>
    <s v="C0316"/>
    <x v="0"/>
    <d v="2021-01-27T00:00:00"/>
    <d v="2022-04-28T00:00:00"/>
    <n v="40"/>
    <s v="Churned"/>
    <s v="Google"/>
    <s v="Jan-2021"/>
    <s v="Apr-2022"/>
    <s v="Spain"/>
    <s v="E-commerce"/>
    <s v="Small"/>
    <n v="2021"/>
  </r>
  <r>
    <s v="C0317"/>
    <x v="2"/>
    <d v="2020-02-15T00:00:00"/>
    <d v="2024-12-31T00:00:00"/>
    <n v="25"/>
    <s v="Active"/>
    <s v="LinkedIn"/>
    <s v="Feb-2020"/>
    <s v="Dec-2024"/>
    <s v="Netherlands"/>
    <s v="E-commerce"/>
    <s v="Enterprise"/>
    <n v="2020"/>
  </r>
  <r>
    <s v="C0318"/>
    <x v="1"/>
    <d v="2024-02-19T00:00:00"/>
    <d v="2024-12-31T00:00:00"/>
    <n v="15"/>
    <s v="Active"/>
    <s v="Facebook"/>
    <s v="Feb-2024"/>
    <s v="Dec-2024"/>
    <s v="Italy"/>
    <s v="Education"/>
    <s v="Large"/>
    <n v="2024"/>
  </r>
  <r>
    <s v="C0319"/>
    <x v="0"/>
    <d v="2020-01-16T00:00:00"/>
    <d v="2024-12-31T00:00:00"/>
    <n v="40"/>
    <s v="Active"/>
    <s v="Google"/>
    <s v="Jan-2020"/>
    <s v="Dec-2024"/>
    <s v="Italy"/>
    <s v="Retail"/>
    <s v="Small"/>
    <n v="2020"/>
  </r>
  <r>
    <s v="C0320"/>
    <x v="0"/>
    <d v="2023-03-10T00:00:00"/>
    <d v="2024-12-31T00:00:00"/>
    <n v="40"/>
    <s v="Active"/>
    <s v="LinkedIn"/>
    <s v="Mar-2023"/>
    <s v="Dec-2024"/>
    <s v="France"/>
    <s v="Finance"/>
    <s v="Small"/>
    <n v="2023"/>
  </r>
  <r>
    <s v="C0321"/>
    <x v="1"/>
    <d v="2024-02-17T00:00:00"/>
    <d v="2024-12-31T00:00:00"/>
    <n v="15"/>
    <s v="Active"/>
    <s v="Google"/>
    <s v="Feb-2024"/>
    <s v="Dec-2024"/>
    <s v="Italy"/>
    <s v="Finance"/>
    <s v="Small"/>
    <n v="2024"/>
  </r>
  <r>
    <s v="C0322"/>
    <x v="2"/>
    <d v="2020-11-27T00:00:00"/>
    <d v="2024-12-31T00:00:00"/>
    <n v="25"/>
    <s v="Active"/>
    <s v="Instagram"/>
    <s v="Nov-2020"/>
    <s v="Dec-2024"/>
    <s v="Netherlands"/>
    <s v="Healthcare"/>
    <s v="Medium"/>
    <n v="2020"/>
  </r>
  <r>
    <s v="C0323"/>
    <x v="1"/>
    <d v="2021-03-03T00:00:00"/>
    <d v="2021-06-16T00:00:00"/>
    <n v="15"/>
    <s v="Churned"/>
    <s v="Google"/>
    <s v="Mar-2021"/>
    <s v="Jun-2021"/>
    <s v="Italy"/>
    <s v="Retail"/>
    <s v="Small"/>
    <n v="2021"/>
  </r>
  <r>
    <s v="C0324"/>
    <x v="2"/>
    <d v="2021-05-28T00:00:00"/>
    <d v="2024-12-31T00:00:00"/>
    <n v="25"/>
    <s v="Active"/>
    <s v="LinkedIn"/>
    <s v="May-2021"/>
    <s v="Dec-2024"/>
    <s v="Spain"/>
    <s v="Tech"/>
    <s v="Small"/>
    <n v="2021"/>
  </r>
  <r>
    <s v="C0325"/>
    <x v="1"/>
    <d v="2022-01-14T00:00:00"/>
    <d v="2023-10-29T00:00:00"/>
    <n v="15"/>
    <s v="Churned"/>
    <s v="Instagram"/>
    <s v="Jan-2022"/>
    <s v="Oct-2023"/>
    <s v="Sweden"/>
    <s v="Retail"/>
    <s v="Enterprise"/>
    <n v="2022"/>
  </r>
  <r>
    <s v="C0326"/>
    <x v="2"/>
    <d v="2021-06-13T00:00:00"/>
    <d v="2024-12-31T00:00:00"/>
    <n v="25"/>
    <s v="Active"/>
    <s v="Facebook"/>
    <s v="Jun-2021"/>
    <s v="Dec-2024"/>
    <s v="Spain"/>
    <s v="E-commerce"/>
    <s v="Medium"/>
    <n v="2021"/>
  </r>
  <r>
    <s v="C0327"/>
    <x v="1"/>
    <d v="2022-01-26T00:00:00"/>
    <d v="2024-12-31T00:00:00"/>
    <n v="15"/>
    <s v="Active"/>
    <s v="Referral"/>
    <s v="Jan-2022"/>
    <s v="Dec-2024"/>
    <s v="Germany"/>
    <s v="Finance"/>
    <s v="Enterprise"/>
    <n v="2022"/>
  </r>
  <r>
    <s v="C0328"/>
    <x v="1"/>
    <d v="2020-09-13T00:00:00"/>
    <d v="2024-12-31T00:00:00"/>
    <n v="15"/>
    <s v="Active"/>
    <s v="Google"/>
    <s v="Sep-2020"/>
    <s v="Dec-2024"/>
    <s v="Italy"/>
    <s v="E-commerce"/>
    <s v="Medium"/>
    <n v="2020"/>
  </r>
  <r>
    <s v="C0329"/>
    <x v="0"/>
    <d v="2024-02-16T00:00:00"/>
    <d v="2024-12-31T00:00:00"/>
    <n v="40"/>
    <s v="Churned"/>
    <s v="Referral"/>
    <s v="Feb-2024"/>
    <s v="Dec-2024"/>
    <s v="France"/>
    <s v="Finance"/>
    <s v="Medium"/>
    <n v="2024"/>
  </r>
  <r>
    <s v="C0330"/>
    <x v="0"/>
    <d v="2022-04-11T00:00:00"/>
    <d v="2024-12-31T00:00:00"/>
    <n v="40"/>
    <s v="Active"/>
    <s v="Instagram"/>
    <s v="Apr-2022"/>
    <s v="Dec-2024"/>
    <s v="Germany"/>
    <s v="Healthcare"/>
    <s v="Medium"/>
    <n v="2022"/>
  </r>
  <r>
    <s v="C0331"/>
    <x v="1"/>
    <d v="2021-03-28T00:00:00"/>
    <d v="2024-12-31T00:00:00"/>
    <n v="15"/>
    <s v="Active"/>
    <s v="Facebook"/>
    <s v="Mar-2021"/>
    <s v="Dec-2024"/>
    <s v="France"/>
    <s v="E-commerce"/>
    <s v="Medium"/>
    <n v="2021"/>
  </r>
  <r>
    <s v="C0332"/>
    <x v="0"/>
    <d v="2022-09-07T00:00:00"/>
    <d v="2024-08-25T00:00:00"/>
    <n v="40"/>
    <s v="Churned"/>
    <s v="LinkedIn"/>
    <s v="Sep-2022"/>
    <s v="Aug-2024"/>
    <s v="Germany"/>
    <s v="Tech"/>
    <s v="Medium"/>
    <n v="2022"/>
  </r>
  <r>
    <s v="C0333"/>
    <x v="2"/>
    <d v="2020-10-10T00:00:00"/>
    <d v="2024-12-31T00:00:00"/>
    <n v="25"/>
    <s v="Active"/>
    <s v="Google"/>
    <s v="Oct-2020"/>
    <s v="Dec-2024"/>
    <s v="Italy"/>
    <s v="Healthcare"/>
    <s v="Medium"/>
    <n v="2020"/>
  </r>
  <r>
    <s v="C0334"/>
    <x v="1"/>
    <d v="2020-08-26T00:00:00"/>
    <d v="2021-03-11T00:00:00"/>
    <n v="15"/>
    <s v="Churned"/>
    <s v="Facebook"/>
    <s v="Aug-2020"/>
    <s v="Mar-2021"/>
    <s v="Spain"/>
    <s v="Healthcare"/>
    <s v="Large"/>
    <n v="2020"/>
  </r>
  <r>
    <s v="C0335"/>
    <x v="2"/>
    <d v="2023-11-19T00:00:00"/>
    <d v="2024-09-21T00:00:00"/>
    <n v="25"/>
    <s v="Churned"/>
    <s v="Instagram"/>
    <s v="Nov-2023"/>
    <s v="Sep-2024"/>
    <s v="Spain"/>
    <s v="Healthcare"/>
    <s v="Medium"/>
    <n v="2023"/>
  </r>
  <r>
    <s v="C0336"/>
    <x v="2"/>
    <d v="2021-11-15T00:00:00"/>
    <d v="2024-12-31T00:00:00"/>
    <n v="25"/>
    <s v="Active"/>
    <s v="Instagram"/>
    <s v="Nov-2021"/>
    <s v="Dec-2024"/>
    <s v="Italy"/>
    <s v="Tech"/>
    <s v="Enterprise"/>
    <n v="2021"/>
  </r>
  <r>
    <s v="C0337"/>
    <x v="1"/>
    <d v="2023-10-15T00:00:00"/>
    <d v="2024-12-31T00:00:00"/>
    <n v="15"/>
    <s v="Active"/>
    <s v="LinkedIn"/>
    <s v="Oct-2023"/>
    <s v="Dec-2024"/>
    <s v="Spain"/>
    <s v="Tech"/>
    <s v="Medium"/>
    <n v="2023"/>
  </r>
  <r>
    <s v="C0338"/>
    <x v="0"/>
    <d v="2023-11-13T00:00:00"/>
    <d v="2024-12-31T00:00:00"/>
    <n v="40"/>
    <s v="Active"/>
    <s v="Google"/>
    <s v="Nov-2023"/>
    <s v="Dec-2024"/>
    <s v="Sweden"/>
    <s v="Finance"/>
    <s v="Large"/>
    <n v="2023"/>
  </r>
  <r>
    <s v="C0339"/>
    <x v="2"/>
    <d v="2024-06-29T00:00:00"/>
    <d v="2024-12-31T00:00:00"/>
    <n v="25"/>
    <s v="Active"/>
    <s v="LinkedIn"/>
    <s v="Jun-2024"/>
    <s v="Dec-2024"/>
    <s v="Germany"/>
    <s v="Healthcare"/>
    <s v="Small"/>
    <n v="2024"/>
  </r>
  <r>
    <s v="C0340"/>
    <x v="1"/>
    <d v="2022-10-17T00:00:00"/>
    <d v="2024-05-12T00:00:00"/>
    <n v="15"/>
    <s v="Churned"/>
    <s v="Google"/>
    <s v="Oct-2022"/>
    <s v="May-2024"/>
    <s v="Spain"/>
    <s v="Tech"/>
    <s v="Large"/>
    <n v="2022"/>
  </r>
  <r>
    <s v="C0341"/>
    <x v="1"/>
    <d v="2022-08-10T00:00:00"/>
    <d v="2024-12-31T00:00:00"/>
    <n v="15"/>
    <s v="Active"/>
    <s v="Referral"/>
    <s v="Aug-2022"/>
    <s v="Dec-2024"/>
    <s v="Netherlands"/>
    <s v="Healthcare"/>
    <s v="Medium"/>
    <n v="2022"/>
  </r>
  <r>
    <s v="C0342"/>
    <x v="1"/>
    <d v="2022-11-01T00:00:00"/>
    <d v="2024-12-31T00:00:00"/>
    <n v="15"/>
    <s v="Active"/>
    <s v="Facebook"/>
    <s v="Nov-2022"/>
    <s v="Dec-2024"/>
    <s v="Germany"/>
    <s v="Retail"/>
    <s v="Large"/>
    <n v="2022"/>
  </r>
  <r>
    <s v="C0343"/>
    <x v="1"/>
    <d v="2021-11-18T00:00:00"/>
    <d v="2022-01-22T00:00:00"/>
    <n v="15"/>
    <s v="Churned"/>
    <s v="Google"/>
    <s v="Nov-2021"/>
    <s v="Jan-2022"/>
    <s v="Germany"/>
    <s v="Retail"/>
    <s v="Large"/>
    <n v="2021"/>
  </r>
  <r>
    <s v="C0344"/>
    <x v="1"/>
    <d v="2021-07-15T00:00:00"/>
    <d v="2022-07-09T00:00:00"/>
    <n v="15"/>
    <s v="Churned"/>
    <s v="LinkedIn"/>
    <s v="Jul-2021"/>
    <s v="Jul-2022"/>
    <s v="Italy"/>
    <s v="E-commerce"/>
    <s v="Small"/>
    <n v="2021"/>
  </r>
  <r>
    <s v="C0345"/>
    <x v="1"/>
    <d v="2022-10-24T00:00:00"/>
    <d v="2023-04-03T00:00:00"/>
    <n v="15"/>
    <s v="Churned"/>
    <s v="Facebook"/>
    <s v="Oct-2022"/>
    <s v="Apr-2023"/>
    <s v="Italy"/>
    <s v="Tech"/>
    <s v="Enterprise"/>
    <n v="2022"/>
  </r>
  <r>
    <s v="C0346"/>
    <x v="0"/>
    <d v="2022-11-24T00:00:00"/>
    <d v="2024-12-31T00:00:00"/>
    <n v="40"/>
    <s v="Active"/>
    <s v="Referral"/>
    <s v="Nov-2022"/>
    <s v="Dec-2024"/>
    <s v="France"/>
    <s v="Healthcare"/>
    <s v="Large"/>
    <n v="2022"/>
  </r>
  <r>
    <s v="C0347"/>
    <x v="2"/>
    <d v="2023-05-05T00:00:00"/>
    <d v="2024-12-26T00:00:00"/>
    <n v="25"/>
    <s v="Churned"/>
    <s v="LinkedIn"/>
    <s v="May-2023"/>
    <s v="Dec-2024"/>
    <s v="Germany"/>
    <s v="Healthcare"/>
    <s v="Large"/>
    <n v="2023"/>
  </r>
  <r>
    <s v="C0348"/>
    <x v="1"/>
    <d v="2020-07-17T00:00:00"/>
    <d v="2021-02-18T00:00:00"/>
    <n v="15"/>
    <s v="Churned"/>
    <s v="Instagram"/>
    <s v="Jul-2020"/>
    <s v="Feb-2021"/>
    <s v="Germany"/>
    <s v="E-commerce"/>
    <s v="Enterprise"/>
    <n v="2020"/>
  </r>
  <r>
    <s v="C0349"/>
    <x v="1"/>
    <d v="2021-12-05T00:00:00"/>
    <d v="2022-04-01T00:00:00"/>
    <n v="15"/>
    <s v="Churned"/>
    <s v="Facebook"/>
    <s v="Dec-2021"/>
    <s v="Apr-2022"/>
    <s v="Netherlands"/>
    <s v="Education"/>
    <s v="Medium"/>
    <n v="2021"/>
  </r>
  <r>
    <s v="C0350"/>
    <x v="1"/>
    <d v="2020-04-29T00:00:00"/>
    <d v="2024-12-31T00:00:00"/>
    <n v="15"/>
    <s v="Active"/>
    <s v="LinkedIn"/>
    <s v="Apr-2020"/>
    <s v="Dec-2024"/>
    <s v="Sweden"/>
    <s v="Healthcare"/>
    <s v="Small"/>
    <n v="2020"/>
  </r>
  <r>
    <s v="C0351"/>
    <x v="2"/>
    <d v="2020-03-13T00:00:00"/>
    <d v="2024-12-31T00:00:00"/>
    <n v="25"/>
    <s v="Active"/>
    <s v="Referral"/>
    <s v="Mar-2020"/>
    <s v="Dec-2024"/>
    <s v="Sweden"/>
    <s v="Education"/>
    <s v="Enterprise"/>
    <n v="2020"/>
  </r>
  <r>
    <s v="C0352"/>
    <x v="1"/>
    <d v="2023-06-13T00:00:00"/>
    <d v="2024-12-31T00:00:00"/>
    <n v="15"/>
    <s v="Active"/>
    <s v="Instagram"/>
    <s v="Jun-2023"/>
    <s v="Dec-2024"/>
    <s v="Italy"/>
    <s v="E-commerce"/>
    <s v="Small"/>
    <n v="2023"/>
  </r>
  <r>
    <s v="C0353"/>
    <x v="0"/>
    <d v="2021-05-09T00:00:00"/>
    <d v="2024-12-31T00:00:00"/>
    <n v="40"/>
    <s v="Active"/>
    <s v="Google"/>
    <s v="May-2021"/>
    <s v="Dec-2024"/>
    <s v="Italy"/>
    <s v="Retail"/>
    <s v="Medium"/>
    <n v="2021"/>
  </r>
  <r>
    <s v="C0354"/>
    <x v="0"/>
    <d v="2020-02-03T00:00:00"/>
    <d v="2024-12-31T00:00:00"/>
    <n v="40"/>
    <s v="Active"/>
    <s v="Instagram"/>
    <s v="Feb-2020"/>
    <s v="Dec-2024"/>
    <s v="Spain"/>
    <s v="Healthcare"/>
    <s v="Medium"/>
    <n v="2020"/>
  </r>
  <r>
    <s v="C0355"/>
    <x v="2"/>
    <d v="2022-12-16T00:00:00"/>
    <d v="2024-10-22T00:00:00"/>
    <n v="25"/>
    <s v="Churned"/>
    <s v="LinkedIn"/>
    <s v="Dec-2022"/>
    <s v="Oct-2024"/>
    <s v="Sweden"/>
    <s v="Retail"/>
    <s v="Medium"/>
    <n v="2022"/>
  </r>
  <r>
    <s v="C0356"/>
    <x v="1"/>
    <d v="2020-10-30T00:00:00"/>
    <d v="2021-03-10T00:00:00"/>
    <n v="15"/>
    <s v="Churned"/>
    <s v="Instagram"/>
    <s v="Oct-2020"/>
    <s v="Mar-2021"/>
    <s v="Germany"/>
    <s v="E-commerce"/>
    <s v="Large"/>
    <n v="2020"/>
  </r>
  <r>
    <s v="C0357"/>
    <x v="0"/>
    <d v="2020-05-09T00:00:00"/>
    <d v="2021-05-30T00:00:00"/>
    <n v="40"/>
    <s v="Churned"/>
    <s v="Instagram"/>
    <s v="May-2020"/>
    <s v="May-2021"/>
    <s v="Sweden"/>
    <s v="Education"/>
    <s v="Medium"/>
    <n v="2020"/>
  </r>
  <r>
    <s v="C0358"/>
    <x v="0"/>
    <d v="2023-10-09T00:00:00"/>
    <d v="2024-12-31T00:00:00"/>
    <n v="40"/>
    <s v="Churned"/>
    <s v="Referral"/>
    <s v="Oct-2023"/>
    <s v="Dec-2024"/>
    <s v="Italy"/>
    <s v="Education"/>
    <s v="Small"/>
    <n v="2023"/>
  </r>
  <r>
    <s v="C0359"/>
    <x v="0"/>
    <d v="2024-01-03T00:00:00"/>
    <d v="2024-12-31T00:00:00"/>
    <n v="40"/>
    <s v="Active"/>
    <s v="Facebook"/>
    <s v="Jan-2024"/>
    <s v="Dec-2024"/>
    <s v="France"/>
    <s v="E-commerce"/>
    <s v="Enterprise"/>
    <n v="2024"/>
  </r>
  <r>
    <s v="C0360"/>
    <x v="0"/>
    <d v="2020-03-03T00:00:00"/>
    <d v="2024-12-31T00:00:00"/>
    <n v="40"/>
    <s v="Active"/>
    <s v="Referral"/>
    <s v="Mar-2020"/>
    <s v="Dec-2024"/>
    <s v="Italy"/>
    <s v="Tech"/>
    <s v="Small"/>
    <n v="2020"/>
  </r>
  <r>
    <s v="C0361"/>
    <x v="0"/>
    <d v="2020-09-06T00:00:00"/>
    <d v="2024-12-31T00:00:00"/>
    <n v="40"/>
    <s v="Active"/>
    <s v="Facebook"/>
    <s v="Sep-2020"/>
    <s v="Dec-2024"/>
    <s v="Italy"/>
    <s v="Tech"/>
    <s v="Small"/>
    <n v="2020"/>
  </r>
  <r>
    <s v="C0362"/>
    <x v="0"/>
    <d v="2020-02-02T00:00:00"/>
    <d v="2024-12-31T00:00:00"/>
    <n v="40"/>
    <s v="Active"/>
    <s v="LinkedIn"/>
    <s v="Feb-2020"/>
    <s v="Dec-2024"/>
    <s v="Sweden"/>
    <s v="Retail"/>
    <s v="Enterprise"/>
    <n v="2020"/>
  </r>
  <r>
    <s v="C0363"/>
    <x v="1"/>
    <d v="2020-11-06T00:00:00"/>
    <d v="2024-12-31T00:00:00"/>
    <n v="15"/>
    <s v="Active"/>
    <s v="Referral"/>
    <s v="Nov-2020"/>
    <s v="Dec-2024"/>
    <s v="France"/>
    <s v="Healthcare"/>
    <s v="Large"/>
    <n v="2020"/>
  </r>
  <r>
    <s v="C0364"/>
    <x v="1"/>
    <d v="2023-09-17T00:00:00"/>
    <d v="2024-12-31T00:00:00"/>
    <n v="15"/>
    <s v="Active"/>
    <s v="Google"/>
    <s v="Sep-2023"/>
    <s v="Dec-2024"/>
    <s v="Sweden"/>
    <s v="E-commerce"/>
    <s v="Large"/>
    <n v="2023"/>
  </r>
  <r>
    <s v="C0365"/>
    <x v="2"/>
    <d v="2023-09-30T00:00:00"/>
    <d v="2024-12-31T00:00:00"/>
    <n v="25"/>
    <s v="Active"/>
    <s v="Google"/>
    <s v="Sep-2023"/>
    <s v="Dec-2024"/>
    <s v="Sweden"/>
    <s v="Education"/>
    <s v="Enterprise"/>
    <n v="2023"/>
  </r>
  <r>
    <s v="C0366"/>
    <x v="2"/>
    <d v="2024-04-11T00:00:00"/>
    <d v="2024-12-31T00:00:00"/>
    <n v="25"/>
    <s v="Active"/>
    <s v="Referral"/>
    <s v="Apr-2024"/>
    <s v="Dec-2024"/>
    <s v="Sweden"/>
    <s v="Tech"/>
    <s v="Small"/>
    <n v="2024"/>
  </r>
  <r>
    <s v="C0367"/>
    <x v="0"/>
    <d v="2021-08-30T00:00:00"/>
    <d v="2024-12-31T00:00:00"/>
    <n v="40"/>
    <s v="Active"/>
    <s v="Referral"/>
    <s v="Aug-2021"/>
    <s v="Dec-2024"/>
    <s v="Spain"/>
    <s v="E-commerce"/>
    <s v="Enterprise"/>
    <n v="2021"/>
  </r>
  <r>
    <s v="C0368"/>
    <x v="0"/>
    <d v="2021-10-17T00:00:00"/>
    <d v="2024-12-31T00:00:00"/>
    <n v="40"/>
    <s v="Active"/>
    <s v="Facebook"/>
    <s v="Oct-2021"/>
    <s v="Dec-2024"/>
    <s v="Spain"/>
    <s v="Healthcare"/>
    <s v="Large"/>
    <n v="2021"/>
  </r>
  <r>
    <s v="C0369"/>
    <x v="2"/>
    <d v="2021-02-22T00:00:00"/>
    <d v="2024-12-31T00:00:00"/>
    <n v="25"/>
    <s v="Active"/>
    <s v="Instagram"/>
    <s v="Feb-2021"/>
    <s v="Dec-2024"/>
    <s v="Spain"/>
    <s v="Tech"/>
    <s v="Large"/>
    <n v="2021"/>
  </r>
  <r>
    <s v="C0370"/>
    <x v="0"/>
    <d v="2021-06-27T00:00:00"/>
    <d v="2022-05-31T00:00:00"/>
    <n v="40"/>
    <s v="Churned"/>
    <s v="Facebook"/>
    <s v="Jun-2021"/>
    <s v="May-2022"/>
    <s v="France"/>
    <s v="Finance"/>
    <s v="Enterprise"/>
    <n v="2021"/>
  </r>
  <r>
    <s v="C0371"/>
    <x v="1"/>
    <d v="2023-12-21T00:00:00"/>
    <d v="2024-05-02T00:00:00"/>
    <n v="15"/>
    <s v="Churned"/>
    <s v="Facebook"/>
    <s v="Dec-2023"/>
    <s v="May-2024"/>
    <s v="Italy"/>
    <s v="Finance"/>
    <s v="Medium"/>
    <n v="2023"/>
  </r>
  <r>
    <s v="C0372"/>
    <x v="0"/>
    <d v="2022-12-14T00:00:00"/>
    <d v="2024-12-31T00:00:00"/>
    <n v="40"/>
    <s v="Active"/>
    <s v="Facebook"/>
    <s v="Dec-2022"/>
    <s v="Dec-2024"/>
    <s v="Spain"/>
    <s v="Education"/>
    <s v="Enterprise"/>
    <n v="2022"/>
  </r>
  <r>
    <s v="C0373"/>
    <x v="0"/>
    <d v="2023-09-06T00:00:00"/>
    <d v="2024-12-31T00:00:00"/>
    <n v="40"/>
    <s v="Churned"/>
    <s v="Referral"/>
    <s v="Sep-2023"/>
    <s v="Dec-2024"/>
    <s v="France"/>
    <s v="Finance"/>
    <s v="Medium"/>
    <n v="2023"/>
  </r>
  <r>
    <s v="C0374"/>
    <x v="2"/>
    <d v="2020-05-12T00:00:00"/>
    <d v="2021-03-13T00:00:00"/>
    <n v="25"/>
    <s v="Churned"/>
    <s v="LinkedIn"/>
    <s v="May-2020"/>
    <s v="Mar-2021"/>
    <s v="Netherlands"/>
    <s v="Education"/>
    <s v="Small"/>
    <n v="2020"/>
  </r>
  <r>
    <s v="C0375"/>
    <x v="1"/>
    <d v="2022-07-03T00:00:00"/>
    <d v="2023-11-20T00:00:00"/>
    <n v="15"/>
    <s v="Churned"/>
    <s v="Instagram"/>
    <s v="Jul-2022"/>
    <s v="Nov-2023"/>
    <s v="Italy"/>
    <s v="Healthcare"/>
    <s v="Large"/>
    <n v="2022"/>
  </r>
  <r>
    <s v="C0376"/>
    <x v="0"/>
    <d v="2023-04-28T00:00:00"/>
    <d v="2024-12-31T00:00:00"/>
    <n v="40"/>
    <s v="Active"/>
    <s v="Referral"/>
    <s v="Apr-2023"/>
    <s v="Dec-2024"/>
    <s v="Netherlands"/>
    <s v="Finance"/>
    <s v="Enterprise"/>
    <n v="2023"/>
  </r>
  <r>
    <s v="C0377"/>
    <x v="1"/>
    <d v="2021-04-25T00:00:00"/>
    <d v="2024-12-31T00:00:00"/>
    <n v="15"/>
    <s v="Active"/>
    <s v="Instagram"/>
    <s v="Apr-2021"/>
    <s v="Dec-2024"/>
    <s v="France"/>
    <s v="Healthcare"/>
    <s v="Small"/>
    <n v="2021"/>
  </r>
  <r>
    <s v="C0378"/>
    <x v="0"/>
    <d v="2021-05-24T00:00:00"/>
    <d v="2024-12-31T00:00:00"/>
    <n v="40"/>
    <s v="Active"/>
    <s v="Instagram"/>
    <s v="May-2021"/>
    <s v="Dec-2024"/>
    <s v="Germany"/>
    <s v="Education"/>
    <s v="Medium"/>
    <n v="2021"/>
  </r>
  <r>
    <s v="C0379"/>
    <x v="0"/>
    <d v="2022-05-18T00:00:00"/>
    <d v="2024-07-27T00:00:00"/>
    <n v="40"/>
    <s v="Churned"/>
    <s v="Instagram"/>
    <s v="May-2022"/>
    <s v="Jul-2024"/>
    <s v="France"/>
    <s v="Tech"/>
    <s v="Medium"/>
    <n v="2022"/>
  </r>
  <r>
    <s v="C0380"/>
    <x v="1"/>
    <d v="2021-11-15T00:00:00"/>
    <d v="2024-12-31T00:00:00"/>
    <n v="15"/>
    <s v="Active"/>
    <s v="LinkedIn"/>
    <s v="Nov-2021"/>
    <s v="Dec-2024"/>
    <s v="Sweden"/>
    <s v="Healthcare"/>
    <s v="Enterprise"/>
    <n v="2021"/>
  </r>
  <r>
    <s v="C0381"/>
    <x v="2"/>
    <d v="2022-01-28T00:00:00"/>
    <d v="2024-12-31T00:00:00"/>
    <n v="25"/>
    <s v="Active"/>
    <s v="LinkedIn"/>
    <s v="Jan-2022"/>
    <s v="Dec-2024"/>
    <s v="Sweden"/>
    <s v="Education"/>
    <s v="Enterprise"/>
    <n v="2022"/>
  </r>
  <r>
    <s v="C0382"/>
    <x v="0"/>
    <d v="2021-08-06T00:00:00"/>
    <d v="2024-12-31T00:00:00"/>
    <n v="40"/>
    <s v="Active"/>
    <s v="Instagram"/>
    <s v="Aug-2021"/>
    <s v="Dec-2024"/>
    <s v="Italy"/>
    <s v="E-commerce"/>
    <s v="Small"/>
    <n v="2021"/>
  </r>
  <r>
    <s v="C0383"/>
    <x v="1"/>
    <d v="2021-04-06T00:00:00"/>
    <d v="2023-05-02T00:00:00"/>
    <n v="15"/>
    <s v="Churned"/>
    <s v="LinkedIn"/>
    <s v="Apr-2021"/>
    <s v="May-2023"/>
    <s v="Spain"/>
    <s v="Tech"/>
    <s v="Enterprise"/>
    <n v="2021"/>
  </r>
  <r>
    <s v="C0384"/>
    <x v="2"/>
    <d v="2021-03-28T00:00:00"/>
    <d v="2024-12-31T00:00:00"/>
    <n v="25"/>
    <s v="Active"/>
    <s v="Google"/>
    <s v="Mar-2021"/>
    <s v="Dec-2024"/>
    <s v="Netherlands"/>
    <s v="Tech"/>
    <s v="Medium"/>
    <n v="2021"/>
  </r>
  <r>
    <s v="C0385"/>
    <x v="0"/>
    <d v="2021-07-08T00:00:00"/>
    <d v="2024-12-31T00:00:00"/>
    <n v="40"/>
    <s v="Active"/>
    <s v="Google"/>
    <s v="Jul-2021"/>
    <s v="Dec-2024"/>
    <s v="Netherlands"/>
    <s v="Finance"/>
    <s v="Large"/>
    <n v="2021"/>
  </r>
  <r>
    <s v="C0386"/>
    <x v="1"/>
    <d v="2024-01-19T00:00:00"/>
    <d v="2024-12-31T00:00:00"/>
    <n v="15"/>
    <s v="Churned"/>
    <s v="Instagram"/>
    <s v="Jan-2024"/>
    <s v="Dec-2024"/>
    <s v="Germany"/>
    <s v="Education"/>
    <s v="Medium"/>
    <n v="2024"/>
  </r>
  <r>
    <s v="C0387"/>
    <x v="1"/>
    <d v="2024-04-03T00:00:00"/>
    <d v="2024-12-31T00:00:00"/>
    <n v="15"/>
    <s v="Active"/>
    <s v="Facebook"/>
    <s v="Apr-2024"/>
    <s v="Dec-2024"/>
    <s v="Spain"/>
    <s v="E-commerce"/>
    <s v="Enterprise"/>
    <n v="2024"/>
  </r>
  <r>
    <s v="C0388"/>
    <x v="2"/>
    <d v="2020-06-04T00:00:00"/>
    <d v="2022-10-08T00:00:00"/>
    <n v="25"/>
    <s v="Churned"/>
    <s v="LinkedIn"/>
    <s v="Jun-2020"/>
    <s v="Oct-2022"/>
    <s v="Sweden"/>
    <s v="Retail"/>
    <s v="Large"/>
    <n v="2020"/>
  </r>
  <r>
    <s v="C0389"/>
    <x v="1"/>
    <d v="2024-01-19T00:00:00"/>
    <d v="2024-07-26T00:00:00"/>
    <n v="15"/>
    <s v="Churned"/>
    <s v="Facebook"/>
    <s v="Jan-2024"/>
    <s v="Jul-2024"/>
    <s v="Spain"/>
    <s v="Finance"/>
    <s v="Medium"/>
    <n v="2024"/>
  </r>
  <r>
    <s v="C0390"/>
    <x v="2"/>
    <d v="2021-10-22T00:00:00"/>
    <d v="2024-12-31T00:00:00"/>
    <n v="25"/>
    <s v="Active"/>
    <s v="Referral"/>
    <s v="Oct-2021"/>
    <s v="Dec-2024"/>
    <s v="France"/>
    <s v="Finance"/>
    <s v="Medium"/>
    <n v="2021"/>
  </r>
  <r>
    <s v="C0391"/>
    <x v="2"/>
    <d v="2022-09-23T00:00:00"/>
    <d v="2024-12-31T00:00:00"/>
    <n v="25"/>
    <s v="Active"/>
    <s v="Referral"/>
    <s v="Sep-2022"/>
    <s v="Dec-2024"/>
    <s v="Netherlands"/>
    <s v="Tech"/>
    <s v="Medium"/>
    <n v="2022"/>
  </r>
  <r>
    <s v="C0392"/>
    <x v="2"/>
    <d v="2022-10-24T00:00:00"/>
    <d v="2024-12-31T00:00:00"/>
    <n v="25"/>
    <s v="Churned"/>
    <s v="Facebook"/>
    <s v="Oct-2022"/>
    <s v="Dec-2024"/>
    <s v="Netherlands"/>
    <s v="Healthcare"/>
    <s v="Medium"/>
    <n v="2022"/>
  </r>
  <r>
    <s v="C0393"/>
    <x v="0"/>
    <d v="2024-01-24T00:00:00"/>
    <d v="2024-12-31T00:00:00"/>
    <n v="40"/>
    <s v="Churned"/>
    <s v="Facebook"/>
    <s v="Jan-2024"/>
    <s v="Dec-2024"/>
    <s v="Germany"/>
    <s v="E-commerce"/>
    <s v="Small"/>
    <n v="2024"/>
  </r>
  <r>
    <s v="C0394"/>
    <x v="1"/>
    <d v="2023-03-12T00:00:00"/>
    <d v="2024-12-31T00:00:00"/>
    <n v="15"/>
    <s v="Active"/>
    <s v="Google"/>
    <s v="Mar-2023"/>
    <s v="Dec-2024"/>
    <s v="Sweden"/>
    <s v="E-commerce"/>
    <s v="Small"/>
    <n v="2023"/>
  </r>
  <r>
    <s v="C0395"/>
    <x v="1"/>
    <d v="2020-02-26T00:00:00"/>
    <d v="2024-12-31T00:00:00"/>
    <n v="15"/>
    <s v="Active"/>
    <s v="Google"/>
    <s v="Feb-2020"/>
    <s v="Dec-2024"/>
    <s v="France"/>
    <s v="Retail"/>
    <s v="Small"/>
    <n v="2020"/>
  </r>
  <r>
    <s v="C0396"/>
    <x v="1"/>
    <d v="2022-01-14T00:00:00"/>
    <d v="2024-12-31T00:00:00"/>
    <n v="15"/>
    <s v="Active"/>
    <s v="Instagram"/>
    <s v="Jan-2022"/>
    <s v="Dec-2024"/>
    <s v="Netherlands"/>
    <s v="Retail"/>
    <s v="Enterprise"/>
    <n v="2022"/>
  </r>
  <r>
    <s v="C0397"/>
    <x v="2"/>
    <d v="2023-09-14T00:00:00"/>
    <d v="2024-12-31T00:00:00"/>
    <n v="25"/>
    <s v="Active"/>
    <s v="Referral"/>
    <s v="Sep-2023"/>
    <s v="Dec-2024"/>
    <s v="France"/>
    <s v="Finance"/>
    <s v="Medium"/>
    <n v="2023"/>
  </r>
  <r>
    <s v="C0398"/>
    <x v="1"/>
    <d v="2021-05-07T00:00:00"/>
    <d v="2024-12-31T00:00:00"/>
    <n v="15"/>
    <s v="Active"/>
    <s v="Facebook"/>
    <s v="May-2021"/>
    <s v="Dec-2024"/>
    <s v="Sweden"/>
    <s v="Education"/>
    <s v="Large"/>
    <n v="2021"/>
  </r>
  <r>
    <s v="C0399"/>
    <x v="1"/>
    <d v="2022-12-02T00:00:00"/>
    <d v="2024-06-11T00:00:00"/>
    <n v="15"/>
    <s v="Churned"/>
    <s v="Google"/>
    <s v="Dec-2022"/>
    <s v="Jun-2024"/>
    <s v="Germany"/>
    <s v="Healthcare"/>
    <s v="Enterprise"/>
    <n v="2022"/>
  </r>
  <r>
    <s v="C0400"/>
    <x v="2"/>
    <d v="2022-11-24T00:00:00"/>
    <d v="2024-12-31T00:00:00"/>
    <n v="25"/>
    <s v="Active"/>
    <s v="Instagram"/>
    <s v="Nov-2022"/>
    <s v="Dec-2024"/>
    <s v="Sweden"/>
    <s v="Tech"/>
    <s v="Enterprise"/>
    <n v="2022"/>
  </r>
  <r>
    <s v="C0401"/>
    <x v="2"/>
    <d v="2021-06-14T00:00:00"/>
    <d v="2024-12-31T00:00:00"/>
    <n v="25"/>
    <s v="Active"/>
    <s v="Facebook"/>
    <s v="Jun-2021"/>
    <s v="Dec-2024"/>
    <s v="Italy"/>
    <s v="Retail"/>
    <s v="Small"/>
    <n v="2021"/>
  </r>
  <r>
    <s v="C0402"/>
    <x v="2"/>
    <d v="2020-09-08T00:00:00"/>
    <d v="2024-12-31T00:00:00"/>
    <n v="25"/>
    <s v="Active"/>
    <s v="Google"/>
    <s v="Sep-2020"/>
    <s v="Dec-2024"/>
    <s v="Germany"/>
    <s v="E-commerce"/>
    <s v="Large"/>
    <n v="2020"/>
  </r>
  <r>
    <s v="C0403"/>
    <x v="2"/>
    <d v="2020-09-09T00:00:00"/>
    <d v="2024-12-31T00:00:00"/>
    <n v="25"/>
    <s v="Active"/>
    <s v="Google"/>
    <s v="Sep-2020"/>
    <s v="Dec-2024"/>
    <s v="Netherlands"/>
    <s v="Retail"/>
    <s v="Enterprise"/>
    <n v="2020"/>
  </r>
  <r>
    <s v="C0404"/>
    <x v="2"/>
    <d v="2021-06-14T00:00:00"/>
    <d v="2024-12-31T00:00:00"/>
    <n v="25"/>
    <s v="Active"/>
    <s v="Referral"/>
    <s v="Jun-2021"/>
    <s v="Dec-2024"/>
    <s v="Netherlands"/>
    <s v="Tech"/>
    <s v="Medium"/>
    <n v="2021"/>
  </r>
  <r>
    <s v="C0405"/>
    <x v="2"/>
    <d v="2020-11-05T00:00:00"/>
    <d v="2024-12-31T00:00:00"/>
    <n v="25"/>
    <s v="Active"/>
    <s v="Instagram"/>
    <s v="Nov-2020"/>
    <s v="Dec-2024"/>
    <s v="Netherlands"/>
    <s v="Education"/>
    <s v="Small"/>
    <n v="2020"/>
  </r>
  <r>
    <s v="C0406"/>
    <x v="2"/>
    <d v="2020-03-05T00:00:00"/>
    <d v="2024-12-31T00:00:00"/>
    <n v="25"/>
    <s v="Active"/>
    <s v="Instagram"/>
    <s v="Mar-2020"/>
    <s v="Dec-2024"/>
    <s v="Italy"/>
    <s v="Tech"/>
    <s v="Small"/>
    <n v="2020"/>
  </r>
  <r>
    <s v="C0407"/>
    <x v="0"/>
    <d v="2021-12-08T00:00:00"/>
    <d v="2024-12-31T00:00:00"/>
    <n v="40"/>
    <s v="Active"/>
    <s v="Facebook"/>
    <s v="Dec-2021"/>
    <s v="Dec-2024"/>
    <s v="Netherlands"/>
    <s v="Retail"/>
    <s v="Enterprise"/>
    <n v="2021"/>
  </r>
  <r>
    <s v="C0408"/>
    <x v="0"/>
    <d v="2021-06-05T00:00:00"/>
    <d v="2024-12-31T00:00:00"/>
    <n v="40"/>
    <s v="Active"/>
    <s v="Google"/>
    <s v="Jun-2021"/>
    <s v="Dec-2024"/>
    <s v="Netherlands"/>
    <s v="Finance"/>
    <s v="Medium"/>
    <n v="2021"/>
  </r>
  <r>
    <s v="C0409"/>
    <x v="2"/>
    <d v="2022-01-29T00:00:00"/>
    <d v="2024-12-31T00:00:00"/>
    <n v="25"/>
    <s v="Active"/>
    <s v="LinkedIn"/>
    <s v="Jan-2022"/>
    <s v="Dec-2024"/>
    <s v="Netherlands"/>
    <s v="Retail"/>
    <s v="Enterprise"/>
    <n v="2022"/>
  </r>
  <r>
    <s v="C0410"/>
    <x v="1"/>
    <d v="2023-12-30T00:00:00"/>
    <d v="2024-12-31T00:00:00"/>
    <n v="15"/>
    <s v="Active"/>
    <s v="Referral"/>
    <s v="Dec-2023"/>
    <s v="Dec-2024"/>
    <s v="Germany"/>
    <s v="Tech"/>
    <s v="Small"/>
    <n v="2023"/>
  </r>
  <r>
    <s v="C0411"/>
    <x v="2"/>
    <d v="2023-07-12T00:00:00"/>
    <d v="2024-12-31T00:00:00"/>
    <n v="25"/>
    <s v="Active"/>
    <s v="LinkedIn"/>
    <s v="Jul-2023"/>
    <s v="Dec-2024"/>
    <s v="Italy"/>
    <s v="E-commerce"/>
    <s v="Large"/>
    <n v="2023"/>
  </r>
  <r>
    <s v="C0412"/>
    <x v="1"/>
    <d v="2021-02-20T00:00:00"/>
    <d v="2024-12-31T00:00:00"/>
    <n v="15"/>
    <s v="Active"/>
    <s v="Referral"/>
    <s v="Feb-2021"/>
    <s v="Dec-2024"/>
    <s v="Italy"/>
    <s v="Education"/>
    <s v="Small"/>
    <n v="2021"/>
  </r>
  <r>
    <s v="C0413"/>
    <x v="1"/>
    <d v="2022-09-13T00:00:00"/>
    <d v="2024-12-31T00:00:00"/>
    <n v="15"/>
    <s v="Active"/>
    <s v="Google"/>
    <s v="Sep-2022"/>
    <s v="Dec-2024"/>
    <s v="Netherlands"/>
    <s v="E-commerce"/>
    <s v="Large"/>
    <n v="2022"/>
  </r>
  <r>
    <s v="C0414"/>
    <x v="1"/>
    <d v="2021-11-17T00:00:00"/>
    <d v="2024-12-31T00:00:00"/>
    <n v="15"/>
    <s v="Active"/>
    <s v="Google"/>
    <s v="Nov-2021"/>
    <s v="Dec-2024"/>
    <s v="Germany"/>
    <s v="Tech"/>
    <s v="Medium"/>
    <n v="2021"/>
  </r>
  <r>
    <s v="C0415"/>
    <x v="2"/>
    <d v="2020-06-28T00:00:00"/>
    <d v="2024-12-31T00:00:00"/>
    <n v="25"/>
    <s v="Active"/>
    <s v="Referral"/>
    <s v="Jun-2020"/>
    <s v="Dec-2024"/>
    <s v="Italy"/>
    <s v="E-commerce"/>
    <s v="Large"/>
    <n v="2020"/>
  </r>
  <r>
    <s v="C0416"/>
    <x v="0"/>
    <d v="2022-10-02T00:00:00"/>
    <d v="2024-12-31T00:00:00"/>
    <n v="40"/>
    <s v="Active"/>
    <s v="LinkedIn"/>
    <s v="Oct-2022"/>
    <s v="Dec-2024"/>
    <s v="Sweden"/>
    <s v="Retail"/>
    <s v="Small"/>
    <n v="2022"/>
  </r>
  <r>
    <s v="C0417"/>
    <x v="2"/>
    <d v="2023-04-15T00:00:00"/>
    <d v="2024-12-31T00:00:00"/>
    <n v="25"/>
    <s v="Active"/>
    <s v="Instagram"/>
    <s v="Apr-2023"/>
    <s v="Dec-2024"/>
    <s v="Sweden"/>
    <s v="Education"/>
    <s v="Large"/>
    <n v="2023"/>
  </r>
  <r>
    <s v="C0418"/>
    <x v="0"/>
    <d v="2023-10-06T00:00:00"/>
    <d v="2024-12-31T00:00:00"/>
    <n v="40"/>
    <s v="Churned"/>
    <s v="Referral"/>
    <s v="Oct-2023"/>
    <s v="Dec-2024"/>
    <s v="Netherlands"/>
    <s v="Healthcare"/>
    <s v="Small"/>
    <n v="2023"/>
  </r>
  <r>
    <s v="C0419"/>
    <x v="1"/>
    <d v="2023-06-14T00:00:00"/>
    <d v="2024-07-31T00:00:00"/>
    <n v="15"/>
    <s v="Churned"/>
    <s v="Google"/>
    <s v="Jun-2023"/>
    <s v="Jul-2024"/>
    <s v="Netherlands"/>
    <s v="Education"/>
    <s v="Large"/>
    <n v="2023"/>
  </r>
  <r>
    <s v="C0420"/>
    <x v="0"/>
    <d v="2023-09-07T00:00:00"/>
    <d v="2024-06-21T00:00:00"/>
    <n v="40"/>
    <s v="Churned"/>
    <s v="Instagram"/>
    <s v="Sep-2023"/>
    <s v="Jun-2024"/>
    <s v="Spain"/>
    <s v="Finance"/>
    <s v="Medium"/>
    <n v="2023"/>
  </r>
  <r>
    <s v="C0421"/>
    <x v="0"/>
    <d v="2020-02-26T00:00:00"/>
    <d v="2024-12-31T00:00:00"/>
    <n v="40"/>
    <s v="Active"/>
    <s v="LinkedIn"/>
    <s v="Feb-2020"/>
    <s v="Dec-2024"/>
    <s v="Italy"/>
    <s v="Tech"/>
    <s v="Medium"/>
    <n v="2020"/>
  </r>
  <r>
    <s v="C0422"/>
    <x v="0"/>
    <d v="2020-08-11T00:00:00"/>
    <d v="2022-12-13T00:00:00"/>
    <n v="40"/>
    <s v="Churned"/>
    <s v="Facebook"/>
    <s v="Aug-2020"/>
    <s v="Dec-2022"/>
    <s v="Netherlands"/>
    <s v="Education"/>
    <s v="Small"/>
    <n v="2020"/>
  </r>
  <r>
    <s v="C0423"/>
    <x v="2"/>
    <d v="2022-10-17T00:00:00"/>
    <d v="2024-12-31T00:00:00"/>
    <n v="25"/>
    <s v="Active"/>
    <s v="Facebook"/>
    <s v="Oct-2022"/>
    <s v="Dec-2024"/>
    <s v="France"/>
    <s v="Finance"/>
    <s v="Medium"/>
    <n v="2022"/>
  </r>
  <r>
    <s v="C0424"/>
    <x v="0"/>
    <d v="2020-11-22T00:00:00"/>
    <d v="2024-12-31T00:00:00"/>
    <n v="40"/>
    <s v="Active"/>
    <s v="LinkedIn"/>
    <s v="Nov-2020"/>
    <s v="Dec-2024"/>
    <s v="Italy"/>
    <s v="Education"/>
    <s v="Small"/>
    <n v="2020"/>
  </r>
  <r>
    <s v="C0425"/>
    <x v="2"/>
    <d v="2023-04-23T00:00:00"/>
    <d v="2024-12-31T00:00:00"/>
    <n v="25"/>
    <s v="Churned"/>
    <s v="LinkedIn"/>
    <s v="Apr-2023"/>
    <s v="Dec-2024"/>
    <s v="Sweden"/>
    <s v="Healthcare"/>
    <s v="Small"/>
    <n v="2023"/>
  </r>
  <r>
    <s v="C0426"/>
    <x v="0"/>
    <d v="2021-03-19T00:00:00"/>
    <d v="2024-12-31T00:00:00"/>
    <n v="40"/>
    <s v="Active"/>
    <s v="Instagram"/>
    <s v="Mar-2021"/>
    <s v="Dec-2024"/>
    <s v="Netherlands"/>
    <s v="Finance"/>
    <s v="Enterprise"/>
    <n v="2021"/>
  </r>
  <r>
    <s v="C0427"/>
    <x v="1"/>
    <d v="2020-04-27T00:00:00"/>
    <d v="2024-12-31T00:00:00"/>
    <n v="15"/>
    <s v="Active"/>
    <s v="LinkedIn"/>
    <s v="Apr-2020"/>
    <s v="Dec-2024"/>
    <s v="Germany"/>
    <s v="Tech"/>
    <s v="Medium"/>
    <n v="2020"/>
  </r>
  <r>
    <s v="C0428"/>
    <x v="2"/>
    <d v="2021-06-06T00:00:00"/>
    <d v="2021-12-25T00:00:00"/>
    <n v="25"/>
    <s v="Churned"/>
    <s v="Facebook"/>
    <s v="Jun-2021"/>
    <s v="Dec-2021"/>
    <s v="Germany"/>
    <s v="Education"/>
    <s v="Medium"/>
    <n v="2021"/>
  </r>
  <r>
    <s v="C0429"/>
    <x v="0"/>
    <d v="2022-07-17T00:00:00"/>
    <d v="2023-10-22T00:00:00"/>
    <n v="40"/>
    <s v="Churned"/>
    <s v="Facebook"/>
    <s v="Jul-2022"/>
    <s v="Oct-2023"/>
    <s v="Italy"/>
    <s v="Education"/>
    <s v="Enterprise"/>
    <n v="2022"/>
  </r>
  <r>
    <s v="C0430"/>
    <x v="0"/>
    <d v="2021-04-27T00:00:00"/>
    <d v="2024-12-31T00:00:00"/>
    <n v="40"/>
    <s v="Active"/>
    <s v="LinkedIn"/>
    <s v="Apr-2021"/>
    <s v="Dec-2024"/>
    <s v="Germany"/>
    <s v="Education"/>
    <s v="Large"/>
    <n v="2021"/>
  </r>
  <r>
    <s v="C0431"/>
    <x v="1"/>
    <d v="2023-05-18T00:00:00"/>
    <d v="2024-12-31T00:00:00"/>
    <n v="15"/>
    <s v="Churned"/>
    <s v="Facebook"/>
    <s v="May-2023"/>
    <s v="Dec-2024"/>
    <s v="Germany"/>
    <s v="Healthcare"/>
    <s v="Large"/>
    <n v="2023"/>
  </r>
  <r>
    <s v="C0432"/>
    <x v="1"/>
    <d v="2024-03-08T00:00:00"/>
    <d v="2024-12-31T00:00:00"/>
    <n v="15"/>
    <s v="Churned"/>
    <s v="LinkedIn"/>
    <s v="Mar-2024"/>
    <s v="Dec-2024"/>
    <s v="Italy"/>
    <s v="Retail"/>
    <s v="Small"/>
    <n v="2024"/>
  </r>
  <r>
    <s v="C0433"/>
    <x v="2"/>
    <d v="2023-05-17T00:00:00"/>
    <d v="2024-12-31T00:00:00"/>
    <n v="25"/>
    <s v="Active"/>
    <s v="Google"/>
    <s v="May-2023"/>
    <s v="Dec-2024"/>
    <s v="France"/>
    <s v="Finance"/>
    <s v="Enterprise"/>
    <n v="2023"/>
  </r>
  <r>
    <s v="C0434"/>
    <x v="1"/>
    <d v="2022-07-31T00:00:00"/>
    <d v="2024-12-31T00:00:00"/>
    <n v="15"/>
    <s v="Active"/>
    <s v="Google"/>
    <s v="Jul-2022"/>
    <s v="Dec-2024"/>
    <s v="Netherlands"/>
    <s v="Tech"/>
    <s v="Large"/>
    <n v="2022"/>
  </r>
  <r>
    <s v="C0435"/>
    <x v="1"/>
    <d v="2021-11-11T00:00:00"/>
    <d v="2024-12-31T00:00:00"/>
    <n v="15"/>
    <s v="Active"/>
    <s v="Instagram"/>
    <s v="Nov-2021"/>
    <s v="Dec-2024"/>
    <s v="France"/>
    <s v="Tech"/>
    <s v="Medium"/>
    <n v="2021"/>
  </r>
  <r>
    <s v="C0436"/>
    <x v="0"/>
    <d v="2023-03-03T00:00:00"/>
    <d v="2024-12-31T00:00:00"/>
    <n v="40"/>
    <s v="Active"/>
    <s v="Google"/>
    <s v="Mar-2023"/>
    <s v="Dec-2024"/>
    <s v="Italy"/>
    <s v="Tech"/>
    <s v="Enterprise"/>
    <n v="2023"/>
  </r>
  <r>
    <s v="C0437"/>
    <x v="2"/>
    <d v="2020-07-04T00:00:00"/>
    <d v="2021-01-05T00:00:00"/>
    <n v="25"/>
    <s v="Churned"/>
    <s v="Google"/>
    <s v="Jul-2020"/>
    <s v="Jan-2021"/>
    <s v="Netherlands"/>
    <s v="Retail"/>
    <s v="Small"/>
    <n v="2020"/>
  </r>
  <r>
    <s v="C0438"/>
    <x v="2"/>
    <d v="2023-12-12T00:00:00"/>
    <d v="2024-12-31T00:00:00"/>
    <n v="25"/>
    <s v="Active"/>
    <s v="LinkedIn"/>
    <s v="Dec-2023"/>
    <s v="Dec-2024"/>
    <s v="Spain"/>
    <s v="E-commerce"/>
    <s v="Enterprise"/>
    <n v="2023"/>
  </r>
  <r>
    <s v="C0439"/>
    <x v="2"/>
    <d v="2022-07-27T00:00:00"/>
    <d v="2024-12-31T00:00:00"/>
    <n v="25"/>
    <s v="Active"/>
    <s v="Instagram"/>
    <s v="Jul-2022"/>
    <s v="Dec-2024"/>
    <s v="Italy"/>
    <s v="Retail"/>
    <s v="Small"/>
    <n v="2022"/>
  </r>
  <r>
    <s v="C0440"/>
    <x v="1"/>
    <d v="2021-04-27T00:00:00"/>
    <d v="2022-03-06T00:00:00"/>
    <n v="15"/>
    <s v="Churned"/>
    <s v="LinkedIn"/>
    <s v="Apr-2021"/>
    <s v="Mar-2022"/>
    <s v="Italy"/>
    <s v="E-commerce"/>
    <s v="Large"/>
    <n v="2021"/>
  </r>
  <r>
    <s v="C0441"/>
    <x v="2"/>
    <d v="2024-01-25T00:00:00"/>
    <d v="2024-12-31T00:00:00"/>
    <n v="25"/>
    <s v="Active"/>
    <s v="Referral"/>
    <s v="Jan-2024"/>
    <s v="Dec-2024"/>
    <s v="Spain"/>
    <s v="Retail"/>
    <s v="Small"/>
    <n v="2024"/>
  </r>
  <r>
    <s v="C0442"/>
    <x v="2"/>
    <d v="2021-12-31T00:00:00"/>
    <d v="2024-12-31T00:00:00"/>
    <n v="25"/>
    <s v="Active"/>
    <s v="Facebook"/>
    <s v="Dec-2021"/>
    <s v="Dec-2024"/>
    <s v="Italy"/>
    <s v="E-commerce"/>
    <s v="Medium"/>
    <n v="2021"/>
  </r>
  <r>
    <s v="C0443"/>
    <x v="1"/>
    <d v="2020-02-23T00:00:00"/>
    <d v="2024-12-31T00:00:00"/>
    <n v="15"/>
    <s v="Active"/>
    <s v="Google"/>
    <s v="Feb-2020"/>
    <s v="Dec-2024"/>
    <s v="Italy"/>
    <s v="Healthcare"/>
    <s v="Enterprise"/>
    <n v="2020"/>
  </r>
  <r>
    <s v="C0444"/>
    <x v="2"/>
    <d v="2024-05-17T00:00:00"/>
    <d v="2024-12-31T00:00:00"/>
    <n v="25"/>
    <s v="Active"/>
    <s v="Referral"/>
    <s v="May-2024"/>
    <s v="Dec-2024"/>
    <s v="Spain"/>
    <s v="Healthcare"/>
    <s v="Enterprise"/>
    <n v="2024"/>
  </r>
  <r>
    <s v="C0445"/>
    <x v="0"/>
    <d v="2020-01-18T00:00:00"/>
    <d v="2024-12-31T00:00:00"/>
    <n v="40"/>
    <s v="Active"/>
    <s v="Google"/>
    <s v="Jan-2020"/>
    <s v="Dec-2024"/>
    <s v="Sweden"/>
    <s v="E-commerce"/>
    <s v="Enterprise"/>
    <n v="2020"/>
  </r>
  <r>
    <s v="C0446"/>
    <x v="1"/>
    <d v="2024-01-02T00:00:00"/>
    <d v="2024-12-31T00:00:00"/>
    <n v="15"/>
    <s v="Active"/>
    <s v="Facebook"/>
    <s v="Jan-2024"/>
    <s v="Dec-2024"/>
    <s v="Netherlands"/>
    <s v="Retail"/>
    <s v="Small"/>
    <n v="2024"/>
  </r>
  <r>
    <s v="C0447"/>
    <x v="2"/>
    <d v="2022-11-25T00:00:00"/>
    <d v="2024-12-31T00:00:00"/>
    <n v="25"/>
    <s v="Active"/>
    <s v="Referral"/>
    <s v="Nov-2022"/>
    <s v="Dec-2024"/>
    <s v="Italy"/>
    <s v="Tech"/>
    <s v="Medium"/>
    <n v="2022"/>
  </r>
  <r>
    <s v="C0448"/>
    <x v="0"/>
    <d v="2021-11-01T00:00:00"/>
    <d v="2024-12-31T00:00:00"/>
    <n v="40"/>
    <s v="Active"/>
    <s v="Google"/>
    <s v="Nov-2021"/>
    <s v="Dec-2024"/>
    <s v="Italy"/>
    <s v="Finance"/>
    <s v="Small"/>
    <n v="2021"/>
  </r>
  <r>
    <s v="C0449"/>
    <x v="2"/>
    <d v="2021-11-08T00:00:00"/>
    <d v="2024-12-31T00:00:00"/>
    <n v="25"/>
    <s v="Active"/>
    <s v="LinkedIn"/>
    <s v="Nov-2021"/>
    <s v="Dec-2024"/>
    <s v="Germany"/>
    <s v="E-commerce"/>
    <s v="Enterprise"/>
    <n v="2021"/>
  </r>
  <r>
    <s v="C0450"/>
    <x v="0"/>
    <d v="2021-07-19T00:00:00"/>
    <d v="2024-12-31T00:00:00"/>
    <n v="40"/>
    <s v="Active"/>
    <s v="LinkedIn"/>
    <s v="Jul-2021"/>
    <s v="Dec-2024"/>
    <s v="Sweden"/>
    <s v="Tech"/>
    <s v="Medium"/>
    <n v="2021"/>
  </r>
  <r>
    <s v="C0451"/>
    <x v="2"/>
    <d v="2023-03-12T00:00:00"/>
    <d v="2024-12-31T00:00:00"/>
    <n v="25"/>
    <s v="Active"/>
    <s v="Referral"/>
    <s v="Mar-2023"/>
    <s v="Dec-2024"/>
    <s v="Netherlands"/>
    <s v="Healthcare"/>
    <s v="Medium"/>
    <n v="2023"/>
  </r>
  <r>
    <s v="C0452"/>
    <x v="1"/>
    <d v="2022-06-08T00:00:00"/>
    <d v="2024-12-31T00:00:00"/>
    <n v="15"/>
    <s v="Active"/>
    <s v="LinkedIn"/>
    <s v="Jun-2022"/>
    <s v="Dec-2024"/>
    <s v="Spain"/>
    <s v="Finance"/>
    <s v="Medium"/>
    <n v="2022"/>
  </r>
  <r>
    <s v="C0453"/>
    <x v="0"/>
    <d v="2022-11-20T00:00:00"/>
    <d v="2023-08-03T00:00:00"/>
    <n v="40"/>
    <s v="Churned"/>
    <s v="LinkedIn"/>
    <s v="Nov-2022"/>
    <s v="Aug-2023"/>
    <s v="France"/>
    <s v="Healthcare"/>
    <s v="Small"/>
    <n v="2022"/>
  </r>
  <r>
    <s v="C0454"/>
    <x v="2"/>
    <d v="2021-02-18T00:00:00"/>
    <d v="2021-12-11T00:00:00"/>
    <n v="25"/>
    <s v="Churned"/>
    <s v="Google"/>
    <s v="Feb-2021"/>
    <s v="Dec-2021"/>
    <s v="Germany"/>
    <s v="Retail"/>
    <s v="Medium"/>
    <n v="2021"/>
  </r>
  <r>
    <s v="C0455"/>
    <x v="1"/>
    <d v="2020-02-29T00:00:00"/>
    <d v="2021-11-19T00:00:00"/>
    <n v="15"/>
    <s v="Churned"/>
    <s v="Instagram"/>
    <s v="Feb-2020"/>
    <s v="Nov-2021"/>
    <s v="Spain"/>
    <s v="Healthcare"/>
    <s v="Medium"/>
    <n v="2020"/>
  </r>
  <r>
    <s v="C0456"/>
    <x v="2"/>
    <d v="2023-09-22T00:00:00"/>
    <d v="2024-12-31T00:00:00"/>
    <n v="25"/>
    <s v="Active"/>
    <s v="Instagram"/>
    <s v="Sep-2023"/>
    <s v="Dec-2024"/>
    <s v="Spain"/>
    <s v="Healthcare"/>
    <s v="Enterprise"/>
    <n v="2023"/>
  </r>
  <r>
    <s v="C0457"/>
    <x v="0"/>
    <d v="2024-01-24T00:00:00"/>
    <d v="2024-12-31T00:00:00"/>
    <n v="40"/>
    <s v="Active"/>
    <s v="Referral"/>
    <s v="Jan-2024"/>
    <s v="Dec-2024"/>
    <s v="Spain"/>
    <s v="Retail"/>
    <s v="Enterprise"/>
    <n v="2024"/>
  </r>
  <r>
    <s v="C0458"/>
    <x v="0"/>
    <d v="2023-09-26T00:00:00"/>
    <d v="2024-08-06T00:00:00"/>
    <n v="40"/>
    <s v="Churned"/>
    <s v="Google"/>
    <s v="Sep-2023"/>
    <s v="Aug-2024"/>
    <s v="Germany"/>
    <s v="Healthcare"/>
    <s v="Small"/>
    <n v="2023"/>
  </r>
  <r>
    <s v="C0459"/>
    <x v="0"/>
    <d v="2021-01-07T00:00:00"/>
    <d v="2024-12-31T00:00:00"/>
    <n v="40"/>
    <s v="Active"/>
    <s v="Instagram"/>
    <s v="Jan-2021"/>
    <s v="Dec-2024"/>
    <s v="Netherlands"/>
    <s v="Education"/>
    <s v="Enterprise"/>
    <n v="2021"/>
  </r>
  <r>
    <s v="C0460"/>
    <x v="1"/>
    <d v="2021-04-30T00:00:00"/>
    <d v="2021-07-10T00:00:00"/>
    <n v="15"/>
    <s v="Churned"/>
    <s v="Instagram"/>
    <s v="Apr-2021"/>
    <s v="Jul-2021"/>
    <s v="Spain"/>
    <s v="Finance"/>
    <s v="Large"/>
    <n v="2021"/>
  </r>
  <r>
    <s v="C0461"/>
    <x v="1"/>
    <d v="2021-11-18T00:00:00"/>
    <d v="2024-12-31T00:00:00"/>
    <n v="15"/>
    <s v="Active"/>
    <s v="LinkedIn"/>
    <s v="Nov-2021"/>
    <s v="Dec-2024"/>
    <s v="Sweden"/>
    <s v="Retail"/>
    <s v="Large"/>
    <n v="2021"/>
  </r>
  <r>
    <s v="C0462"/>
    <x v="2"/>
    <d v="2021-02-28T00:00:00"/>
    <d v="2023-06-10T00:00:00"/>
    <n v="25"/>
    <s v="Churned"/>
    <s v="Instagram"/>
    <s v="Feb-2021"/>
    <s v="Jun-2023"/>
    <s v="Spain"/>
    <s v="Education"/>
    <s v="Large"/>
    <n v="2021"/>
  </r>
  <r>
    <s v="C0463"/>
    <x v="1"/>
    <d v="2020-01-12T00:00:00"/>
    <d v="2024-12-31T00:00:00"/>
    <n v="15"/>
    <s v="Active"/>
    <s v="LinkedIn"/>
    <s v="Jan-2020"/>
    <s v="Dec-2024"/>
    <s v="Netherlands"/>
    <s v="Retail"/>
    <s v="Large"/>
    <n v="2020"/>
  </r>
  <r>
    <s v="C0464"/>
    <x v="1"/>
    <d v="2021-05-22T00:00:00"/>
    <d v="2024-12-31T00:00:00"/>
    <n v="15"/>
    <s v="Active"/>
    <s v="Referral"/>
    <s v="May-2021"/>
    <s v="Dec-2024"/>
    <s v="Italy"/>
    <s v="Tech"/>
    <s v="Enterprise"/>
    <n v="2021"/>
  </r>
  <r>
    <s v="C0465"/>
    <x v="2"/>
    <d v="2022-10-04T00:00:00"/>
    <d v="2024-12-31T00:00:00"/>
    <n v="25"/>
    <s v="Active"/>
    <s v="Referral"/>
    <s v="Oct-2022"/>
    <s v="Dec-2024"/>
    <s v="France"/>
    <s v="Healthcare"/>
    <s v="Small"/>
    <n v="2022"/>
  </r>
  <r>
    <s v="C0466"/>
    <x v="1"/>
    <d v="2022-12-23T00:00:00"/>
    <d v="2024-12-31T00:00:00"/>
    <n v="15"/>
    <s v="Active"/>
    <s v="Referral"/>
    <s v="Dec-2022"/>
    <s v="Dec-2024"/>
    <s v="Sweden"/>
    <s v="Retail"/>
    <s v="Enterprise"/>
    <n v="2022"/>
  </r>
  <r>
    <s v="C0467"/>
    <x v="2"/>
    <d v="2020-09-24T00:00:00"/>
    <d v="2024-12-31T00:00:00"/>
    <n v="25"/>
    <s v="Active"/>
    <s v="Referral"/>
    <s v="Sep-2020"/>
    <s v="Dec-2024"/>
    <s v="France"/>
    <s v="Tech"/>
    <s v="Small"/>
    <n v="2020"/>
  </r>
  <r>
    <s v="C0468"/>
    <x v="1"/>
    <d v="2023-01-11T00:00:00"/>
    <d v="2024-12-31T00:00:00"/>
    <n v="15"/>
    <s v="Active"/>
    <s v="Instagram"/>
    <s v="Jan-2023"/>
    <s v="Dec-2024"/>
    <s v="Sweden"/>
    <s v="Tech"/>
    <s v="Enterprise"/>
    <n v="2023"/>
  </r>
  <r>
    <s v="C0469"/>
    <x v="0"/>
    <d v="2024-02-24T00:00:00"/>
    <d v="2024-12-31T00:00:00"/>
    <n v="40"/>
    <s v="Active"/>
    <s v="LinkedIn"/>
    <s v="Feb-2024"/>
    <s v="Dec-2024"/>
    <s v="Spain"/>
    <s v="Retail"/>
    <s v="Small"/>
    <n v="2024"/>
  </r>
  <r>
    <s v="C0470"/>
    <x v="2"/>
    <d v="2023-08-04T00:00:00"/>
    <d v="2024-12-31T00:00:00"/>
    <n v="25"/>
    <s v="Active"/>
    <s v="Referral"/>
    <s v="Aug-2023"/>
    <s v="Dec-2024"/>
    <s v="Germany"/>
    <s v="Tech"/>
    <s v="Large"/>
    <n v="2023"/>
  </r>
  <r>
    <s v="C0471"/>
    <x v="2"/>
    <d v="2024-06-13T00:00:00"/>
    <d v="2024-12-31T00:00:00"/>
    <n v="25"/>
    <s v="Active"/>
    <s v="Google"/>
    <s v="Jun-2024"/>
    <s v="Dec-2024"/>
    <s v="Italy"/>
    <s v="E-commerce"/>
    <s v="Large"/>
    <n v="2024"/>
  </r>
  <r>
    <s v="C0472"/>
    <x v="0"/>
    <d v="2020-03-23T00:00:00"/>
    <d v="2024-12-31T00:00:00"/>
    <n v="40"/>
    <s v="Active"/>
    <s v="Google"/>
    <s v="Mar-2020"/>
    <s v="Dec-2024"/>
    <s v="Italy"/>
    <s v="E-commerce"/>
    <s v="Small"/>
    <n v="2020"/>
  </r>
  <r>
    <s v="C0473"/>
    <x v="1"/>
    <d v="2020-03-01T00:00:00"/>
    <d v="2020-09-25T00:00:00"/>
    <n v="15"/>
    <s v="Churned"/>
    <s v="Referral"/>
    <s v="Mar-2020"/>
    <s v="Sep-2020"/>
    <s v="Germany"/>
    <s v="Tech"/>
    <s v="Medium"/>
    <n v="2020"/>
  </r>
  <r>
    <s v="C0474"/>
    <x v="1"/>
    <d v="2022-03-18T00:00:00"/>
    <d v="2023-04-21T00:00:00"/>
    <n v="15"/>
    <s v="Churned"/>
    <s v="LinkedIn"/>
    <s v="Mar-2022"/>
    <s v="Apr-2023"/>
    <s v="Italy"/>
    <s v="Tech"/>
    <s v="Medium"/>
    <n v="2022"/>
  </r>
  <r>
    <s v="C0475"/>
    <x v="1"/>
    <d v="2020-05-24T00:00:00"/>
    <d v="2024-12-31T00:00:00"/>
    <n v="15"/>
    <s v="Active"/>
    <s v="Referral"/>
    <s v="May-2020"/>
    <s v="Dec-2024"/>
    <s v="Italy"/>
    <s v="E-commerce"/>
    <s v="Large"/>
    <n v="2020"/>
  </r>
  <r>
    <s v="C0476"/>
    <x v="1"/>
    <d v="2021-12-06T00:00:00"/>
    <d v="2024-12-31T00:00:00"/>
    <n v="15"/>
    <s v="Active"/>
    <s v="Facebook"/>
    <s v="Dec-2021"/>
    <s v="Dec-2024"/>
    <s v="Spain"/>
    <s v="Tech"/>
    <s v="Large"/>
    <n v="2021"/>
  </r>
  <r>
    <s v="C0477"/>
    <x v="1"/>
    <d v="2020-02-20T00:00:00"/>
    <d v="2020-05-22T00:00:00"/>
    <n v="15"/>
    <s v="Churned"/>
    <s v="Facebook"/>
    <s v="Feb-2020"/>
    <s v="May-2020"/>
    <s v="France"/>
    <s v="Tech"/>
    <s v="Enterprise"/>
    <n v="2020"/>
  </r>
  <r>
    <s v="C0478"/>
    <x v="2"/>
    <d v="2020-02-17T00:00:00"/>
    <d v="2024-12-31T00:00:00"/>
    <n v="25"/>
    <s v="Active"/>
    <s v="Instagram"/>
    <s v="Feb-2020"/>
    <s v="Dec-2024"/>
    <s v="France"/>
    <s v="Finance"/>
    <s v="Large"/>
    <n v="2020"/>
  </r>
  <r>
    <s v="C0479"/>
    <x v="1"/>
    <d v="2022-01-26T00:00:00"/>
    <d v="2024-12-31T00:00:00"/>
    <n v="15"/>
    <s v="Active"/>
    <s v="Facebook"/>
    <s v="Jan-2022"/>
    <s v="Dec-2024"/>
    <s v="France"/>
    <s v="Healthcare"/>
    <s v="Medium"/>
    <n v="2022"/>
  </r>
  <r>
    <s v="C0480"/>
    <x v="2"/>
    <d v="2022-09-25T00:00:00"/>
    <d v="2024-12-31T00:00:00"/>
    <n v="25"/>
    <s v="Active"/>
    <s v="LinkedIn"/>
    <s v="Sep-2022"/>
    <s v="Dec-2024"/>
    <s v="France"/>
    <s v="Education"/>
    <s v="Medium"/>
    <n v="2022"/>
  </r>
  <r>
    <s v="C0481"/>
    <x v="1"/>
    <d v="2022-05-02T00:00:00"/>
    <d v="2024-12-31T00:00:00"/>
    <n v="15"/>
    <s v="Active"/>
    <s v="Facebook"/>
    <s v="May-2022"/>
    <s v="Dec-2024"/>
    <s v="Sweden"/>
    <s v="E-commerce"/>
    <s v="Large"/>
    <n v="2022"/>
  </r>
  <r>
    <s v="C0482"/>
    <x v="0"/>
    <d v="2023-08-02T00:00:00"/>
    <d v="2024-12-31T00:00:00"/>
    <n v="40"/>
    <s v="Active"/>
    <s v="Facebook"/>
    <s v="Aug-2023"/>
    <s v="Dec-2024"/>
    <s v="Italy"/>
    <s v="E-commerce"/>
    <s v="Enterprise"/>
    <n v="2023"/>
  </r>
  <r>
    <s v="C0483"/>
    <x v="1"/>
    <d v="2020-05-05T00:00:00"/>
    <d v="2022-02-13T00:00:00"/>
    <n v="15"/>
    <s v="Churned"/>
    <s v="LinkedIn"/>
    <s v="May-2020"/>
    <s v="Feb-2022"/>
    <s v="Netherlands"/>
    <s v="Healthcare"/>
    <s v="Enterprise"/>
    <n v="2020"/>
  </r>
  <r>
    <s v="C0484"/>
    <x v="0"/>
    <d v="2021-07-26T00:00:00"/>
    <d v="2024-12-31T00:00:00"/>
    <n v="40"/>
    <s v="Active"/>
    <s v="Google"/>
    <s v="Jul-2021"/>
    <s v="Dec-2024"/>
    <s v="Germany"/>
    <s v="Finance"/>
    <s v="Small"/>
    <n v="2021"/>
  </r>
  <r>
    <s v="C0485"/>
    <x v="1"/>
    <d v="2022-12-13T00:00:00"/>
    <d v="2023-05-03T00:00:00"/>
    <n v="15"/>
    <s v="Churned"/>
    <s v="LinkedIn"/>
    <s v="Dec-2022"/>
    <s v="May-2023"/>
    <s v="France"/>
    <s v="E-commerce"/>
    <s v="Small"/>
    <n v="2022"/>
  </r>
  <r>
    <s v="C0486"/>
    <x v="0"/>
    <d v="2022-08-28T00:00:00"/>
    <d v="2024-12-31T00:00:00"/>
    <n v="40"/>
    <s v="Active"/>
    <s v="LinkedIn"/>
    <s v="Aug-2022"/>
    <s v="Dec-2024"/>
    <s v="Sweden"/>
    <s v="Tech"/>
    <s v="Medium"/>
    <n v="2022"/>
  </r>
  <r>
    <s v="C0487"/>
    <x v="0"/>
    <d v="2020-03-20T00:00:00"/>
    <d v="2024-12-31T00:00:00"/>
    <n v="40"/>
    <s v="Active"/>
    <s v="Google"/>
    <s v="Mar-2020"/>
    <s v="Dec-2024"/>
    <s v="Spain"/>
    <s v="Tech"/>
    <s v="Large"/>
    <n v="2020"/>
  </r>
  <r>
    <s v="C0488"/>
    <x v="2"/>
    <d v="2024-02-19T00:00:00"/>
    <d v="2024-12-31T00:00:00"/>
    <n v="25"/>
    <s v="Active"/>
    <s v="Facebook"/>
    <s v="Feb-2024"/>
    <s v="Dec-2024"/>
    <s v="France"/>
    <s v="Healthcare"/>
    <s v="Enterprise"/>
    <n v="2024"/>
  </r>
  <r>
    <s v="C0489"/>
    <x v="2"/>
    <d v="2023-12-19T00:00:00"/>
    <d v="2024-12-31T00:00:00"/>
    <n v="25"/>
    <s v="Active"/>
    <s v="Referral"/>
    <s v="Dec-2023"/>
    <s v="Dec-2024"/>
    <s v="Italy"/>
    <s v="Finance"/>
    <s v="Enterprise"/>
    <n v="2023"/>
  </r>
  <r>
    <s v="C0490"/>
    <x v="1"/>
    <d v="2021-11-15T00:00:00"/>
    <d v="2023-05-30T00:00:00"/>
    <n v="15"/>
    <s v="Churned"/>
    <s v="Facebook"/>
    <s v="Nov-2021"/>
    <s v="May-2023"/>
    <s v="Spain"/>
    <s v="Finance"/>
    <s v="Small"/>
    <n v="2021"/>
  </r>
  <r>
    <s v="C0491"/>
    <x v="0"/>
    <d v="2020-10-05T00:00:00"/>
    <d v="2022-11-18T00:00:00"/>
    <n v="40"/>
    <s v="Churned"/>
    <s v="Instagram"/>
    <s v="Oct-2020"/>
    <s v="Nov-2022"/>
    <s v="Spain"/>
    <s v="Education"/>
    <s v="Enterprise"/>
    <n v="2020"/>
  </r>
  <r>
    <s v="C0492"/>
    <x v="1"/>
    <d v="2022-10-18T00:00:00"/>
    <d v="2024-09-24T00:00:00"/>
    <n v="15"/>
    <s v="Churned"/>
    <s v="Referral"/>
    <s v="Oct-2022"/>
    <s v="Sep-2024"/>
    <s v="Spain"/>
    <s v="Finance"/>
    <s v="Enterprise"/>
    <n v="2022"/>
  </r>
  <r>
    <s v="C0493"/>
    <x v="1"/>
    <d v="2023-09-30T00:00:00"/>
    <d v="2024-12-31T00:00:00"/>
    <n v="15"/>
    <s v="Active"/>
    <s v="LinkedIn"/>
    <s v="Sep-2023"/>
    <s v="Dec-2024"/>
    <s v="Netherlands"/>
    <s v="Tech"/>
    <s v="Large"/>
    <n v="2023"/>
  </r>
  <r>
    <s v="C0494"/>
    <x v="1"/>
    <d v="2023-02-17T00:00:00"/>
    <d v="2024-12-31T00:00:00"/>
    <n v="15"/>
    <s v="Active"/>
    <s v="Referral"/>
    <s v="Feb-2023"/>
    <s v="Dec-2024"/>
    <s v="Spain"/>
    <s v="Education"/>
    <s v="Enterprise"/>
    <n v="2023"/>
  </r>
  <r>
    <s v="C0495"/>
    <x v="0"/>
    <d v="2020-10-12T00:00:00"/>
    <d v="2024-12-31T00:00:00"/>
    <n v="40"/>
    <s v="Active"/>
    <s v="Referral"/>
    <s v="Oct-2020"/>
    <s v="Dec-2024"/>
    <s v="Netherlands"/>
    <s v="Retail"/>
    <s v="Enterprise"/>
    <n v="2020"/>
  </r>
  <r>
    <s v="C0496"/>
    <x v="2"/>
    <d v="2021-12-20T00:00:00"/>
    <d v="2024-12-31T00:00:00"/>
    <n v="25"/>
    <s v="Active"/>
    <s v="Referral"/>
    <s v="Dec-2021"/>
    <s v="Dec-2024"/>
    <s v="Netherlands"/>
    <s v="Retail"/>
    <s v="Large"/>
    <n v="2021"/>
  </r>
  <r>
    <s v="C0497"/>
    <x v="0"/>
    <d v="2022-03-27T00:00:00"/>
    <d v="2024-12-31T00:00:00"/>
    <n v="40"/>
    <s v="Active"/>
    <s v="Instagram"/>
    <s v="Mar-2022"/>
    <s v="Dec-2024"/>
    <s v="Netherlands"/>
    <s v="Tech"/>
    <s v="Large"/>
    <n v="2022"/>
  </r>
  <r>
    <s v="C0498"/>
    <x v="2"/>
    <d v="2024-01-10T00:00:00"/>
    <d v="2024-12-31T00:00:00"/>
    <n v="25"/>
    <s v="Active"/>
    <s v="Google"/>
    <s v="Jan-2024"/>
    <s v="Dec-2024"/>
    <s v="Italy"/>
    <s v="E-commerce"/>
    <s v="Large"/>
    <n v="2024"/>
  </r>
  <r>
    <s v="C0499"/>
    <x v="0"/>
    <d v="2024-01-29T00:00:00"/>
    <d v="2024-12-31T00:00:00"/>
    <n v="40"/>
    <s v="Active"/>
    <s v="Instagram"/>
    <s v="Jan-2024"/>
    <s v="Dec-2024"/>
    <s v="France"/>
    <s v="Finance"/>
    <s v="Enterprise"/>
    <n v="2024"/>
  </r>
  <r>
    <s v="C0500"/>
    <x v="1"/>
    <d v="2023-07-24T00:00:00"/>
    <d v="2024-02-03T00:00:00"/>
    <n v="15"/>
    <s v="Churned"/>
    <s v="Google"/>
    <s v="Jul-2023"/>
    <s v="Feb-2024"/>
    <s v="Italy"/>
    <s v="E-commerce"/>
    <s v="Large"/>
    <n v="2023"/>
  </r>
  <r>
    <s v="C0501"/>
    <x v="0"/>
    <d v="2022-07-18T00:00:00"/>
    <d v="2024-12-31T00:00:00"/>
    <n v="40"/>
    <s v="Active"/>
    <s v="Facebook"/>
    <s v="Jul-2022"/>
    <s v="Dec-2024"/>
    <s v="Sweden"/>
    <s v="Finance"/>
    <s v="Enterprise"/>
    <n v="2022"/>
  </r>
  <r>
    <s v="C0502"/>
    <x v="1"/>
    <d v="2020-06-03T00:00:00"/>
    <d v="2022-08-25T00:00:00"/>
    <n v="15"/>
    <s v="Churned"/>
    <s v="Referral"/>
    <s v="Jun-2020"/>
    <s v="Aug-2022"/>
    <s v="Netherlands"/>
    <s v="Finance"/>
    <s v="Large"/>
    <n v="2020"/>
  </r>
  <r>
    <s v="C0503"/>
    <x v="1"/>
    <d v="2022-06-17T00:00:00"/>
    <d v="2024-12-31T00:00:00"/>
    <n v="15"/>
    <s v="Active"/>
    <s v="Facebook"/>
    <s v="Jun-2022"/>
    <s v="Dec-2024"/>
    <s v="Italy"/>
    <s v="Retail"/>
    <s v="Large"/>
    <n v="2022"/>
  </r>
  <r>
    <s v="C0504"/>
    <x v="2"/>
    <d v="2024-06-29T00:00:00"/>
    <d v="2024-12-31T00:00:00"/>
    <n v="25"/>
    <s v="Active"/>
    <s v="Google"/>
    <s v="Jun-2024"/>
    <s v="Dec-2024"/>
    <s v="Netherlands"/>
    <s v="Healthcare"/>
    <s v="Medium"/>
    <n v="2024"/>
  </r>
  <r>
    <s v="C0505"/>
    <x v="2"/>
    <d v="2021-12-20T00:00:00"/>
    <d v="2023-08-16T00:00:00"/>
    <n v="25"/>
    <s v="Churned"/>
    <s v="Facebook"/>
    <s v="Dec-2021"/>
    <s v="Aug-2023"/>
    <s v="France"/>
    <s v="Education"/>
    <s v="Small"/>
    <n v="2021"/>
  </r>
  <r>
    <s v="C0506"/>
    <x v="0"/>
    <d v="2023-01-31T00:00:00"/>
    <d v="2024-11-24T00:00:00"/>
    <n v="40"/>
    <s v="Churned"/>
    <s v="Referral"/>
    <s v="Jan-2023"/>
    <s v="Nov-2024"/>
    <s v="France"/>
    <s v="Education"/>
    <s v="Small"/>
    <n v="2023"/>
  </r>
  <r>
    <s v="C0507"/>
    <x v="2"/>
    <d v="2021-06-24T00:00:00"/>
    <d v="2024-12-31T00:00:00"/>
    <n v="25"/>
    <s v="Active"/>
    <s v="Referral"/>
    <s v="Jun-2021"/>
    <s v="Dec-2024"/>
    <s v="Sweden"/>
    <s v="Healthcare"/>
    <s v="Small"/>
    <n v="2021"/>
  </r>
  <r>
    <s v="C0508"/>
    <x v="1"/>
    <d v="2024-06-09T00:00:00"/>
    <d v="2024-12-31T00:00:00"/>
    <n v="15"/>
    <s v="Active"/>
    <s v="Facebook"/>
    <s v="Jun-2024"/>
    <s v="Dec-2024"/>
    <s v="Netherlands"/>
    <s v="Tech"/>
    <s v="Medium"/>
    <n v="2024"/>
  </r>
  <r>
    <s v="C0509"/>
    <x v="0"/>
    <d v="2023-12-02T00:00:00"/>
    <d v="2024-12-31T00:00:00"/>
    <n v="40"/>
    <s v="Churned"/>
    <s v="LinkedIn"/>
    <s v="Dec-2023"/>
    <s v="Dec-2024"/>
    <s v="Italy"/>
    <s v="Healthcare"/>
    <s v="Medium"/>
    <n v="2023"/>
  </r>
  <r>
    <s v="C0510"/>
    <x v="2"/>
    <d v="2020-04-25T00:00:00"/>
    <d v="2024-12-31T00:00:00"/>
    <n v="25"/>
    <s v="Active"/>
    <s v="Referral"/>
    <s v="Apr-2020"/>
    <s v="Dec-2024"/>
    <s v="Spain"/>
    <s v="Retail"/>
    <s v="Large"/>
    <n v="2020"/>
  </r>
  <r>
    <s v="C0511"/>
    <x v="1"/>
    <d v="2021-09-18T00:00:00"/>
    <d v="2024-12-31T00:00:00"/>
    <n v="15"/>
    <s v="Active"/>
    <s v="LinkedIn"/>
    <s v="Sep-2021"/>
    <s v="Dec-2024"/>
    <s v="Italy"/>
    <s v="Education"/>
    <s v="Large"/>
    <n v="2021"/>
  </r>
  <r>
    <s v="C0512"/>
    <x v="1"/>
    <d v="2023-11-16T00:00:00"/>
    <d v="2024-07-13T00:00:00"/>
    <n v="15"/>
    <s v="Churned"/>
    <s v="LinkedIn"/>
    <s v="Nov-2023"/>
    <s v="Jul-2024"/>
    <s v="Sweden"/>
    <s v="Finance"/>
    <s v="Large"/>
    <n v="2023"/>
  </r>
  <r>
    <s v="C0513"/>
    <x v="2"/>
    <d v="2023-07-29T00:00:00"/>
    <d v="2024-12-31T00:00:00"/>
    <n v="25"/>
    <s v="Churned"/>
    <s v="LinkedIn"/>
    <s v="Jul-2023"/>
    <s v="Dec-2024"/>
    <s v="Italy"/>
    <s v="Tech"/>
    <s v="Medium"/>
    <n v="2023"/>
  </r>
  <r>
    <s v="C0514"/>
    <x v="2"/>
    <d v="2021-01-06T00:00:00"/>
    <d v="2021-08-05T00:00:00"/>
    <n v="25"/>
    <s v="Churned"/>
    <s v="LinkedIn"/>
    <s v="Jan-2021"/>
    <s v="Aug-2021"/>
    <s v="France"/>
    <s v="Retail"/>
    <s v="Small"/>
    <n v="2021"/>
  </r>
  <r>
    <s v="C0515"/>
    <x v="1"/>
    <d v="2021-06-18T00:00:00"/>
    <d v="2024-12-31T00:00:00"/>
    <n v="15"/>
    <s v="Active"/>
    <s v="Instagram"/>
    <s v="Jun-2021"/>
    <s v="Dec-2024"/>
    <s v="France"/>
    <s v="Tech"/>
    <s v="Small"/>
    <n v="2021"/>
  </r>
  <r>
    <s v="C0516"/>
    <x v="2"/>
    <d v="2022-09-30T00:00:00"/>
    <d v="2024-12-31T00:00:00"/>
    <n v="25"/>
    <s v="Active"/>
    <s v="Facebook"/>
    <s v="Sep-2022"/>
    <s v="Dec-2024"/>
    <s v="Italy"/>
    <s v="Finance"/>
    <s v="Medium"/>
    <n v="2022"/>
  </r>
  <r>
    <s v="C0517"/>
    <x v="1"/>
    <d v="2022-08-07T00:00:00"/>
    <d v="2024-12-31T00:00:00"/>
    <n v="15"/>
    <s v="Active"/>
    <s v="Facebook"/>
    <s v="Aug-2022"/>
    <s v="Dec-2024"/>
    <s v="Italy"/>
    <s v="Retail"/>
    <s v="Enterprise"/>
    <n v="2022"/>
  </r>
  <r>
    <s v="C0518"/>
    <x v="1"/>
    <d v="2024-04-06T00:00:00"/>
    <d v="2024-12-31T00:00:00"/>
    <n v="15"/>
    <s v="Churned"/>
    <s v="Google"/>
    <s v="Apr-2024"/>
    <s v="Dec-2024"/>
    <s v="Germany"/>
    <s v="Tech"/>
    <s v="Large"/>
    <n v="2024"/>
  </r>
  <r>
    <s v="C0519"/>
    <x v="2"/>
    <d v="2020-05-08T00:00:00"/>
    <d v="2022-06-25T00:00:00"/>
    <n v="25"/>
    <s v="Churned"/>
    <s v="Google"/>
    <s v="May-2020"/>
    <s v="Jun-2022"/>
    <s v="Sweden"/>
    <s v="Finance"/>
    <s v="Small"/>
    <n v="2020"/>
  </r>
  <r>
    <s v="C0520"/>
    <x v="2"/>
    <d v="2023-03-10T00:00:00"/>
    <d v="2024-06-25T00:00:00"/>
    <n v="25"/>
    <s v="Churned"/>
    <s v="LinkedIn"/>
    <s v="Mar-2023"/>
    <s v="Jun-2024"/>
    <s v="Germany"/>
    <s v="Healthcare"/>
    <s v="Small"/>
    <n v="2023"/>
  </r>
  <r>
    <s v="C0521"/>
    <x v="0"/>
    <d v="2021-02-27T00:00:00"/>
    <d v="2023-04-20T00:00:00"/>
    <n v="40"/>
    <s v="Churned"/>
    <s v="Instagram"/>
    <s v="Feb-2021"/>
    <s v="Apr-2023"/>
    <s v="Sweden"/>
    <s v="E-commerce"/>
    <s v="Small"/>
    <n v="2021"/>
  </r>
  <r>
    <s v="C0522"/>
    <x v="1"/>
    <d v="2023-08-09T00:00:00"/>
    <d v="2024-12-31T00:00:00"/>
    <n v="15"/>
    <s v="Churned"/>
    <s v="LinkedIn"/>
    <s v="Aug-2023"/>
    <s v="Dec-2024"/>
    <s v="Germany"/>
    <s v="Tech"/>
    <s v="Small"/>
    <n v="2023"/>
  </r>
  <r>
    <s v="C0523"/>
    <x v="2"/>
    <d v="2023-12-18T00:00:00"/>
    <d v="2024-10-08T00:00:00"/>
    <n v="25"/>
    <s v="Churned"/>
    <s v="Facebook"/>
    <s v="Dec-2023"/>
    <s v="Oct-2024"/>
    <s v="Netherlands"/>
    <s v="Finance"/>
    <s v="Large"/>
    <n v="2023"/>
  </r>
  <r>
    <s v="C0524"/>
    <x v="0"/>
    <d v="2020-05-02T00:00:00"/>
    <d v="2021-07-08T00:00:00"/>
    <n v="40"/>
    <s v="Churned"/>
    <s v="Google"/>
    <s v="May-2020"/>
    <s v="Jul-2021"/>
    <s v="Netherlands"/>
    <s v="Healthcare"/>
    <s v="Large"/>
    <n v="2020"/>
  </r>
  <r>
    <s v="C0525"/>
    <x v="0"/>
    <d v="2022-11-13T00:00:00"/>
    <d v="2024-12-31T00:00:00"/>
    <n v="40"/>
    <s v="Active"/>
    <s v="Facebook"/>
    <s v="Nov-2022"/>
    <s v="Dec-2024"/>
    <s v="Spain"/>
    <s v="Healthcare"/>
    <s v="Large"/>
    <n v="2022"/>
  </r>
  <r>
    <s v="C0526"/>
    <x v="1"/>
    <d v="2020-09-06T00:00:00"/>
    <d v="2024-12-31T00:00:00"/>
    <n v="15"/>
    <s v="Active"/>
    <s v="LinkedIn"/>
    <s v="Sep-2020"/>
    <s v="Dec-2024"/>
    <s v="Italy"/>
    <s v="Retail"/>
    <s v="Medium"/>
    <n v="2020"/>
  </r>
  <r>
    <s v="C0527"/>
    <x v="1"/>
    <d v="2023-12-02T00:00:00"/>
    <d v="2024-12-31T00:00:00"/>
    <n v="15"/>
    <s v="Active"/>
    <s v="Facebook"/>
    <s v="Dec-2023"/>
    <s v="Dec-2024"/>
    <s v="Spain"/>
    <s v="E-commerce"/>
    <s v="Enterprise"/>
    <n v="2023"/>
  </r>
  <r>
    <s v="C0528"/>
    <x v="0"/>
    <d v="2021-11-13T00:00:00"/>
    <d v="2024-12-31T00:00:00"/>
    <n v="40"/>
    <s v="Active"/>
    <s v="Instagram"/>
    <s v="Nov-2021"/>
    <s v="Dec-2024"/>
    <s v="Sweden"/>
    <s v="E-commerce"/>
    <s v="Large"/>
    <n v="2021"/>
  </r>
  <r>
    <s v="C0529"/>
    <x v="1"/>
    <d v="2022-07-06T00:00:00"/>
    <d v="2024-12-31T00:00:00"/>
    <n v="15"/>
    <s v="Active"/>
    <s v="LinkedIn"/>
    <s v="Jul-2022"/>
    <s v="Dec-2024"/>
    <s v="France"/>
    <s v="Finance"/>
    <s v="Large"/>
    <n v="2022"/>
  </r>
  <r>
    <s v="C0530"/>
    <x v="1"/>
    <d v="2021-01-01T00:00:00"/>
    <d v="2024-12-31T00:00:00"/>
    <n v="15"/>
    <s v="Active"/>
    <s v="Instagram"/>
    <s v="Jan-2021"/>
    <s v="Dec-2024"/>
    <s v="Netherlands"/>
    <s v="Finance"/>
    <s v="Medium"/>
    <n v="2021"/>
  </r>
  <r>
    <s v="C0531"/>
    <x v="0"/>
    <d v="2021-09-28T00:00:00"/>
    <d v="2024-12-31T00:00:00"/>
    <n v="40"/>
    <s v="Active"/>
    <s v="Facebook"/>
    <s v="Sep-2021"/>
    <s v="Dec-2024"/>
    <s v="Sweden"/>
    <s v="Finance"/>
    <s v="Enterprise"/>
    <n v="2021"/>
  </r>
  <r>
    <s v="C0532"/>
    <x v="2"/>
    <d v="2020-10-12T00:00:00"/>
    <d v="2024-12-31T00:00:00"/>
    <n v="25"/>
    <s v="Active"/>
    <s v="Instagram"/>
    <s v="Oct-2020"/>
    <s v="Dec-2024"/>
    <s v="Germany"/>
    <s v="E-commerce"/>
    <s v="Enterprise"/>
    <n v="2020"/>
  </r>
  <r>
    <s v="C0533"/>
    <x v="1"/>
    <d v="2022-11-08T00:00:00"/>
    <d v="2023-07-27T00:00:00"/>
    <n v="15"/>
    <s v="Churned"/>
    <s v="Facebook"/>
    <s v="Nov-2022"/>
    <s v="Jul-2023"/>
    <s v="Spain"/>
    <s v="Retail"/>
    <s v="Large"/>
    <n v="2022"/>
  </r>
  <r>
    <s v="C0534"/>
    <x v="1"/>
    <d v="2021-07-15T00:00:00"/>
    <d v="2024-12-31T00:00:00"/>
    <n v="15"/>
    <s v="Active"/>
    <s v="Instagram"/>
    <s v="Jul-2021"/>
    <s v="Dec-2024"/>
    <s v="Italy"/>
    <s v="E-commerce"/>
    <s v="Enterprise"/>
    <n v="2021"/>
  </r>
  <r>
    <s v="C0535"/>
    <x v="2"/>
    <d v="2020-08-14T00:00:00"/>
    <d v="2024-12-31T00:00:00"/>
    <n v="25"/>
    <s v="Active"/>
    <s v="Google"/>
    <s v="Aug-2020"/>
    <s v="Dec-2024"/>
    <s v="Netherlands"/>
    <s v="Education"/>
    <s v="Large"/>
    <n v="2020"/>
  </r>
  <r>
    <s v="C0536"/>
    <x v="2"/>
    <d v="2024-02-08T00:00:00"/>
    <d v="2024-12-31T00:00:00"/>
    <n v="25"/>
    <s v="Active"/>
    <s v="LinkedIn"/>
    <s v="Feb-2024"/>
    <s v="Dec-2024"/>
    <s v="Germany"/>
    <s v="Education"/>
    <s v="Small"/>
    <n v="2024"/>
  </r>
  <r>
    <s v="C0537"/>
    <x v="2"/>
    <d v="2020-06-30T00:00:00"/>
    <d v="2022-04-10T00:00:00"/>
    <n v="25"/>
    <s v="Churned"/>
    <s v="Referral"/>
    <s v="Jun-2020"/>
    <s v="Apr-2022"/>
    <s v="Italy"/>
    <s v="E-commerce"/>
    <s v="Enterprise"/>
    <n v="2020"/>
  </r>
  <r>
    <s v="C0538"/>
    <x v="2"/>
    <d v="2022-04-13T00:00:00"/>
    <d v="2024-12-31T00:00:00"/>
    <n v="25"/>
    <s v="Active"/>
    <s v="Google"/>
    <s v="Apr-2022"/>
    <s v="Dec-2024"/>
    <s v="Spain"/>
    <s v="Healthcare"/>
    <s v="Small"/>
    <n v="2022"/>
  </r>
  <r>
    <s v="C0539"/>
    <x v="2"/>
    <d v="2022-01-13T00:00:00"/>
    <d v="2024-04-26T00:00:00"/>
    <n v="25"/>
    <s v="Churned"/>
    <s v="LinkedIn"/>
    <s v="Jan-2022"/>
    <s v="Apr-2024"/>
    <s v="Sweden"/>
    <s v="E-commerce"/>
    <s v="Enterprise"/>
    <n v="2022"/>
  </r>
  <r>
    <s v="C0540"/>
    <x v="1"/>
    <d v="2022-05-27T00:00:00"/>
    <d v="2024-12-31T00:00:00"/>
    <n v="15"/>
    <s v="Active"/>
    <s v="LinkedIn"/>
    <s v="May-2022"/>
    <s v="Dec-2024"/>
    <s v="France"/>
    <s v="Tech"/>
    <s v="Large"/>
    <n v="2022"/>
  </r>
  <r>
    <s v="C0541"/>
    <x v="2"/>
    <d v="2020-04-05T00:00:00"/>
    <d v="2020-09-05T00:00:00"/>
    <n v="25"/>
    <s v="Churned"/>
    <s v="LinkedIn"/>
    <s v="Apr-2020"/>
    <s v="Sep-2020"/>
    <s v="Spain"/>
    <s v="Tech"/>
    <s v="Small"/>
    <n v="2020"/>
  </r>
  <r>
    <s v="C0542"/>
    <x v="1"/>
    <d v="2022-08-08T00:00:00"/>
    <d v="2024-12-31T00:00:00"/>
    <n v="15"/>
    <s v="Active"/>
    <s v="Google"/>
    <s v="Aug-2022"/>
    <s v="Dec-2024"/>
    <s v="France"/>
    <s v="Tech"/>
    <s v="Large"/>
    <n v="2022"/>
  </r>
  <r>
    <s v="C0543"/>
    <x v="2"/>
    <d v="2024-02-20T00:00:00"/>
    <d v="2024-12-31T00:00:00"/>
    <n v="25"/>
    <s v="Active"/>
    <s v="Referral"/>
    <s v="Feb-2024"/>
    <s v="Dec-2024"/>
    <s v="Netherlands"/>
    <s v="Retail"/>
    <s v="Enterprise"/>
    <n v="2024"/>
  </r>
  <r>
    <s v="C0544"/>
    <x v="2"/>
    <d v="2021-07-07T00:00:00"/>
    <d v="2022-07-13T00:00:00"/>
    <n v="25"/>
    <s v="Churned"/>
    <s v="Google"/>
    <s v="Jul-2021"/>
    <s v="Jul-2022"/>
    <s v="Germany"/>
    <s v="E-commerce"/>
    <s v="Small"/>
    <n v="2021"/>
  </r>
  <r>
    <s v="C0545"/>
    <x v="2"/>
    <d v="2024-06-26T00:00:00"/>
    <d v="2024-12-31T00:00:00"/>
    <n v="25"/>
    <s v="Active"/>
    <s v="LinkedIn"/>
    <s v="Jun-2024"/>
    <s v="Dec-2024"/>
    <s v="Italy"/>
    <s v="Retail"/>
    <s v="Small"/>
    <n v="2024"/>
  </r>
  <r>
    <s v="C0546"/>
    <x v="2"/>
    <d v="2022-02-20T00:00:00"/>
    <d v="2024-12-31T00:00:00"/>
    <n v="25"/>
    <s v="Active"/>
    <s v="Referral"/>
    <s v="Feb-2022"/>
    <s v="Dec-2024"/>
    <s v="France"/>
    <s v="Healthcare"/>
    <s v="Large"/>
    <n v="2022"/>
  </r>
  <r>
    <s v="C0547"/>
    <x v="1"/>
    <d v="2024-05-29T00:00:00"/>
    <d v="2024-12-31T00:00:00"/>
    <n v="15"/>
    <s v="Active"/>
    <s v="Referral"/>
    <s v="May-2024"/>
    <s v="Dec-2024"/>
    <s v="Spain"/>
    <s v="Finance"/>
    <s v="Medium"/>
    <n v="2024"/>
  </r>
  <r>
    <s v="C0548"/>
    <x v="0"/>
    <d v="2023-09-23T00:00:00"/>
    <d v="2024-12-31T00:00:00"/>
    <n v="40"/>
    <s v="Churned"/>
    <s v="Referral"/>
    <s v="Sep-2023"/>
    <s v="Dec-2024"/>
    <s v="Germany"/>
    <s v="Retail"/>
    <s v="Medium"/>
    <n v="2023"/>
  </r>
  <r>
    <s v="C0549"/>
    <x v="2"/>
    <d v="2021-05-26T00:00:00"/>
    <d v="2023-09-28T00:00:00"/>
    <n v="25"/>
    <s v="Churned"/>
    <s v="LinkedIn"/>
    <s v="May-2021"/>
    <s v="Sep-2023"/>
    <s v="Sweden"/>
    <s v="Tech"/>
    <s v="Medium"/>
    <n v="2021"/>
  </r>
  <r>
    <s v="C0550"/>
    <x v="2"/>
    <d v="2020-07-08T00:00:00"/>
    <d v="2024-12-31T00:00:00"/>
    <n v="25"/>
    <s v="Active"/>
    <s v="LinkedIn"/>
    <s v="Jul-2020"/>
    <s v="Dec-2024"/>
    <s v="Italy"/>
    <s v="E-commerce"/>
    <s v="Enterprise"/>
    <n v="2020"/>
  </r>
  <r>
    <s v="C0551"/>
    <x v="1"/>
    <d v="2020-08-06T00:00:00"/>
    <d v="2024-12-31T00:00:00"/>
    <n v="15"/>
    <s v="Active"/>
    <s v="Facebook"/>
    <s v="Aug-2020"/>
    <s v="Dec-2024"/>
    <s v="Netherlands"/>
    <s v="Education"/>
    <s v="Large"/>
    <n v="2020"/>
  </r>
  <r>
    <s v="C0552"/>
    <x v="0"/>
    <d v="2023-06-04T00:00:00"/>
    <d v="2024-12-31T00:00:00"/>
    <n v="40"/>
    <s v="Active"/>
    <s v="Facebook"/>
    <s v="Jun-2023"/>
    <s v="Dec-2024"/>
    <s v="Italy"/>
    <s v="Retail"/>
    <s v="Large"/>
    <n v="2023"/>
  </r>
  <r>
    <s v="C0553"/>
    <x v="2"/>
    <d v="2024-05-21T00:00:00"/>
    <d v="2024-12-31T00:00:00"/>
    <n v="25"/>
    <s v="Active"/>
    <s v="Referral"/>
    <s v="May-2024"/>
    <s v="Dec-2024"/>
    <s v="Netherlands"/>
    <s v="Retail"/>
    <s v="Enterprise"/>
    <n v="2024"/>
  </r>
  <r>
    <s v="C0554"/>
    <x v="2"/>
    <d v="2023-10-25T00:00:00"/>
    <d v="2024-12-31T00:00:00"/>
    <n v="25"/>
    <s v="Active"/>
    <s v="Instagram"/>
    <s v="Oct-2023"/>
    <s v="Dec-2024"/>
    <s v="Spain"/>
    <s v="Retail"/>
    <s v="Enterprise"/>
    <n v="2023"/>
  </r>
  <r>
    <s v="C0555"/>
    <x v="0"/>
    <d v="2022-07-03T00:00:00"/>
    <d v="2023-07-09T00:00:00"/>
    <n v="40"/>
    <s v="Churned"/>
    <s v="Instagram"/>
    <s v="Jul-2022"/>
    <s v="Jul-2023"/>
    <s v="Netherlands"/>
    <s v="Tech"/>
    <s v="Large"/>
    <n v="2022"/>
  </r>
  <r>
    <s v="C0556"/>
    <x v="0"/>
    <d v="2022-06-24T00:00:00"/>
    <d v="2024-08-23T00:00:00"/>
    <n v="40"/>
    <s v="Churned"/>
    <s v="Referral"/>
    <s v="Jun-2022"/>
    <s v="Aug-2024"/>
    <s v="Spain"/>
    <s v="Tech"/>
    <s v="Small"/>
    <n v="2022"/>
  </r>
  <r>
    <s v="C0557"/>
    <x v="1"/>
    <d v="2022-01-05T00:00:00"/>
    <d v="2022-10-03T00:00:00"/>
    <n v="15"/>
    <s v="Churned"/>
    <s v="Google"/>
    <s v="Jan-2022"/>
    <s v="Oct-2022"/>
    <s v="Sweden"/>
    <s v="Finance"/>
    <s v="Large"/>
    <n v="2022"/>
  </r>
  <r>
    <s v="C0558"/>
    <x v="0"/>
    <d v="2023-05-03T00:00:00"/>
    <d v="2024-12-31T00:00:00"/>
    <n v="40"/>
    <s v="Churned"/>
    <s v="Google"/>
    <s v="May-2023"/>
    <s v="Dec-2024"/>
    <s v="Sweden"/>
    <s v="Retail"/>
    <s v="Medium"/>
    <n v="2023"/>
  </r>
  <r>
    <s v="C0559"/>
    <x v="0"/>
    <d v="2023-12-07T00:00:00"/>
    <d v="2024-12-31T00:00:00"/>
    <n v="40"/>
    <s v="Active"/>
    <s v="Google"/>
    <s v="Dec-2023"/>
    <s v="Dec-2024"/>
    <s v="Germany"/>
    <s v="Retail"/>
    <s v="Small"/>
    <n v="2023"/>
  </r>
  <r>
    <s v="C0560"/>
    <x v="1"/>
    <d v="2024-06-29T00:00:00"/>
    <d v="2024-12-31T00:00:00"/>
    <n v="15"/>
    <s v="Active"/>
    <s v="Google"/>
    <s v="Jun-2024"/>
    <s v="Dec-2024"/>
    <s v="Germany"/>
    <s v="Finance"/>
    <s v="Large"/>
    <n v="2024"/>
  </r>
  <r>
    <s v="C0561"/>
    <x v="0"/>
    <d v="2021-07-21T00:00:00"/>
    <d v="2024-12-31T00:00:00"/>
    <n v="40"/>
    <s v="Active"/>
    <s v="Facebook"/>
    <s v="Jul-2021"/>
    <s v="Dec-2024"/>
    <s v="Sweden"/>
    <s v="Finance"/>
    <s v="Medium"/>
    <n v="2021"/>
  </r>
  <r>
    <s v="C0562"/>
    <x v="0"/>
    <d v="2020-04-20T00:00:00"/>
    <d v="2022-04-19T00:00:00"/>
    <n v="40"/>
    <s v="Churned"/>
    <s v="Facebook"/>
    <s v="Apr-2020"/>
    <s v="Apr-2022"/>
    <s v="France"/>
    <s v="Tech"/>
    <s v="Small"/>
    <n v="2020"/>
  </r>
  <r>
    <s v="C0563"/>
    <x v="0"/>
    <d v="2020-06-18T00:00:00"/>
    <d v="2024-12-31T00:00:00"/>
    <n v="40"/>
    <s v="Active"/>
    <s v="LinkedIn"/>
    <s v="Jun-2020"/>
    <s v="Dec-2024"/>
    <s v="France"/>
    <s v="Tech"/>
    <s v="Large"/>
    <n v="2020"/>
  </r>
  <r>
    <s v="C0564"/>
    <x v="1"/>
    <d v="2021-08-18T00:00:00"/>
    <d v="2023-08-30T00:00:00"/>
    <n v="15"/>
    <s v="Churned"/>
    <s v="LinkedIn"/>
    <s v="Aug-2021"/>
    <s v="Aug-2023"/>
    <s v="Germany"/>
    <s v="Education"/>
    <s v="Medium"/>
    <n v="2021"/>
  </r>
  <r>
    <s v="C0565"/>
    <x v="2"/>
    <d v="2023-06-30T00:00:00"/>
    <d v="2024-12-31T00:00:00"/>
    <n v="25"/>
    <s v="Churned"/>
    <s v="LinkedIn"/>
    <s v="Jun-2023"/>
    <s v="Dec-2024"/>
    <s v="France"/>
    <s v="Retail"/>
    <s v="Enterprise"/>
    <n v="2023"/>
  </r>
  <r>
    <s v="C0566"/>
    <x v="0"/>
    <d v="2023-06-02T00:00:00"/>
    <d v="2024-12-31T00:00:00"/>
    <n v="40"/>
    <s v="Active"/>
    <s v="LinkedIn"/>
    <s v="Jun-2023"/>
    <s v="Dec-2024"/>
    <s v="Italy"/>
    <s v="Finance"/>
    <s v="Large"/>
    <n v="2023"/>
  </r>
  <r>
    <s v="C0567"/>
    <x v="0"/>
    <d v="2021-08-25T00:00:00"/>
    <d v="2022-12-14T00:00:00"/>
    <n v="40"/>
    <s v="Churned"/>
    <s v="Instagram"/>
    <s v="Aug-2021"/>
    <s v="Dec-2022"/>
    <s v="Germany"/>
    <s v="Education"/>
    <s v="Small"/>
    <n v="2021"/>
  </r>
  <r>
    <s v="C0568"/>
    <x v="0"/>
    <d v="2024-04-11T00:00:00"/>
    <d v="2024-12-31T00:00:00"/>
    <n v="40"/>
    <s v="Active"/>
    <s v="LinkedIn"/>
    <s v="Apr-2024"/>
    <s v="Dec-2024"/>
    <s v="Germany"/>
    <s v="Finance"/>
    <s v="Large"/>
    <n v="2024"/>
  </r>
  <r>
    <s v="C0569"/>
    <x v="0"/>
    <d v="2022-02-16T00:00:00"/>
    <d v="2024-05-04T00:00:00"/>
    <n v="40"/>
    <s v="Churned"/>
    <s v="Facebook"/>
    <s v="Feb-2022"/>
    <s v="May-2024"/>
    <s v="Italy"/>
    <s v="Tech"/>
    <s v="Small"/>
    <n v="2022"/>
  </r>
  <r>
    <s v="C0570"/>
    <x v="1"/>
    <d v="2021-11-10T00:00:00"/>
    <d v="2023-01-11T00:00:00"/>
    <n v="15"/>
    <s v="Churned"/>
    <s v="Instagram"/>
    <s v="Nov-2021"/>
    <s v="Jan-2023"/>
    <s v="Germany"/>
    <s v="Finance"/>
    <s v="Small"/>
    <n v="2021"/>
  </r>
  <r>
    <s v="C0571"/>
    <x v="0"/>
    <d v="2021-01-09T00:00:00"/>
    <d v="2021-04-25T00:00:00"/>
    <n v="40"/>
    <s v="Churned"/>
    <s v="Google"/>
    <s v="Jan-2021"/>
    <s v="Apr-2021"/>
    <s v="Spain"/>
    <s v="Finance"/>
    <s v="Enterprise"/>
    <n v="2021"/>
  </r>
  <r>
    <s v="C0572"/>
    <x v="1"/>
    <d v="2020-08-25T00:00:00"/>
    <d v="2024-12-31T00:00:00"/>
    <n v="15"/>
    <s v="Active"/>
    <s v="LinkedIn"/>
    <s v="Aug-2020"/>
    <s v="Dec-2024"/>
    <s v="Netherlands"/>
    <s v="Finance"/>
    <s v="Enterprise"/>
    <n v="2020"/>
  </r>
  <r>
    <s v="C0573"/>
    <x v="1"/>
    <d v="2020-09-24T00:00:00"/>
    <d v="2024-12-31T00:00:00"/>
    <n v="15"/>
    <s v="Active"/>
    <s v="Facebook"/>
    <s v="Sep-2020"/>
    <s v="Dec-2024"/>
    <s v="Sweden"/>
    <s v="E-commerce"/>
    <s v="Enterprise"/>
    <n v="2020"/>
  </r>
  <r>
    <s v="C0574"/>
    <x v="0"/>
    <d v="2020-12-30T00:00:00"/>
    <d v="2022-07-09T00:00:00"/>
    <n v="40"/>
    <s v="Churned"/>
    <s v="Google"/>
    <s v="Dec-2020"/>
    <s v="Jul-2022"/>
    <s v="Italy"/>
    <s v="Education"/>
    <s v="Enterprise"/>
    <n v="2020"/>
  </r>
  <r>
    <s v="C0575"/>
    <x v="2"/>
    <d v="2022-08-18T00:00:00"/>
    <d v="2024-12-31T00:00:00"/>
    <n v="25"/>
    <s v="Active"/>
    <s v="Google"/>
    <s v="Aug-2022"/>
    <s v="Dec-2024"/>
    <s v="Italy"/>
    <s v="Finance"/>
    <s v="Large"/>
    <n v="2022"/>
  </r>
  <r>
    <s v="C0576"/>
    <x v="0"/>
    <d v="2021-09-17T00:00:00"/>
    <d v="2024-12-31T00:00:00"/>
    <n v="40"/>
    <s v="Active"/>
    <s v="Instagram"/>
    <s v="Sep-2021"/>
    <s v="Dec-2024"/>
    <s v="Italy"/>
    <s v="E-commerce"/>
    <s v="Medium"/>
    <n v="2021"/>
  </r>
  <r>
    <s v="C0577"/>
    <x v="2"/>
    <d v="2024-02-16T00:00:00"/>
    <d v="2024-12-31T00:00:00"/>
    <n v="25"/>
    <s v="Churned"/>
    <s v="LinkedIn"/>
    <s v="Feb-2024"/>
    <s v="Dec-2024"/>
    <s v="Germany"/>
    <s v="Finance"/>
    <s v="Large"/>
    <n v="2024"/>
  </r>
  <r>
    <s v="C0578"/>
    <x v="0"/>
    <d v="2021-04-14T00:00:00"/>
    <d v="2023-05-26T00:00:00"/>
    <n v="40"/>
    <s v="Churned"/>
    <s v="Facebook"/>
    <s v="Apr-2021"/>
    <s v="May-2023"/>
    <s v="Netherlands"/>
    <s v="Retail"/>
    <s v="Enterprise"/>
    <n v="2021"/>
  </r>
  <r>
    <s v="C0579"/>
    <x v="1"/>
    <d v="2022-11-27T00:00:00"/>
    <d v="2024-12-31T00:00:00"/>
    <n v="15"/>
    <s v="Active"/>
    <s v="LinkedIn"/>
    <s v="Nov-2022"/>
    <s v="Dec-2024"/>
    <s v="Sweden"/>
    <s v="Retail"/>
    <s v="Small"/>
    <n v="2022"/>
  </r>
  <r>
    <s v="C0580"/>
    <x v="0"/>
    <d v="2022-11-27T00:00:00"/>
    <d v="2024-12-31T00:00:00"/>
    <n v="40"/>
    <s v="Active"/>
    <s v="LinkedIn"/>
    <s v="Nov-2022"/>
    <s v="Dec-2024"/>
    <s v="Spain"/>
    <s v="Education"/>
    <s v="Medium"/>
    <n v="2022"/>
  </r>
  <r>
    <s v="C0581"/>
    <x v="0"/>
    <d v="2023-08-07T00:00:00"/>
    <d v="2024-12-31T00:00:00"/>
    <n v="40"/>
    <s v="Active"/>
    <s v="Instagram"/>
    <s v="Aug-2023"/>
    <s v="Dec-2024"/>
    <s v="Sweden"/>
    <s v="Education"/>
    <s v="Enterprise"/>
    <n v="2023"/>
  </r>
  <r>
    <s v="C0582"/>
    <x v="1"/>
    <d v="2023-12-27T00:00:00"/>
    <d v="2024-12-31T00:00:00"/>
    <n v="15"/>
    <s v="Active"/>
    <s v="LinkedIn"/>
    <s v="Dec-2023"/>
    <s v="Dec-2024"/>
    <s v="Italy"/>
    <s v="Finance"/>
    <s v="Large"/>
    <n v="2023"/>
  </r>
  <r>
    <s v="C0583"/>
    <x v="2"/>
    <d v="2020-06-21T00:00:00"/>
    <d v="2024-12-31T00:00:00"/>
    <n v="25"/>
    <s v="Active"/>
    <s v="Google"/>
    <s v="Jun-2020"/>
    <s v="Dec-2024"/>
    <s v="Germany"/>
    <s v="Tech"/>
    <s v="Enterprise"/>
    <n v="2020"/>
  </r>
  <r>
    <s v="C0584"/>
    <x v="1"/>
    <d v="2020-04-10T00:00:00"/>
    <d v="2024-12-31T00:00:00"/>
    <n v="15"/>
    <s v="Active"/>
    <s v="Google"/>
    <s v="Apr-2020"/>
    <s v="Dec-2024"/>
    <s v="Spain"/>
    <s v="Education"/>
    <s v="Large"/>
    <n v="2020"/>
  </r>
  <r>
    <s v="C0585"/>
    <x v="1"/>
    <d v="2020-02-02T00:00:00"/>
    <d v="2024-12-31T00:00:00"/>
    <n v="15"/>
    <s v="Active"/>
    <s v="LinkedIn"/>
    <s v="Feb-2020"/>
    <s v="Dec-2024"/>
    <s v="Italy"/>
    <s v="Healthcare"/>
    <s v="Enterprise"/>
    <n v="2020"/>
  </r>
  <r>
    <s v="C0586"/>
    <x v="1"/>
    <d v="2023-09-06T00:00:00"/>
    <d v="2024-01-22T00:00:00"/>
    <n v="15"/>
    <s v="Churned"/>
    <s v="Instagram"/>
    <s v="Sep-2023"/>
    <s v="Jan-2024"/>
    <s v="France"/>
    <s v="Retail"/>
    <s v="Enterprise"/>
    <n v="2023"/>
  </r>
  <r>
    <s v="C0587"/>
    <x v="1"/>
    <d v="2021-01-27T00:00:00"/>
    <d v="2023-01-27T00:00:00"/>
    <n v="15"/>
    <s v="Churned"/>
    <s v="Google"/>
    <s v="Jan-2021"/>
    <s v="Jan-2023"/>
    <s v="Sweden"/>
    <s v="Finance"/>
    <s v="Small"/>
    <n v="2021"/>
  </r>
  <r>
    <s v="C0588"/>
    <x v="0"/>
    <d v="2021-10-12T00:00:00"/>
    <d v="2022-11-01T00:00:00"/>
    <n v="40"/>
    <s v="Churned"/>
    <s v="Facebook"/>
    <s v="Oct-2021"/>
    <s v="Nov-2022"/>
    <s v="Italy"/>
    <s v="E-commerce"/>
    <s v="Small"/>
    <n v="2021"/>
  </r>
  <r>
    <s v="C0589"/>
    <x v="2"/>
    <d v="2021-09-03T00:00:00"/>
    <d v="2024-12-31T00:00:00"/>
    <n v="25"/>
    <s v="Active"/>
    <s v="LinkedIn"/>
    <s v="Sep-2021"/>
    <s v="Dec-2024"/>
    <s v="Germany"/>
    <s v="E-commerce"/>
    <s v="Large"/>
    <n v="2021"/>
  </r>
  <r>
    <s v="C0590"/>
    <x v="1"/>
    <d v="2021-06-24T00:00:00"/>
    <d v="2024-12-31T00:00:00"/>
    <n v="15"/>
    <s v="Active"/>
    <s v="Google"/>
    <s v="Jun-2021"/>
    <s v="Dec-2024"/>
    <s v="Germany"/>
    <s v="E-commerce"/>
    <s v="Medium"/>
    <n v="2021"/>
  </r>
  <r>
    <s v="C0591"/>
    <x v="2"/>
    <d v="2024-05-15T00:00:00"/>
    <d v="2024-12-31T00:00:00"/>
    <n v="25"/>
    <s v="Active"/>
    <s v="Referral"/>
    <s v="May-2024"/>
    <s v="Dec-2024"/>
    <s v="Germany"/>
    <s v="Retail"/>
    <s v="Large"/>
    <n v="2024"/>
  </r>
  <r>
    <s v="C0592"/>
    <x v="2"/>
    <d v="2020-06-18T00:00:00"/>
    <d v="2022-04-21T00:00:00"/>
    <n v="25"/>
    <s v="Churned"/>
    <s v="LinkedIn"/>
    <s v="Jun-2020"/>
    <s v="Apr-2022"/>
    <s v="Germany"/>
    <s v="E-commerce"/>
    <s v="Small"/>
    <n v="2020"/>
  </r>
  <r>
    <s v="C0593"/>
    <x v="0"/>
    <d v="2023-05-12T00:00:00"/>
    <d v="2024-12-31T00:00:00"/>
    <n v="40"/>
    <s v="Active"/>
    <s v="LinkedIn"/>
    <s v="May-2023"/>
    <s v="Dec-2024"/>
    <s v="Netherlands"/>
    <s v="Retail"/>
    <s v="Medium"/>
    <n v="2023"/>
  </r>
  <r>
    <s v="C0594"/>
    <x v="0"/>
    <d v="2023-04-21T00:00:00"/>
    <d v="2024-12-31T00:00:00"/>
    <n v="40"/>
    <s v="Active"/>
    <s v="LinkedIn"/>
    <s v="Apr-2023"/>
    <s v="Dec-2024"/>
    <s v="Spain"/>
    <s v="Education"/>
    <s v="Small"/>
    <n v="2023"/>
  </r>
  <r>
    <s v="C0595"/>
    <x v="2"/>
    <d v="2022-02-23T00:00:00"/>
    <d v="2024-12-31T00:00:00"/>
    <n v="25"/>
    <s v="Active"/>
    <s v="Instagram"/>
    <s v="Feb-2022"/>
    <s v="Dec-2024"/>
    <s v="Sweden"/>
    <s v="Retail"/>
    <s v="Medium"/>
    <n v="2022"/>
  </r>
  <r>
    <s v="C0596"/>
    <x v="2"/>
    <d v="2024-04-29T00:00:00"/>
    <d v="2024-12-31T00:00:00"/>
    <n v="25"/>
    <s v="Active"/>
    <s v="Referral"/>
    <s v="Apr-2024"/>
    <s v="Dec-2024"/>
    <s v="Germany"/>
    <s v="Finance"/>
    <s v="Enterprise"/>
    <n v="2024"/>
  </r>
  <r>
    <s v="C0597"/>
    <x v="0"/>
    <d v="2020-11-28T00:00:00"/>
    <d v="2024-12-31T00:00:00"/>
    <n v="40"/>
    <s v="Active"/>
    <s v="Google"/>
    <s v="Nov-2020"/>
    <s v="Dec-2024"/>
    <s v="Sweden"/>
    <s v="Education"/>
    <s v="Medium"/>
    <n v="2020"/>
  </r>
  <r>
    <s v="C0598"/>
    <x v="2"/>
    <d v="2023-10-05T00:00:00"/>
    <d v="2024-12-31T00:00:00"/>
    <n v="25"/>
    <s v="Active"/>
    <s v="Facebook"/>
    <s v="Oct-2023"/>
    <s v="Dec-2024"/>
    <s v="Spain"/>
    <s v="Finance"/>
    <s v="Large"/>
    <n v="2023"/>
  </r>
  <r>
    <s v="C0599"/>
    <x v="0"/>
    <d v="2022-10-24T00:00:00"/>
    <d v="2024-02-12T00:00:00"/>
    <n v="40"/>
    <s v="Churned"/>
    <s v="Facebook"/>
    <s v="Oct-2022"/>
    <s v="Feb-2024"/>
    <s v="Netherlands"/>
    <s v="Education"/>
    <s v="Medium"/>
    <n v="2022"/>
  </r>
  <r>
    <s v="C0600"/>
    <x v="0"/>
    <d v="2020-11-25T00:00:00"/>
    <d v="2024-12-31T00:00:00"/>
    <n v="40"/>
    <s v="Active"/>
    <s v="Facebook"/>
    <s v="Nov-2020"/>
    <s v="Dec-2024"/>
    <s v="France"/>
    <s v="Retail"/>
    <s v="Medium"/>
    <n v="2020"/>
  </r>
  <r>
    <s v="C0601"/>
    <x v="1"/>
    <d v="2022-01-25T00:00:00"/>
    <d v="2024-12-31T00:00:00"/>
    <n v="15"/>
    <s v="Active"/>
    <s v="LinkedIn"/>
    <s v="Jan-2022"/>
    <s v="Dec-2024"/>
    <s v="Netherlands"/>
    <s v="Tech"/>
    <s v="Small"/>
    <n v="2022"/>
  </r>
  <r>
    <s v="C0602"/>
    <x v="2"/>
    <d v="2021-10-03T00:00:00"/>
    <d v="2021-12-06T00:00:00"/>
    <n v="25"/>
    <s v="Churned"/>
    <s v="Referral"/>
    <s v="Oct-2021"/>
    <s v="Dec-2021"/>
    <s v="Sweden"/>
    <s v="Finance"/>
    <s v="Large"/>
    <n v="2021"/>
  </r>
  <r>
    <s v="C0603"/>
    <x v="1"/>
    <d v="2020-11-01T00:00:00"/>
    <d v="2024-12-31T00:00:00"/>
    <n v="15"/>
    <s v="Active"/>
    <s v="Facebook"/>
    <s v="Nov-2020"/>
    <s v="Dec-2024"/>
    <s v="Italy"/>
    <s v="Healthcare"/>
    <s v="Medium"/>
    <n v="2020"/>
  </r>
  <r>
    <s v="C0604"/>
    <x v="1"/>
    <d v="2020-10-15T00:00:00"/>
    <d v="2021-12-16T00:00:00"/>
    <n v="15"/>
    <s v="Churned"/>
    <s v="Facebook"/>
    <s v="Oct-2020"/>
    <s v="Dec-2021"/>
    <s v="Germany"/>
    <s v="Education"/>
    <s v="Small"/>
    <n v="2020"/>
  </r>
  <r>
    <s v="C0605"/>
    <x v="0"/>
    <d v="2022-09-11T00:00:00"/>
    <d v="2024-12-31T00:00:00"/>
    <n v="40"/>
    <s v="Active"/>
    <s v="Referral"/>
    <s v="Sep-2022"/>
    <s v="Dec-2024"/>
    <s v="Netherlands"/>
    <s v="Tech"/>
    <s v="Medium"/>
    <n v="2022"/>
  </r>
  <r>
    <s v="C0606"/>
    <x v="2"/>
    <d v="2021-09-29T00:00:00"/>
    <d v="2023-04-15T00:00:00"/>
    <n v="25"/>
    <s v="Churned"/>
    <s v="Instagram"/>
    <s v="Sep-2021"/>
    <s v="Apr-2023"/>
    <s v="Italy"/>
    <s v="Healthcare"/>
    <s v="Enterprise"/>
    <n v="2021"/>
  </r>
  <r>
    <s v="C0607"/>
    <x v="0"/>
    <d v="2023-06-08T00:00:00"/>
    <d v="2024-12-31T00:00:00"/>
    <n v="40"/>
    <s v="Active"/>
    <s v="Google"/>
    <s v="Jun-2023"/>
    <s v="Dec-2024"/>
    <s v="Germany"/>
    <s v="Retail"/>
    <s v="Small"/>
    <n v="2023"/>
  </r>
  <r>
    <s v="C0608"/>
    <x v="0"/>
    <d v="2021-07-26T00:00:00"/>
    <d v="2023-09-05T00:00:00"/>
    <n v="40"/>
    <s v="Churned"/>
    <s v="Facebook"/>
    <s v="Jul-2021"/>
    <s v="Sep-2023"/>
    <s v="Italy"/>
    <s v="E-commerce"/>
    <s v="Large"/>
    <n v="2021"/>
  </r>
  <r>
    <s v="C0609"/>
    <x v="2"/>
    <d v="2024-06-09T00:00:00"/>
    <d v="2024-12-31T00:00:00"/>
    <n v="25"/>
    <s v="Active"/>
    <s v="Facebook"/>
    <s v="Jun-2024"/>
    <s v="Dec-2024"/>
    <s v="Sweden"/>
    <s v="Finance"/>
    <s v="Medium"/>
    <n v="2024"/>
  </r>
  <r>
    <s v="C0610"/>
    <x v="2"/>
    <d v="2022-07-11T00:00:00"/>
    <d v="2024-12-31T00:00:00"/>
    <n v="25"/>
    <s v="Active"/>
    <s v="Facebook"/>
    <s v="Jul-2022"/>
    <s v="Dec-2024"/>
    <s v="Italy"/>
    <s v="Education"/>
    <s v="Large"/>
    <n v="2022"/>
  </r>
  <r>
    <s v="C0611"/>
    <x v="0"/>
    <d v="2022-05-23T00:00:00"/>
    <d v="2022-10-18T00:00:00"/>
    <n v="40"/>
    <s v="Churned"/>
    <s v="Google"/>
    <s v="May-2022"/>
    <s v="Oct-2022"/>
    <s v="Spain"/>
    <s v="Healthcare"/>
    <s v="Enterprise"/>
    <n v="2022"/>
  </r>
  <r>
    <s v="C0612"/>
    <x v="2"/>
    <d v="2022-03-04T00:00:00"/>
    <d v="2024-12-31T00:00:00"/>
    <n v="25"/>
    <s v="Active"/>
    <s v="LinkedIn"/>
    <s v="Mar-2022"/>
    <s v="Dec-2024"/>
    <s v="Italy"/>
    <s v="Retail"/>
    <s v="Large"/>
    <n v="2022"/>
  </r>
  <r>
    <s v="C0613"/>
    <x v="0"/>
    <d v="2023-07-19T00:00:00"/>
    <d v="2024-12-31T00:00:00"/>
    <n v="40"/>
    <s v="Active"/>
    <s v="Facebook"/>
    <s v="Jul-2023"/>
    <s v="Dec-2024"/>
    <s v="Spain"/>
    <s v="E-commerce"/>
    <s v="Large"/>
    <n v="2023"/>
  </r>
  <r>
    <s v="C0614"/>
    <x v="2"/>
    <d v="2022-08-03T00:00:00"/>
    <d v="2024-12-31T00:00:00"/>
    <n v="25"/>
    <s v="Active"/>
    <s v="Facebook"/>
    <s v="Aug-2022"/>
    <s v="Dec-2024"/>
    <s v="Spain"/>
    <s v="Finance"/>
    <s v="Medium"/>
    <n v="2022"/>
  </r>
  <r>
    <s v="C0615"/>
    <x v="1"/>
    <d v="2023-09-12T00:00:00"/>
    <d v="2024-04-19T00:00:00"/>
    <n v="15"/>
    <s v="Churned"/>
    <s v="Instagram"/>
    <s v="Sep-2023"/>
    <s v="Apr-2024"/>
    <s v="Sweden"/>
    <s v="E-commerce"/>
    <s v="Medium"/>
    <n v="2023"/>
  </r>
  <r>
    <s v="C0616"/>
    <x v="0"/>
    <d v="2024-05-23T00:00:00"/>
    <d v="2024-12-31T00:00:00"/>
    <n v="40"/>
    <s v="Active"/>
    <s v="Referral"/>
    <s v="May-2024"/>
    <s v="Dec-2024"/>
    <s v="Sweden"/>
    <s v="Education"/>
    <s v="Small"/>
    <n v="2024"/>
  </r>
  <r>
    <s v="C0617"/>
    <x v="1"/>
    <d v="2023-11-15T00:00:00"/>
    <d v="2024-01-26T00:00:00"/>
    <n v="15"/>
    <s v="Churned"/>
    <s v="Facebook"/>
    <s v="Nov-2023"/>
    <s v="Jan-2024"/>
    <s v="Spain"/>
    <s v="Healthcare"/>
    <s v="Enterprise"/>
    <n v="2023"/>
  </r>
  <r>
    <s v="C0618"/>
    <x v="0"/>
    <d v="2020-03-19T00:00:00"/>
    <d v="2022-05-21T00:00:00"/>
    <n v="40"/>
    <s v="Churned"/>
    <s v="Google"/>
    <s v="Mar-2020"/>
    <s v="May-2022"/>
    <s v="France"/>
    <s v="Retail"/>
    <s v="Large"/>
    <n v="2020"/>
  </r>
  <r>
    <s v="C0619"/>
    <x v="2"/>
    <d v="2020-09-09T00:00:00"/>
    <d v="2024-12-31T00:00:00"/>
    <n v="25"/>
    <s v="Active"/>
    <s v="Facebook"/>
    <s v="Sep-2020"/>
    <s v="Dec-2024"/>
    <s v="France"/>
    <s v="E-commerce"/>
    <s v="Enterprise"/>
    <n v="2020"/>
  </r>
  <r>
    <s v="C0620"/>
    <x v="1"/>
    <d v="2020-07-08T00:00:00"/>
    <d v="2024-12-31T00:00:00"/>
    <n v="15"/>
    <s v="Active"/>
    <s v="Facebook"/>
    <s v="Jul-2020"/>
    <s v="Dec-2024"/>
    <s v="France"/>
    <s v="Finance"/>
    <s v="Medium"/>
    <n v="2020"/>
  </r>
  <r>
    <s v="C0621"/>
    <x v="0"/>
    <d v="2021-12-09T00:00:00"/>
    <d v="2024-12-31T00:00:00"/>
    <n v="40"/>
    <s v="Active"/>
    <s v="Referral"/>
    <s v="Dec-2021"/>
    <s v="Dec-2024"/>
    <s v="Italy"/>
    <s v="E-commerce"/>
    <s v="Medium"/>
    <n v="2021"/>
  </r>
  <r>
    <s v="C0622"/>
    <x v="1"/>
    <d v="2022-06-10T00:00:00"/>
    <d v="2024-12-31T00:00:00"/>
    <n v="15"/>
    <s v="Active"/>
    <s v="Referral"/>
    <s v="Jun-2022"/>
    <s v="Dec-2024"/>
    <s v="Spain"/>
    <s v="Retail"/>
    <s v="Large"/>
    <n v="2022"/>
  </r>
  <r>
    <s v="C0623"/>
    <x v="1"/>
    <d v="2020-09-04T00:00:00"/>
    <d v="2024-12-31T00:00:00"/>
    <n v="15"/>
    <s v="Active"/>
    <s v="Google"/>
    <s v="Sep-2020"/>
    <s v="Dec-2024"/>
    <s v="Sweden"/>
    <s v="Finance"/>
    <s v="Small"/>
    <n v="2020"/>
  </r>
  <r>
    <s v="C0624"/>
    <x v="2"/>
    <d v="2022-09-03T00:00:00"/>
    <d v="2024-10-19T00:00:00"/>
    <n v="25"/>
    <s v="Churned"/>
    <s v="Instagram"/>
    <s v="Sep-2022"/>
    <s v="Oct-2024"/>
    <s v="France"/>
    <s v="Healthcare"/>
    <s v="Small"/>
    <n v="2022"/>
  </r>
  <r>
    <s v="C0625"/>
    <x v="1"/>
    <d v="2022-01-24T00:00:00"/>
    <d v="2022-06-02T00:00:00"/>
    <n v="15"/>
    <s v="Churned"/>
    <s v="Referral"/>
    <s v="Jan-2022"/>
    <s v="Jun-2022"/>
    <s v="Italy"/>
    <s v="Tech"/>
    <s v="Large"/>
    <n v="2022"/>
  </r>
  <r>
    <s v="C0626"/>
    <x v="0"/>
    <d v="2023-08-12T00:00:00"/>
    <d v="2024-12-31T00:00:00"/>
    <n v="40"/>
    <s v="Active"/>
    <s v="Facebook"/>
    <s v="Aug-2023"/>
    <s v="Dec-2024"/>
    <s v="Netherlands"/>
    <s v="Retail"/>
    <s v="Medium"/>
    <n v="2023"/>
  </r>
  <r>
    <s v="C0627"/>
    <x v="0"/>
    <d v="2024-04-01T00:00:00"/>
    <d v="2024-12-31T00:00:00"/>
    <n v="40"/>
    <s v="Active"/>
    <s v="LinkedIn"/>
    <s v="Apr-2024"/>
    <s v="Dec-2024"/>
    <s v="Spain"/>
    <s v="Retail"/>
    <s v="Large"/>
    <n v="2024"/>
  </r>
  <r>
    <s v="C0628"/>
    <x v="0"/>
    <d v="2021-03-22T00:00:00"/>
    <d v="2024-12-31T00:00:00"/>
    <n v="40"/>
    <s v="Active"/>
    <s v="LinkedIn"/>
    <s v="Mar-2021"/>
    <s v="Dec-2024"/>
    <s v="Spain"/>
    <s v="E-commerce"/>
    <s v="Small"/>
    <n v="2021"/>
  </r>
  <r>
    <s v="C0629"/>
    <x v="1"/>
    <d v="2023-07-09T00:00:00"/>
    <d v="2024-12-31T00:00:00"/>
    <n v="15"/>
    <s v="Active"/>
    <s v="Referral"/>
    <s v="Jul-2023"/>
    <s v="Dec-2024"/>
    <s v="France"/>
    <s v="E-commerce"/>
    <s v="Small"/>
    <n v="2023"/>
  </r>
  <r>
    <s v="C0630"/>
    <x v="2"/>
    <d v="2023-02-20T00:00:00"/>
    <d v="2024-12-31T00:00:00"/>
    <n v="25"/>
    <s v="Active"/>
    <s v="Facebook"/>
    <s v="Feb-2023"/>
    <s v="Dec-2024"/>
    <s v="Netherlands"/>
    <s v="Retail"/>
    <s v="Enterprise"/>
    <n v="2023"/>
  </r>
  <r>
    <s v="C0631"/>
    <x v="2"/>
    <d v="2024-03-14T00:00:00"/>
    <d v="2024-12-31T00:00:00"/>
    <n v="25"/>
    <s v="Active"/>
    <s v="Google"/>
    <s v="Mar-2024"/>
    <s v="Dec-2024"/>
    <s v="Spain"/>
    <s v="E-commerce"/>
    <s v="Enterprise"/>
    <n v="2024"/>
  </r>
  <r>
    <s v="C0632"/>
    <x v="1"/>
    <d v="2024-02-23T00:00:00"/>
    <d v="2024-12-31T00:00:00"/>
    <n v="15"/>
    <s v="Active"/>
    <s v="Referral"/>
    <s v="Feb-2024"/>
    <s v="Dec-2024"/>
    <s v="Netherlands"/>
    <s v="Education"/>
    <s v="Medium"/>
    <n v="2024"/>
  </r>
  <r>
    <s v="C0633"/>
    <x v="2"/>
    <d v="2022-05-17T00:00:00"/>
    <d v="2024-12-31T00:00:00"/>
    <n v="25"/>
    <s v="Active"/>
    <s v="Google"/>
    <s v="May-2022"/>
    <s v="Dec-2024"/>
    <s v="Italy"/>
    <s v="Healthcare"/>
    <s v="Large"/>
    <n v="2022"/>
  </r>
  <r>
    <s v="C0634"/>
    <x v="0"/>
    <d v="2021-12-17T00:00:00"/>
    <d v="2022-05-19T00:00:00"/>
    <n v="40"/>
    <s v="Churned"/>
    <s v="Google"/>
    <s v="Dec-2021"/>
    <s v="May-2022"/>
    <s v="Sweden"/>
    <s v="Finance"/>
    <s v="Large"/>
    <n v="2021"/>
  </r>
  <r>
    <s v="C0635"/>
    <x v="2"/>
    <d v="2023-09-29T00:00:00"/>
    <d v="2024-06-19T00:00:00"/>
    <n v="25"/>
    <s v="Churned"/>
    <s v="Facebook"/>
    <s v="Sep-2023"/>
    <s v="Jun-2024"/>
    <s v="Sweden"/>
    <s v="Education"/>
    <s v="Large"/>
    <n v="2023"/>
  </r>
  <r>
    <s v="C0636"/>
    <x v="0"/>
    <d v="2022-04-11T00:00:00"/>
    <d v="2022-07-24T00:00:00"/>
    <n v="40"/>
    <s v="Churned"/>
    <s v="Facebook"/>
    <s v="Apr-2022"/>
    <s v="Jul-2022"/>
    <s v="France"/>
    <s v="Education"/>
    <s v="Small"/>
    <n v="2022"/>
  </r>
  <r>
    <s v="C0637"/>
    <x v="1"/>
    <d v="2020-06-26T00:00:00"/>
    <d v="2024-12-31T00:00:00"/>
    <n v="15"/>
    <s v="Active"/>
    <s v="Google"/>
    <s v="Jun-2020"/>
    <s v="Dec-2024"/>
    <s v="Sweden"/>
    <s v="Healthcare"/>
    <s v="Large"/>
    <n v="2020"/>
  </r>
  <r>
    <s v="C0638"/>
    <x v="1"/>
    <d v="2022-06-30T00:00:00"/>
    <d v="2024-12-31T00:00:00"/>
    <n v="15"/>
    <s v="Active"/>
    <s v="Referral"/>
    <s v="Jun-2022"/>
    <s v="Dec-2024"/>
    <s v="Germany"/>
    <s v="E-commerce"/>
    <s v="Enterprise"/>
    <n v="2022"/>
  </r>
  <r>
    <s v="C0639"/>
    <x v="0"/>
    <d v="2021-12-01T00:00:00"/>
    <d v="2024-12-31T00:00:00"/>
    <n v="40"/>
    <s v="Active"/>
    <s v="Google"/>
    <s v="Dec-2021"/>
    <s v="Dec-2024"/>
    <s v="France"/>
    <s v="Retail"/>
    <s v="Small"/>
    <n v="2021"/>
  </r>
  <r>
    <s v="C0640"/>
    <x v="0"/>
    <d v="2020-01-02T00:00:00"/>
    <d v="2022-04-28T00:00:00"/>
    <n v="40"/>
    <s v="Churned"/>
    <s v="Google"/>
    <s v="Jan-2020"/>
    <s v="Apr-2022"/>
    <s v="Sweden"/>
    <s v="E-commerce"/>
    <s v="Large"/>
    <n v="2020"/>
  </r>
  <r>
    <s v="C0641"/>
    <x v="1"/>
    <d v="2023-10-29T00:00:00"/>
    <d v="2024-12-31T00:00:00"/>
    <n v="15"/>
    <s v="Active"/>
    <s v="LinkedIn"/>
    <s v="Oct-2023"/>
    <s v="Dec-2024"/>
    <s v="Netherlands"/>
    <s v="Tech"/>
    <s v="Medium"/>
    <n v="2023"/>
  </r>
  <r>
    <s v="C0642"/>
    <x v="1"/>
    <d v="2024-06-03T00:00:00"/>
    <d v="2024-12-31T00:00:00"/>
    <n v="15"/>
    <s v="Active"/>
    <s v="LinkedIn"/>
    <s v="Jun-2024"/>
    <s v="Dec-2024"/>
    <s v="Germany"/>
    <s v="Tech"/>
    <s v="Medium"/>
    <n v="2024"/>
  </r>
  <r>
    <s v="C0643"/>
    <x v="1"/>
    <d v="2023-04-13T00:00:00"/>
    <d v="2024-12-31T00:00:00"/>
    <n v="15"/>
    <s v="Active"/>
    <s v="Google"/>
    <s v="Apr-2023"/>
    <s v="Dec-2024"/>
    <s v="Netherlands"/>
    <s v="E-commerce"/>
    <s v="Enterprise"/>
    <n v="2023"/>
  </r>
  <r>
    <s v="C0644"/>
    <x v="1"/>
    <d v="2023-07-30T00:00:00"/>
    <d v="2024-12-31T00:00:00"/>
    <n v="15"/>
    <s v="Churned"/>
    <s v="Google"/>
    <s v="Jul-2023"/>
    <s v="Dec-2024"/>
    <s v="Germany"/>
    <s v="Tech"/>
    <s v="Small"/>
    <n v="2023"/>
  </r>
  <r>
    <s v="C0645"/>
    <x v="2"/>
    <d v="2024-04-16T00:00:00"/>
    <d v="2024-12-31T00:00:00"/>
    <n v="25"/>
    <s v="Churned"/>
    <s v="Referral"/>
    <s v="Apr-2024"/>
    <s v="Dec-2024"/>
    <s v="Germany"/>
    <s v="Tech"/>
    <s v="Large"/>
    <n v="2024"/>
  </r>
  <r>
    <s v="C0646"/>
    <x v="1"/>
    <d v="2020-07-20T00:00:00"/>
    <d v="2024-12-31T00:00:00"/>
    <n v="15"/>
    <s v="Active"/>
    <s v="LinkedIn"/>
    <s v="Jul-2020"/>
    <s v="Dec-2024"/>
    <s v="Sweden"/>
    <s v="Tech"/>
    <s v="Large"/>
    <n v="2020"/>
  </r>
  <r>
    <s v="C0647"/>
    <x v="1"/>
    <d v="2022-04-24T00:00:00"/>
    <d v="2024-12-31T00:00:00"/>
    <n v="15"/>
    <s v="Active"/>
    <s v="LinkedIn"/>
    <s v="Apr-2022"/>
    <s v="Dec-2024"/>
    <s v="Germany"/>
    <s v="Education"/>
    <s v="Large"/>
    <n v="2022"/>
  </r>
  <r>
    <s v="C0648"/>
    <x v="0"/>
    <d v="2023-11-25T00:00:00"/>
    <d v="2024-10-25T00:00:00"/>
    <n v="40"/>
    <s v="Churned"/>
    <s v="LinkedIn"/>
    <s v="Nov-2023"/>
    <s v="Oct-2024"/>
    <s v="Netherlands"/>
    <s v="Healthcare"/>
    <s v="Small"/>
    <n v="2023"/>
  </r>
  <r>
    <s v="C0649"/>
    <x v="0"/>
    <d v="2021-01-19T00:00:00"/>
    <d v="2024-12-31T00:00:00"/>
    <n v="40"/>
    <s v="Active"/>
    <s v="Instagram"/>
    <s v="Jan-2021"/>
    <s v="Dec-2024"/>
    <s v="Germany"/>
    <s v="Healthcare"/>
    <s v="Small"/>
    <n v="2021"/>
  </r>
  <r>
    <s v="C0650"/>
    <x v="1"/>
    <d v="2024-01-27T00:00:00"/>
    <d v="2024-12-31T00:00:00"/>
    <n v="15"/>
    <s v="Churned"/>
    <s v="Instagram"/>
    <s v="Jan-2024"/>
    <s v="Dec-2024"/>
    <s v="Sweden"/>
    <s v="E-commerce"/>
    <s v="Small"/>
    <n v="2024"/>
  </r>
  <r>
    <s v="C0651"/>
    <x v="2"/>
    <d v="2022-12-16T00:00:00"/>
    <d v="2024-12-31T00:00:00"/>
    <n v="25"/>
    <s v="Active"/>
    <s v="Facebook"/>
    <s v="Dec-2022"/>
    <s v="Dec-2024"/>
    <s v="Italy"/>
    <s v="Tech"/>
    <s v="Enterprise"/>
    <n v="2022"/>
  </r>
  <r>
    <s v="C0652"/>
    <x v="2"/>
    <d v="2020-04-06T00:00:00"/>
    <d v="2024-12-31T00:00:00"/>
    <n v="25"/>
    <s v="Active"/>
    <s v="Referral"/>
    <s v="Apr-2020"/>
    <s v="Dec-2024"/>
    <s v="Sweden"/>
    <s v="Healthcare"/>
    <s v="Medium"/>
    <n v="2020"/>
  </r>
  <r>
    <s v="C0653"/>
    <x v="0"/>
    <d v="2021-06-08T00:00:00"/>
    <d v="2022-11-19T00:00:00"/>
    <n v="40"/>
    <s v="Churned"/>
    <s v="Google"/>
    <s v="Jun-2021"/>
    <s v="Nov-2022"/>
    <s v="Germany"/>
    <s v="Retail"/>
    <s v="Medium"/>
    <n v="2021"/>
  </r>
  <r>
    <s v="C0654"/>
    <x v="2"/>
    <d v="2022-11-15T00:00:00"/>
    <d v="2024-12-31T00:00:00"/>
    <n v="25"/>
    <s v="Active"/>
    <s v="Instagram"/>
    <s v="Nov-2022"/>
    <s v="Dec-2024"/>
    <s v="Sweden"/>
    <s v="E-commerce"/>
    <s v="Large"/>
    <n v="2022"/>
  </r>
  <r>
    <s v="C0655"/>
    <x v="1"/>
    <d v="2024-01-23T00:00:00"/>
    <d v="2024-12-31T00:00:00"/>
    <n v="15"/>
    <s v="Active"/>
    <s v="LinkedIn"/>
    <s v="Jan-2024"/>
    <s v="Dec-2024"/>
    <s v="Italy"/>
    <s v="Healthcare"/>
    <s v="Medium"/>
    <n v="2024"/>
  </r>
  <r>
    <s v="C0656"/>
    <x v="0"/>
    <d v="2022-09-25T00:00:00"/>
    <d v="2023-03-09T00:00:00"/>
    <n v="40"/>
    <s v="Churned"/>
    <s v="LinkedIn"/>
    <s v="Sep-2022"/>
    <s v="Mar-2023"/>
    <s v="Sweden"/>
    <s v="Healthcare"/>
    <s v="Small"/>
    <n v="2022"/>
  </r>
  <r>
    <s v="C0657"/>
    <x v="1"/>
    <d v="2023-08-30T00:00:00"/>
    <d v="2024-12-31T00:00:00"/>
    <n v="15"/>
    <s v="Churned"/>
    <s v="Instagram"/>
    <s v="Aug-2023"/>
    <s v="Dec-2024"/>
    <s v="Italy"/>
    <s v="Finance"/>
    <s v="Medium"/>
    <n v="2023"/>
  </r>
  <r>
    <s v="C0658"/>
    <x v="2"/>
    <d v="2024-03-14T00:00:00"/>
    <d v="2024-08-23T00:00:00"/>
    <n v="25"/>
    <s v="Churned"/>
    <s v="Facebook"/>
    <s v="Mar-2024"/>
    <s v="Aug-2024"/>
    <s v="France"/>
    <s v="Education"/>
    <s v="Medium"/>
    <n v="2024"/>
  </r>
  <r>
    <s v="C0659"/>
    <x v="2"/>
    <d v="2024-06-13T00:00:00"/>
    <d v="2024-12-31T00:00:00"/>
    <n v="25"/>
    <s v="Active"/>
    <s v="LinkedIn"/>
    <s v="Jun-2024"/>
    <s v="Dec-2024"/>
    <s v="Netherlands"/>
    <s v="Retail"/>
    <s v="Enterprise"/>
    <n v="2024"/>
  </r>
  <r>
    <s v="C0660"/>
    <x v="0"/>
    <d v="2022-06-17T00:00:00"/>
    <d v="2024-12-31T00:00:00"/>
    <n v="40"/>
    <s v="Active"/>
    <s v="Instagram"/>
    <s v="Jun-2022"/>
    <s v="Dec-2024"/>
    <s v="Netherlands"/>
    <s v="Tech"/>
    <s v="Enterprise"/>
    <n v="2022"/>
  </r>
  <r>
    <s v="C0661"/>
    <x v="1"/>
    <d v="2022-08-24T00:00:00"/>
    <d v="2024-12-31T00:00:00"/>
    <n v="15"/>
    <s v="Active"/>
    <s v="LinkedIn"/>
    <s v="Aug-2022"/>
    <s v="Dec-2024"/>
    <s v="Germany"/>
    <s v="E-commerce"/>
    <s v="Medium"/>
    <n v="2022"/>
  </r>
  <r>
    <s v="C0662"/>
    <x v="0"/>
    <d v="2023-10-01T00:00:00"/>
    <d v="2024-12-31T00:00:00"/>
    <n v="40"/>
    <s v="Active"/>
    <s v="Facebook"/>
    <s v="Oct-2023"/>
    <s v="Dec-2024"/>
    <s v="France"/>
    <s v="Healthcare"/>
    <s v="Large"/>
    <n v="2023"/>
  </r>
  <r>
    <s v="C0663"/>
    <x v="2"/>
    <d v="2021-01-06T00:00:00"/>
    <d v="2024-12-31T00:00:00"/>
    <n v="25"/>
    <s v="Active"/>
    <s v="Referral"/>
    <s v="Jan-2021"/>
    <s v="Dec-2024"/>
    <s v="Sweden"/>
    <s v="Retail"/>
    <s v="Medium"/>
    <n v="2021"/>
  </r>
  <r>
    <s v="C0664"/>
    <x v="2"/>
    <d v="2021-11-18T00:00:00"/>
    <d v="2024-12-31T00:00:00"/>
    <n v="25"/>
    <s v="Active"/>
    <s v="Referral"/>
    <s v="Nov-2021"/>
    <s v="Dec-2024"/>
    <s v="Italy"/>
    <s v="Tech"/>
    <s v="Enterprise"/>
    <n v="2021"/>
  </r>
  <r>
    <s v="C0665"/>
    <x v="1"/>
    <d v="2022-11-16T00:00:00"/>
    <d v="2024-12-31T00:00:00"/>
    <n v="15"/>
    <s v="Active"/>
    <s v="Facebook"/>
    <s v="Nov-2022"/>
    <s v="Dec-2024"/>
    <s v="France"/>
    <s v="E-commerce"/>
    <s v="Medium"/>
    <n v="2022"/>
  </r>
  <r>
    <s v="C0666"/>
    <x v="2"/>
    <d v="2021-06-19T00:00:00"/>
    <d v="2023-03-31T00:00:00"/>
    <n v="25"/>
    <s v="Churned"/>
    <s v="Instagram"/>
    <s v="Jun-2021"/>
    <s v="Mar-2023"/>
    <s v="Italy"/>
    <s v="Retail"/>
    <s v="Enterprise"/>
    <n v="2021"/>
  </r>
  <r>
    <s v="C0667"/>
    <x v="0"/>
    <d v="2024-01-11T00:00:00"/>
    <d v="2024-12-31T00:00:00"/>
    <n v="40"/>
    <s v="Active"/>
    <s v="Google"/>
    <s v="Jan-2024"/>
    <s v="Dec-2024"/>
    <s v="Netherlands"/>
    <s v="E-commerce"/>
    <s v="Small"/>
    <n v="2024"/>
  </r>
  <r>
    <s v="C0668"/>
    <x v="2"/>
    <d v="2020-01-07T00:00:00"/>
    <d v="2024-12-31T00:00:00"/>
    <n v="25"/>
    <s v="Active"/>
    <s v="Facebook"/>
    <s v="Jan-2020"/>
    <s v="Dec-2024"/>
    <s v="France"/>
    <s v="Healthcare"/>
    <s v="Enterprise"/>
    <n v="2020"/>
  </r>
  <r>
    <s v="C0669"/>
    <x v="1"/>
    <d v="2022-04-13T00:00:00"/>
    <d v="2024-12-31T00:00:00"/>
    <n v="15"/>
    <s v="Active"/>
    <s v="Google"/>
    <s v="Apr-2022"/>
    <s v="Dec-2024"/>
    <s v="Italy"/>
    <s v="Retail"/>
    <s v="Medium"/>
    <n v="2022"/>
  </r>
  <r>
    <s v="C0670"/>
    <x v="0"/>
    <d v="2020-10-27T00:00:00"/>
    <d v="2022-07-28T00:00:00"/>
    <n v="40"/>
    <s v="Churned"/>
    <s v="LinkedIn"/>
    <s v="Oct-2020"/>
    <s v="Jul-2022"/>
    <s v="Netherlands"/>
    <s v="Healthcare"/>
    <s v="Large"/>
    <n v="2020"/>
  </r>
  <r>
    <s v="C0671"/>
    <x v="0"/>
    <d v="2023-08-16T00:00:00"/>
    <d v="2024-12-31T00:00:00"/>
    <n v="40"/>
    <s v="Active"/>
    <s v="Google"/>
    <s v="Aug-2023"/>
    <s v="Dec-2024"/>
    <s v="Sweden"/>
    <s v="Education"/>
    <s v="Medium"/>
    <n v="2023"/>
  </r>
  <r>
    <s v="C0672"/>
    <x v="0"/>
    <d v="2021-06-20T00:00:00"/>
    <d v="2024-12-31T00:00:00"/>
    <n v="40"/>
    <s v="Active"/>
    <s v="LinkedIn"/>
    <s v="Jun-2021"/>
    <s v="Dec-2024"/>
    <s v="Germany"/>
    <s v="Tech"/>
    <s v="Medium"/>
    <n v="2021"/>
  </r>
  <r>
    <s v="C0673"/>
    <x v="2"/>
    <d v="2022-07-03T00:00:00"/>
    <d v="2024-12-31T00:00:00"/>
    <n v="25"/>
    <s v="Active"/>
    <s v="Google"/>
    <s v="Jul-2022"/>
    <s v="Dec-2024"/>
    <s v="Netherlands"/>
    <s v="E-commerce"/>
    <s v="Large"/>
    <n v="2022"/>
  </r>
  <r>
    <s v="C0674"/>
    <x v="1"/>
    <d v="2020-11-14T00:00:00"/>
    <d v="2024-12-31T00:00:00"/>
    <n v="15"/>
    <s v="Active"/>
    <s v="Facebook"/>
    <s v="Nov-2020"/>
    <s v="Dec-2024"/>
    <s v="France"/>
    <s v="Healthcare"/>
    <s v="Large"/>
    <n v="2020"/>
  </r>
  <r>
    <s v="C0675"/>
    <x v="0"/>
    <d v="2020-10-20T00:00:00"/>
    <d v="2024-12-31T00:00:00"/>
    <n v="40"/>
    <s v="Active"/>
    <s v="Referral"/>
    <s v="Oct-2020"/>
    <s v="Dec-2024"/>
    <s v="Netherlands"/>
    <s v="Finance"/>
    <s v="Medium"/>
    <n v="2020"/>
  </r>
  <r>
    <s v="C0676"/>
    <x v="0"/>
    <d v="2020-02-01T00:00:00"/>
    <d v="2022-01-11T00:00:00"/>
    <n v="40"/>
    <s v="Churned"/>
    <s v="Referral"/>
    <s v="Feb-2020"/>
    <s v="Jan-2022"/>
    <s v="Netherlands"/>
    <s v="Finance"/>
    <s v="Enterprise"/>
    <n v="2020"/>
  </r>
  <r>
    <s v="C0677"/>
    <x v="0"/>
    <d v="2023-05-31T00:00:00"/>
    <d v="2024-12-31T00:00:00"/>
    <n v="40"/>
    <s v="Active"/>
    <s v="Facebook"/>
    <s v="May-2023"/>
    <s v="Dec-2024"/>
    <s v="Germany"/>
    <s v="Tech"/>
    <s v="Small"/>
    <n v="2023"/>
  </r>
  <r>
    <s v="C0678"/>
    <x v="1"/>
    <d v="2021-06-12T00:00:00"/>
    <d v="2024-12-31T00:00:00"/>
    <n v="15"/>
    <s v="Active"/>
    <s v="LinkedIn"/>
    <s v="Jun-2021"/>
    <s v="Dec-2024"/>
    <s v="Netherlands"/>
    <s v="Education"/>
    <s v="Small"/>
    <n v="2021"/>
  </r>
  <r>
    <s v="C0679"/>
    <x v="2"/>
    <d v="2020-07-24T00:00:00"/>
    <d v="2022-05-17T00:00:00"/>
    <n v="25"/>
    <s v="Churned"/>
    <s v="Referral"/>
    <s v="Jul-2020"/>
    <s v="May-2022"/>
    <s v="Sweden"/>
    <s v="Finance"/>
    <s v="Enterprise"/>
    <n v="2020"/>
  </r>
  <r>
    <s v="C0680"/>
    <x v="0"/>
    <d v="2024-03-20T00:00:00"/>
    <d v="2024-12-31T00:00:00"/>
    <n v="40"/>
    <s v="Active"/>
    <s v="Instagram"/>
    <s v="Mar-2024"/>
    <s v="Dec-2024"/>
    <s v="Sweden"/>
    <s v="Finance"/>
    <s v="Enterprise"/>
    <n v="2024"/>
  </r>
  <r>
    <s v="C0681"/>
    <x v="1"/>
    <d v="2024-04-25T00:00:00"/>
    <d v="2024-12-31T00:00:00"/>
    <n v="15"/>
    <s v="Churned"/>
    <s v="Referral"/>
    <s v="Apr-2024"/>
    <s v="Dec-2024"/>
    <s v="Germany"/>
    <s v="Healthcare"/>
    <s v="Medium"/>
    <n v="2024"/>
  </r>
  <r>
    <s v="C0682"/>
    <x v="1"/>
    <d v="2022-08-19T00:00:00"/>
    <d v="2024-12-31T00:00:00"/>
    <n v="15"/>
    <s v="Active"/>
    <s v="LinkedIn"/>
    <s v="Aug-2022"/>
    <s v="Dec-2024"/>
    <s v="Spain"/>
    <s v="Healthcare"/>
    <s v="Small"/>
    <n v="2022"/>
  </r>
  <r>
    <s v="C0683"/>
    <x v="1"/>
    <d v="2022-08-29T00:00:00"/>
    <d v="2024-12-31T00:00:00"/>
    <n v="15"/>
    <s v="Active"/>
    <s v="Instagram"/>
    <s v="Aug-2022"/>
    <s v="Dec-2024"/>
    <s v="Sweden"/>
    <s v="Education"/>
    <s v="Enterprise"/>
    <n v="2022"/>
  </r>
  <r>
    <s v="C0684"/>
    <x v="2"/>
    <d v="2020-08-12T00:00:00"/>
    <d v="2024-12-31T00:00:00"/>
    <n v="25"/>
    <s v="Active"/>
    <s v="Facebook"/>
    <s v="Aug-2020"/>
    <s v="Dec-2024"/>
    <s v="Germany"/>
    <s v="Tech"/>
    <s v="Medium"/>
    <n v="2020"/>
  </r>
  <r>
    <s v="C0685"/>
    <x v="2"/>
    <d v="2021-02-24T00:00:00"/>
    <d v="2024-12-31T00:00:00"/>
    <n v="25"/>
    <s v="Active"/>
    <s v="Referral"/>
    <s v="Feb-2021"/>
    <s v="Dec-2024"/>
    <s v="Sweden"/>
    <s v="Finance"/>
    <s v="Medium"/>
    <n v="2021"/>
  </r>
  <r>
    <s v="C0686"/>
    <x v="1"/>
    <d v="2024-03-10T00:00:00"/>
    <d v="2024-09-07T00:00:00"/>
    <n v="15"/>
    <s v="Churned"/>
    <s v="Referral"/>
    <s v="Mar-2024"/>
    <s v="Sep-2024"/>
    <s v="Netherlands"/>
    <s v="Tech"/>
    <s v="Enterprise"/>
    <n v="2024"/>
  </r>
  <r>
    <s v="C0687"/>
    <x v="1"/>
    <d v="2024-05-17T00:00:00"/>
    <d v="2024-12-31T00:00:00"/>
    <n v="15"/>
    <s v="Active"/>
    <s v="LinkedIn"/>
    <s v="May-2024"/>
    <s v="Dec-2024"/>
    <s v="Germany"/>
    <s v="Tech"/>
    <s v="Medium"/>
    <n v="2024"/>
  </r>
  <r>
    <s v="C0688"/>
    <x v="0"/>
    <d v="2022-05-22T00:00:00"/>
    <d v="2024-12-31T00:00:00"/>
    <n v="40"/>
    <s v="Active"/>
    <s v="Instagram"/>
    <s v="May-2022"/>
    <s v="Dec-2024"/>
    <s v="Netherlands"/>
    <s v="Retail"/>
    <s v="Enterprise"/>
    <n v="2022"/>
  </r>
  <r>
    <s v="C0689"/>
    <x v="2"/>
    <d v="2021-02-06T00:00:00"/>
    <d v="2023-05-19T00:00:00"/>
    <n v="25"/>
    <s v="Churned"/>
    <s v="Google"/>
    <s v="Feb-2021"/>
    <s v="May-2023"/>
    <s v="Netherlands"/>
    <s v="E-commerce"/>
    <s v="Medium"/>
    <n v="2021"/>
  </r>
  <r>
    <s v="C0690"/>
    <x v="0"/>
    <d v="2021-05-28T00:00:00"/>
    <d v="2022-02-22T00:00:00"/>
    <n v="40"/>
    <s v="Churned"/>
    <s v="LinkedIn"/>
    <s v="May-2021"/>
    <s v="Feb-2022"/>
    <s v="Italy"/>
    <s v="E-commerce"/>
    <s v="Enterprise"/>
    <n v="2021"/>
  </r>
  <r>
    <s v="C0691"/>
    <x v="0"/>
    <d v="2023-10-10T00:00:00"/>
    <d v="2024-07-03T00:00:00"/>
    <n v="40"/>
    <s v="Churned"/>
    <s v="Facebook"/>
    <s v="Oct-2023"/>
    <s v="Jul-2024"/>
    <s v="France"/>
    <s v="Retail"/>
    <s v="Large"/>
    <n v="2023"/>
  </r>
  <r>
    <s v="C0692"/>
    <x v="0"/>
    <d v="2020-01-14T00:00:00"/>
    <d v="2024-12-31T00:00:00"/>
    <n v="40"/>
    <s v="Active"/>
    <s v="Instagram"/>
    <s v="Jan-2020"/>
    <s v="Dec-2024"/>
    <s v="Germany"/>
    <s v="Retail"/>
    <s v="Enterprise"/>
    <n v="2020"/>
  </r>
  <r>
    <s v="C0693"/>
    <x v="1"/>
    <d v="2021-07-09T00:00:00"/>
    <d v="2022-07-30T00:00:00"/>
    <n v="15"/>
    <s v="Churned"/>
    <s v="Referral"/>
    <s v="Jul-2021"/>
    <s v="Jul-2022"/>
    <s v="Germany"/>
    <s v="Education"/>
    <s v="Medium"/>
    <n v="2021"/>
  </r>
  <r>
    <s v="C0694"/>
    <x v="1"/>
    <d v="2020-07-27T00:00:00"/>
    <d v="2024-12-31T00:00:00"/>
    <n v="15"/>
    <s v="Active"/>
    <s v="Referral"/>
    <s v="Jul-2020"/>
    <s v="Dec-2024"/>
    <s v="France"/>
    <s v="E-commerce"/>
    <s v="Large"/>
    <n v="2020"/>
  </r>
  <r>
    <s v="C0695"/>
    <x v="0"/>
    <d v="2021-02-01T00:00:00"/>
    <d v="2024-12-31T00:00:00"/>
    <n v="40"/>
    <s v="Active"/>
    <s v="Instagram"/>
    <s v="Feb-2021"/>
    <s v="Dec-2024"/>
    <s v="Germany"/>
    <s v="Retail"/>
    <s v="Small"/>
    <n v="2021"/>
  </r>
  <r>
    <s v="C0696"/>
    <x v="0"/>
    <d v="2022-02-10T00:00:00"/>
    <d v="2024-12-31T00:00:00"/>
    <n v="40"/>
    <s v="Active"/>
    <s v="LinkedIn"/>
    <s v="Feb-2022"/>
    <s v="Dec-2024"/>
    <s v="Germany"/>
    <s v="Education"/>
    <s v="Small"/>
    <n v="2022"/>
  </r>
  <r>
    <s v="C0697"/>
    <x v="1"/>
    <d v="2023-09-24T00:00:00"/>
    <d v="2024-12-31T00:00:00"/>
    <n v="15"/>
    <s v="Active"/>
    <s v="Instagram"/>
    <s v="Sep-2023"/>
    <s v="Dec-2024"/>
    <s v="France"/>
    <s v="Healthcare"/>
    <s v="Small"/>
    <n v="2023"/>
  </r>
  <r>
    <s v="C0698"/>
    <x v="0"/>
    <d v="2021-11-13T00:00:00"/>
    <d v="2024-12-31T00:00:00"/>
    <n v="40"/>
    <s v="Active"/>
    <s v="Google"/>
    <s v="Nov-2021"/>
    <s v="Dec-2024"/>
    <s v="France"/>
    <s v="Healthcare"/>
    <s v="Small"/>
    <n v="2021"/>
  </r>
  <r>
    <s v="C0699"/>
    <x v="2"/>
    <d v="2022-09-27T00:00:00"/>
    <d v="2024-12-31T00:00:00"/>
    <n v="25"/>
    <s v="Active"/>
    <s v="Instagram"/>
    <s v="Sep-2022"/>
    <s v="Dec-2024"/>
    <s v="Germany"/>
    <s v="E-commerce"/>
    <s v="Medium"/>
    <n v="2022"/>
  </r>
  <r>
    <s v="C0700"/>
    <x v="0"/>
    <d v="2023-05-14T00:00:00"/>
    <d v="2024-12-31T00:00:00"/>
    <n v="40"/>
    <s v="Active"/>
    <s v="Facebook"/>
    <s v="May-2023"/>
    <s v="Dec-2024"/>
    <s v="Netherlands"/>
    <s v="Finance"/>
    <s v="Large"/>
    <n v="2023"/>
  </r>
  <r>
    <s v="C0701"/>
    <x v="0"/>
    <d v="2021-12-31T00:00:00"/>
    <d v="2024-05-18T00:00:00"/>
    <n v="40"/>
    <s v="Churned"/>
    <s v="LinkedIn"/>
    <s v="Dec-2021"/>
    <s v="May-2024"/>
    <s v="France"/>
    <s v="Finance"/>
    <s v="Enterprise"/>
    <n v="2021"/>
  </r>
  <r>
    <s v="C0702"/>
    <x v="2"/>
    <d v="2020-04-01T00:00:00"/>
    <d v="2024-12-31T00:00:00"/>
    <n v="25"/>
    <s v="Active"/>
    <s v="Google"/>
    <s v="Apr-2020"/>
    <s v="Dec-2024"/>
    <s v="Netherlands"/>
    <s v="E-commerce"/>
    <s v="Small"/>
    <n v="2020"/>
  </r>
  <r>
    <s v="C0703"/>
    <x v="0"/>
    <d v="2021-09-06T00:00:00"/>
    <d v="2024-12-31T00:00:00"/>
    <n v="40"/>
    <s v="Active"/>
    <s v="Google"/>
    <s v="Sep-2021"/>
    <s v="Dec-2024"/>
    <s v="Germany"/>
    <s v="Tech"/>
    <s v="Small"/>
    <n v="2021"/>
  </r>
  <r>
    <s v="C0704"/>
    <x v="1"/>
    <d v="2024-07-03T00:00:00"/>
    <d v="2024-12-31T00:00:00"/>
    <n v="15"/>
    <s v="Active"/>
    <s v="Facebook"/>
    <s v="Jul-2024"/>
    <s v="Dec-2024"/>
    <s v="Spain"/>
    <s v="Finance"/>
    <s v="Small"/>
    <n v="2024"/>
  </r>
  <r>
    <s v="C0705"/>
    <x v="0"/>
    <d v="2021-04-21T00:00:00"/>
    <d v="2022-05-28T00:00:00"/>
    <n v="40"/>
    <s v="Churned"/>
    <s v="LinkedIn"/>
    <s v="Apr-2021"/>
    <s v="May-2022"/>
    <s v="France"/>
    <s v="Healthcare"/>
    <s v="Enterprise"/>
    <n v="2021"/>
  </r>
  <r>
    <s v="C0706"/>
    <x v="1"/>
    <d v="2023-11-10T00:00:00"/>
    <d v="2024-12-31T00:00:00"/>
    <n v="15"/>
    <s v="Churned"/>
    <s v="Google"/>
    <s v="Nov-2023"/>
    <s v="Dec-2024"/>
    <s v="Italy"/>
    <s v="Education"/>
    <s v="Enterprise"/>
    <n v="2023"/>
  </r>
  <r>
    <s v="C0707"/>
    <x v="2"/>
    <d v="2021-06-04T00:00:00"/>
    <d v="2024-12-31T00:00:00"/>
    <n v="25"/>
    <s v="Active"/>
    <s v="Facebook"/>
    <s v="Jun-2021"/>
    <s v="Dec-2024"/>
    <s v="Sweden"/>
    <s v="Healthcare"/>
    <s v="Medium"/>
    <n v="2021"/>
  </r>
  <r>
    <s v="C0708"/>
    <x v="0"/>
    <d v="2021-06-14T00:00:00"/>
    <d v="2024-12-31T00:00:00"/>
    <n v="40"/>
    <s v="Active"/>
    <s v="Referral"/>
    <s v="Jun-2021"/>
    <s v="Dec-2024"/>
    <s v="Germany"/>
    <s v="Tech"/>
    <s v="Small"/>
    <n v="2021"/>
  </r>
  <r>
    <s v="C0709"/>
    <x v="1"/>
    <d v="2023-02-21T00:00:00"/>
    <d v="2024-12-31T00:00:00"/>
    <n v="15"/>
    <s v="Active"/>
    <s v="Facebook"/>
    <s v="Feb-2023"/>
    <s v="Dec-2024"/>
    <s v="Germany"/>
    <s v="Finance"/>
    <s v="Enterprise"/>
    <n v="2023"/>
  </r>
  <r>
    <s v="C0710"/>
    <x v="2"/>
    <d v="2020-04-04T00:00:00"/>
    <d v="2024-12-31T00:00:00"/>
    <n v="25"/>
    <s v="Active"/>
    <s v="Instagram"/>
    <s v="Apr-2020"/>
    <s v="Dec-2024"/>
    <s v="France"/>
    <s v="E-commerce"/>
    <s v="Enterprise"/>
    <n v="2020"/>
  </r>
  <r>
    <s v="C0711"/>
    <x v="2"/>
    <d v="2023-12-27T00:00:00"/>
    <d v="2024-12-31T00:00:00"/>
    <n v="25"/>
    <s v="Active"/>
    <s v="LinkedIn"/>
    <s v="Dec-2023"/>
    <s v="Dec-2024"/>
    <s v="France"/>
    <s v="E-commerce"/>
    <s v="Medium"/>
    <n v="2023"/>
  </r>
  <r>
    <s v="C0712"/>
    <x v="0"/>
    <d v="2023-04-18T00:00:00"/>
    <d v="2024-12-31T00:00:00"/>
    <n v="40"/>
    <s v="Active"/>
    <s v="LinkedIn"/>
    <s v="Apr-2023"/>
    <s v="Dec-2024"/>
    <s v="Italy"/>
    <s v="E-commerce"/>
    <s v="Enterprise"/>
    <n v="2023"/>
  </r>
  <r>
    <s v="C0713"/>
    <x v="1"/>
    <d v="2023-09-13T00:00:00"/>
    <d v="2024-12-31T00:00:00"/>
    <n v="15"/>
    <s v="Active"/>
    <s v="Google"/>
    <s v="Sep-2023"/>
    <s v="Dec-2024"/>
    <s v="Spain"/>
    <s v="E-commerce"/>
    <s v="Small"/>
    <n v="2023"/>
  </r>
  <r>
    <s v="C0714"/>
    <x v="2"/>
    <d v="2023-05-26T00:00:00"/>
    <d v="2024-12-31T00:00:00"/>
    <n v="25"/>
    <s v="Active"/>
    <s v="Instagram"/>
    <s v="May-2023"/>
    <s v="Dec-2024"/>
    <s v="Germany"/>
    <s v="Retail"/>
    <s v="Enterprise"/>
    <n v="2023"/>
  </r>
  <r>
    <s v="C0715"/>
    <x v="0"/>
    <d v="2023-05-12T00:00:00"/>
    <d v="2024-12-06T00:00:00"/>
    <n v="40"/>
    <s v="Churned"/>
    <s v="Facebook"/>
    <s v="May-2023"/>
    <s v="Dec-2024"/>
    <s v="France"/>
    <s v="Healthcare"/>
    <s v="Large"/>
    <n v="2023"/>
  </r>
  <r>
    <s v="C0716"/>
    <x v="1"/>
    <d v="2022-04-03T00:00:00"/>
    <d v="2024-12-31T00:00:00"/>
    <n v="15"/>
    <s v="Active"/>
    <s v="Referral"/>
    <s v="Apr-2022"/>
    <s v="Dec-2024"/>
    <s v="Germany"/>
    <s v="Healthcare"/>
    <s v="Large"/>
    <n v="2022"/>
  </r>
  <r>
    <s v="C0717"/>
    <x v="2"/>
    <d v="2020-09-16T00:00:00"/>
    <d v="2024-12-31T00:00:00"/>
    <n v="25"/>
    <s v="Active"/>
    <s v="Instagram"/>
    <s v="Sep-2020"/>
    <s v="Dec-2024"/>
    <s v="Germany"/>
    <s v="Education"/>
    <s v="Small"/>
    <n v="2020"/>
  </r>
  <r>
    <s v="C0718"/>
    <x v="0"/>
    <d v="2022-12-16T00:00:00"/>
    <d v="2024-10-07T00:00:00"/>
    <n v="40"/>
    <s v="Churned"/>
    <s v="Google"/>
    <s v="Dec-2022"/>
    <s v="Oct-2024"/>
    <s v="Spain"/>
    <s v="E-commerce"/>
    <s v="Large"/>
    <n v="2022"/>
  </r>
  <r>
    <s v="C0719"/>
    <x v="2"/>
    <d v="2021-09-19T00:00:00"/>
    <d v="2023-09-06T00:00:00"/>
    <n v="25"/>
    <s v="Churned"/>
    <s v="LinkedIn"/>
    <s v="Sep-2021"/>
    <s v="Sep-2023"/>
    <s v="Germany"/>
    <s v="Retail"/>
    <s v="Small"/>
    <n v="2021"/>
  </r>
  <r>
    <s v="C0720"/>
    <x v="1"/>
    <d v="2022-08-25T00:00:00"/>
    <d v="2024-12-31T00:00:00"/>
    <n v="15"/>
    <s v="Active"/>
    <s v="Instagram"/>
    <s v="Aug-2022"/>
    <s v="Dec-2024"/>
    <s v="Spain"/>
    <s v="Finance"/>
    <s v="Medium"/>
    <n v="2022"/>
  </r>
  <r>
    <s v="C0721"/>
    <x v="1"/>
    <d v="2020-02-01T00:00:00"/>
    <d v="2024-12-31T00:00:00"/>
    <n v="15"/>
    <s v="Active"/>
    <s v="LinkedIn"/>
    <s v="Feb-2020"/>
    <s v="Dec-2024"/>
    <s v="Italy"/>
    <s v="Finance"/>
    <s v="Small"/>
    <n v="2020"/>
  </r>
  <r>
    <s v="C0722"/>
    <x v="0"/>
    <d v="2021-11-18T00:00:00"/>
    <d v="2022-07-29T00:00:00"/>
    <n v="40"/>
    <s v="Churned"/>
    <s v="Referral"/>
    <s v="Nov-2021"/>
    <s v="Jul-2022"/>
    <s v="Sweden"/>
    <s v="Education"/>
    <s v="Small"/>
    <n v="2021"/>
  </r>
  <r>
    <s v="C0723"/>
    <x v="2"/>
    <d v="2020-03-21T00:00:00"/>
    <d v="2024-12-31T00:00:00"/>
    <n v="25"/>
    <s v="Active"/>
    <s v="LinkedIn"/>
    <s v="Mar-2020"/>
    <s v="Dec-2024"/>
    <s v="Germany"/>
    <s v="E-commerce"/>
    <s v="Small"/>
    <n v="2020"/>
  </r>
  <r>
    <s v="C0724"/>
    <x v="1"/>
    <d v="2022-11-21T00:00:00"/>
    <d v="2024-10-25T00:00:00"/>
    <n v="15"/>
    <s v="Churned"/>
    <s v="LinkedIn"/>
    <s v="Nov-2022"/>
    <s v="Oct-2024"/>
    <s v="Spain"/>
    <s v="Healthcare"/>
    <s v="Medium"/>
    <n v="2022"/>
  </r>
  <r>
    <s v="C0725"/>
    <x v="2"/>
    <d v="2022-10-23T00:00:00"/>
    <d v="2024-07-17T00:00:00"/>
    <n v="25"/>
    <s v="Churned"/>
    <s v="LinkedIn"/>
    <s v="Oct-2022"/>
    <s v="Jul-2024"/>
    <s v="Spain"/>
    <s v="Healthcare"/>
    <s v="Small"/>
    <n v="2022"/>
  </r>
  <r>
    <s v="C0726"/>
    <x v="2"/>
    <d v="2023-06-18T00:00:00"/>
    <d v="2024-12-31T00:00:00"/>
    <n v="25"/>
    <s v="Active"/>
    <s v="Google"/>
    <s v="Jun-2023"/>
    <s v="Dec-2024"/>
    <s v="Spain"/>
    <s v="Education"/>
    <s v="Medium"/>
    <n v="2023"/>
  </r>
  <r>
    <s v="C0727"/>
    <x v="1"/>
    <d v="2020-06-22T00:00:00"/>
    <d v="2024-12-31T00:00:00"/>
    <n v="15"/>
    <s v="Active"/>
    <s v="Facebook"/>
    <s v="Jun-2020"/>
    <s v="Dec-2024"/>
    <s v="Italy"/>
    <s v="E-commerce"/>
    <s v="Large"/>
    <n v="2020"/>
  </r>
  <r>
    <s v="C0728"/>
    <x v="2"/>
    <d v="2022-01-15T00:00:00"/>
    <d v="2024-12-31T00:00:00"/>
    <n v="25"/>
    <s v="Active"/>
    <s v="Facebook"/>
    <s v="Jan-2022"/>
    <s v="Dec-2024"/>
    <s v="Netherlands"/>
    <s v="Retail"/>
    <s v="Large"/>
    <n v="2022"/>
  </r>
  <r>
    <s v="C0729"/>
    <x v="1"/>
    <d v="2021-05-19T00:00:00"/>
    <d v="2024-12-31T00:00:00"/>
    <n v="15"/>
    <s v="Active"/>
    <s v="Referral"/>
    <s v="May-2021"/>
    <s v="Dec-2024"/>
    <s v="Germany"/>
    <s v="Finance"/>
    <s v="Large"/>
    <n v="2021"/>
  </r>
  <r>
    <s v="C0730"/>
    <x v="0"/>
    <d v="2020-11-28T00:00:00"/>
    <d v="2024-12-31T00:00:00"/>
    <n v="40"/>
    <s v="Active"/>
    <s v="LinkedIn"/>
    <s v="Nov-2020"/>
    <s v="Dec-2024"/>
    <s v="Spain"/>
    <s v="Tech"/>
    <s v="Enterprise"/>
    <n v="2020"/>
  </r>
  <r>
    <s v="C0731"/>
    <x v="2"/>
    <d v="2022-11-14T00:00:00"/>
    <d v="2024-01-22T00:00:00"/>
    <n v="25"/>
    <s v="Churned"/>
    <s v="Instagram"/>
    <s v="Nov-2022"/>
    <s v="Jan-2024"/>
    <s v="Italy"/>
    <s v="Tech"/>
    <s v="Small"/>
    <n v="2022"/>
  </r>
  <r>
    <s v="C0732"/>
    <x v="1"/>
    <d v="2021-08-18T00:00:00"/>
    <d v="2023-09-29T00:00:00"/>
    <n v="15"/>
    <s v="Churned"/>
    <s v="LinkedIn"/>
    <s v="Aug-2021"/>
    <s v="Sep-2023"/>
    <s v="France"/>
    <s v="Retail"/>
    <s v="Enterprise"/>
    <n v="2021"/>
  </r>
  <r>
    <s v="C0733"/>
    <x v="2"/>
    <d v="2021-01-07T00:00:00"/>
    <d v="2024-12-31T00:00:00"/>
    <n v="25"/>
    <s v="Active"/>
    <s v="Facebook"/>
    <s v="Jan-2021"/>
    <s v="Dec-2024"/>
    <s v="Sweden"/>
    <s v="Retail"/>
    <s v="Small"/>
    <n v="2021"/>
  </r>
  <r>
    <s v="C0734"/>
    <x v="1"/>
    <d v="2021-04-07T00:00:00"/>
    <d v="2024-12-31T00:00:00"/>
    <n v="15"/>
    <s v="Active"/>
    <s v="Referral"/>
    <s v="Apr-2021"/>
    <s v="Dec-2024"/>
    <s v="Germany"/>
    <s v="Healthcare"/>
    <s v="Medium"/>
    <n v="2021"/>
  </r>
  <r>
    <s v="C0735"/>
    <x v="0"/>
    <d v="2020-08-04T00:00:00"/>
    <d v="2024-12-31T00:00:00"/>
    <n v="40"/>
    <s v="Active"/>
    <s v="Instagram"/>
    <s v="Aug-2020"/>
    <s v="Dec-2024"/>
    <s v="Netherlands"/>
    <s v="Education"/>
    <s v="Medium"/>
    <n v="2020"/>
  </r>
  <r>
    <s v="C0736"/>
    <x v="1"/>
    <d v="2021-08-22T00:00:00"/>
    <d v="2024-12-31T00:00:00"/>
    <n v="15"/>
    <s v="Active"/>
    <s v="Referral"/>
    <s v="Aug-2021"/>
    <s v="Dec-2024"/>
    <s v="Sweden"/>
    <s v="Finance"/>
    <s v="Small"/>
    <n v="2021"/>
  </r>
  <r>
    <s v="C0737"/>
    <x v="1"/>
    <d v="2022-02-12T00:00:00"/>
    <d v="2024-12-31T00:00:00"/>
    <n v="15"/>
    <s v="Active"/>
    <s v="Facebook"/>
    <s v="Feb-2022"/>
    <s v="Dec-2024"/>
    <s v="Netherlands"/>
    <s v="Healthcare"/>
    <s v="Small"/>
    <n v="2022"/>
  </r>
  <r>
    <s v="C0738"/>
    <x v="0"/>
    <d v="2022-10-17T00:00:00"/>
    <d v="2024-12-31T00:00:00"/>
    <n v="40"/>
    <s v="Active"/>
    <s v="Facebook"/>
    <s v="Oct-2022"/>
    <s v="Dec-2024"/>
    <s v="Spain"/>
    <s v="Healthcare"/>
    <s v="Medium"/>
    <n v="2022"/>
  </r>
  <r>
    <s v="C0739"/>
    <x v="2"/>
    <d v="2020-08-26T00:00:00"/>
    <d v="2024-12-31T00:00:00"/>
    <n v="25"/>
    <s v="Active"/>
    <s v="Instagram"/>
    <s v="Aug-2020"/>
    <s v="Dec-2024"/>
    <s v="Netherlands"/>
    <s v="Education"/>
    <s v="Enterprise"/>
    <n v="2020"/>
  </r>
  <r>
    <s v="C0740"/>
    <x v="2"/>
    <d v="2023-01-16T00:00:00"/>
    <d v="2024-07-09T00:00:00"/>
    <n v="25"/>
    <s v="Churned"/>
    <s v="Referral"/>
    <s v="Jan-2023"/>
    <s v="Jul-2024"/>
    <s v="France"/>
    <s v="Education"/>
    <s v="Medium"/>
    <n v="2023"/>
  </r>
  <r>
    <s v="C0741"/>
    <x v="2"/>
    <d v="2020-10-12T00:00:00"/>
    <d v="2024-12-31T00:00:00"/>
    <n v="25"/>
    <s v="Active"/>
    <s v="Facebook"/>
    <s v="Oct-2020"/>
    <s v="Dec-2024"/>
    <s v="Germany"/>
    <s v="Healthcare"/>
    <s v="Medium"/>
    <n v="2020"/>
  </r>
  <r>
    <s v="C0742"/>
    <x v="2"/>
    <d v="2020-03-04T00:00:00"/>
    <d v="2024-12-31T00:00:00"/>
    <n v="25"/>
    <s v="Active"/>
    <s v="Instagram"/>
    <s v="Mar-2020"/>
    <s v="Dec-2024"/>
    <s v="Germany"/>
    <s v="Finance"/>
    <s v="Medium"/>
    <n v="2020"/>
  </r>
  <r>
    <s v="C0743"/>
    <x v="2"/>
    <d v="2024-02-22T00:00:00"/>
    <d v="2024-12-31T00:00:00"/>
    <n v="25"/>
    <s v="Active"/>
    <s v="LinkedIn"/>
    <s v="Feb-2024"/>
    <s v="Dec-2024"/>
    <s v="France"/>
    <s v="Finance"/>
    <s v="Enterprise"/>
    <n v="2024"/>
  </r>
  <r>
    <s v="C0744"/>
    <x v="0"/>
    <d v="2023-04-26T00:00:00"/>
    <d v="2024-12-31T00:00:00"/>
    <n v="40"/>
    <s v="Active"/>
    <s v="Instagram"/>
    <s v="Apr-2023"/>
    <s v="Dec-2024"/>
    <s v="Spain"/>
    <s v="Finance"/>
    <s v="Medium"/>
    <n v="2023"/>
  </r>
  <r>
    <s v="C0745"/>
    <x v="0"/>
    <d v="2022-09-29T00:00:00"/>
    <d v="2024-12-31T00:00:00"/>
    <n v="40"/>
    <s v="Active"/>
    <s v="Google"/>
    <s v="Sep-2022"/>
    <s v="Dec-2024"/>
    <s v="Germany"/>
    <s v="Healthcare"/>
    <s v="Medium"/>
    <n v="2022"/>
  </r>
  <r>
    <s v="C0746"/>
    <x v="2"/>
    <d v="2020-02-24T00:00:00"/>
    <d v="2022-07-31T00:00:00"/>
    <n v="25"/>
    <s v="Churned"/>
    <s v="Referral"/>
    <s v="Feb-2020"/>
    <s v="Jul-2022"/>
    <s v="Spain"/>
    <s v="Education"/>
    <s v="Enterprise"/>
    <n v="2020"/>
  </r>
  <r>
    <s v="C0747"/>
    <x v="1"/>
    <d v="2022-09-23T00:00:00"/>
    <d v="2024-12-31T00:00:00"/>
    <n v="15"/>
    <s v="Active"/>
    <s v="Facebook"/>
    <s v="Sep-2022"/>
    <s v="Dec-2024"/>
    <s v="Netherlands"/>
    <s v="Retail"/>
    <s v="Small"/>
    <n v="2022"/>
  </r>
  <r>
    <s v="C0748"/>
    <x v="2"/>
    <d v="2020-12-08T00:00:00"/>
    <d v="2024-12-31T00:00:00"/>
    <n v="25"/>
    <s v="Active"/>
    <s v="LinkedIn"/>
    <s v="Dec-2020"/>
    <s v="Dec-2024"/>
    <s v="Italy"/>
    <s v="Education"/>
    <s v="Large"/>
    <n v="2020"/>
  </r>
  <r>
    <s v="C0749"/>
    <x v="0"/>
    <d v="2024-06-13T00:00:00"/>
    <d v="2024-12-31T00:00:00"/>
    <n v="40"/>
    <s v="Active"/>
    <s v="Instagram"/>
    <s v="Jun-2024"/>
    <s v="Dec-2024"/>
    <s v="Germany"/>
    <s v="Retail"/>
    <s v="Large"/>
    <n v="2024"/>
  </r>
  <r>
    <s v="C0750"/>
    <x v="0"/>
    <d v="2024-06-05T00:00:00"/>
    <d v="2024-12-31T00:00:00"/>
    <n v="40"/>
    <s v="Churned"/>
    <s v="Instagram"/>
    <s v="Jun-2024"/>
    <s v="Dec-2024"/>
    <s v="Sweden"/>
    <s v="Healthcare"/>
    <s v="Small"/>
    <n v="2024"/>
  </r>
  <r>
    <s v="C0751"/>
    <x v="0"/>
    <d v="2022-03-02T00:00:00"/>
    <d v="2024-03-22T00:00:00"/>
    <n v="40"/>
    <s v="Churned"/>
    <s v="Referral"/>
    <s v="Mar-2022"/>
    <s v="Mar-2024"/>
    <s v="France"/>
    <s v="Retail"/>
    <s v="Medium"/>
    <n v="2022"/>
  </r>
  <r>
    <s v="C0752"/>
    <x v="1"/>
    <d v="2023-03-06T00:00:00"/>
    <d v="2024-12-31T00:00:00"/>
    <n v="15"/>
    <s v="Churned"/>
    <s v="Instagram"/>
    <s v="Mar-2023"/>
    <s v="Dec-2024"/>
    <s v="Germany"/>
    <s v="E-commerce"/>
    <s v="Large"/>
    <n v="2023"/>
  </r>
  <r>
    <s v="C0753"/>
    <x v="2"/>
    <d v="2020-07-26T00:00:00"/>
    <d v="2021-11-22T00:00:00"/>
    <n v="25"/>
    <s v="Churned"/>
    <s v="Google"/>
    <s v="Jul-2020"/>
    <s v="Nov-2021"/>
    <s v="Germany"/>
    <s v="Education"/>
    <s v="Medium"/>
    <n v="2020"/>
  </r>
  <r>
    <s v="C0754"/>
    <x v="2"/>
    <d v="2023-07-15T00:00:00"/>
    <d v="2024-12-31T00:00:00"/>
    <n v="25"/>
    <s v="Active"/>
    <s v="Instagram"/>
    <s v="Jul-2023"/>
    <s v="Dec-2024"/>
    <s v="France"/>
    <s v="E-commerce"/>
    <s v="Small"/>
    <n v="2023"/>
  </r>
  <r>
    <s v="C0755"/>
    <x v="2"/>
    <d v="2021-03-14T00:00:00"/>
    <d v="2024-12-31T00:00:00"/>
    <n v="25"/>
    <s v="Active"/>
    <s v="Google"/>
    <s v="Mar-2021"/>
    <s v="Dec-2024"/>
    <s v="Italy"/>
    <s v="Education"/>
    <s v="Medium"/>
    <n v="2021"/>
  </r>
  <r>
    <s v="C0756"/>
    <x v="1"/>
    <d v="2022-06-13T00:00:00"/>
    <d v="2024-12-31T00:00:00"/>
    <n v="15"/>
    <s v="Active"/>
    <s v="Facebook"/>
    <s v="Jun-2022"/>
    <s v="Dec-2024"/>
    <s v="Sweden"/>
    <s v="Education"/>
    <s v="Small"/>
    <n v="2022"/>
  </r>
  <r>
    <s v="C0757"/>
    <x v="0"/>
    <d v="2022-08-08T00:00:00"/>
    <d v="2023-09-30T00:00:00"/>
    <n v="40"/>
    <s v="Churned"/>
    <s v="Referral"/>
    <s v="Aug-2022"/>
    <s v="Sep-2023"/>
    <s v="Netherlands"/>
    <s v="Finance"/>
    <s v="Enterprise"/>
    <n v="2022"/>
  </r>
  <r>
    <s v="C0758"/>
    <x v="2"/>
    <d v="2022-12-26T00:00:00"/>
    <d v="2024-12-31T00:00:00"/>
    <n v="25"/>
    <s v="Active"/>
    <s v="Instagram"/>
    <s v="Dec-2022"/>
    <s v="Dec-2024"/>
    <s v="France"/>
    <s v="Finance"/>
    <s v="Large"/>
    <n v="2022"/>
  </r>
  <r>
    <s v="C0759"/>
    <x v="0"/>
    <d v="2023-03-28T00:00:00"/>
    <d v="2024-12-31T00:00:00"/>
    <n v="40"/>
    <s v="Churned"/>
    <s v="Facebook"/>
    <s v="Mar-2023"/>
    <s v="Dec-2024"/>
    <s v="Germany"/>
    <s v="Healthcare"/>
    <s v="Medium"/>
    <n v="2023"/>
  </r>
  <r>
    <s v="C0760"/>
    <x v="0"/>
    <d v="2021-03-30T00:00:00"/>
    <d v="2024-12-31T00:00:00"/>
    <n v="40"/>
    <s v="Active"/>
    <s v="Google"/>
    <s v="Mar-2021"/>
    <s v="Dec-2024"/>
    <s v="France"/>
    <s v="Education"/>
    <s v="Medium"/>
    <n v="2021"/>
  </r>
  <r>
    <s v="C0761"/>
    <x v="1"/>
    <d v="2024-04-20T00:00:00"/>
    <d v="2024-12-31T00:00:00"/>
    <n v="15"/>
    <s v="Churned"/>
    <s v="Referral"/>
    <s v="Apr-2024"/>
    <s v="Dec-2024"/>
    <s v="France"/>
    <s v="Retail"/>
    <s v="Enterprise"/>
    <n v="2024"/>
  </r>
  <r>
    <s v="C0762"/>
    <x v="2"/>
    <d v="2023-09-07T00:00:00"/>
    <d v="2024-12-31T00:00:00"/>
    <n v="25"/>
    <s v="Active"/>
    <s v="Referral"/>
    <s v="Sep-2023"/>
    <s v="Dec-2024"/>
    <s v="Spain"/>
    <s v="Retail"/>
    <s v="Enterprise"/>
    <n v="2023"/>
  </r>
  <r>
    <s v="C0763"/>
    <x v="2"/>
    <d v="2020-11-02T00:00:00"/>
    <d v="2024-12-31T00:00:00"/>
    <n v="25"/>
    <s v="Active"/>
    <s v="Google"/>
    <s v="Nov-2020"/>
    <s v="Dec-2024"/>
    <s v="France"/>
    <s v="Education"/>
    <s v="Small"/>
    <n v="2020"/>
  </r>
  <r>
    <s v="C0764"/>
    <x v="1"/>
    <d v="2021-04-08T00:00:00"/>
    <d v="2024-12-31T00:00:00"/>
    <n v="15"/>
    <s v="Active"/>
    <s v="Facebook"/>
    <s v="Apr-2021"/>
    <s v="Dec-2024"/>
    <s v="Germany"/>
    <s v="Tech"/>
    <s v="Large"/>
    <n v="2021"/>
  </r>
  <r>
    <s v="C0765"/>
    <x v="2"/>
    <d v="2020-01-26T00:00:00"/>
    <d v="2024-12-31T00:00:00"/>
    <n v="25"/>
    <s v="Active"/>
    <s v="Google"/>
    <s v="Jan-2020"/>
    <s v="Dec-2024"/>
    <s v="Italy"/>
    <s v="Retail"/>
    <s v="Medium"/>
    <n v="2020"/>
  </r>
  <r>
    <s v="C0766"/>
    <x v="1"/>
    <d v="2021-10-26T00:00:00"/>
    <d v="2024-12-31T00:00:00"/>
    <n v="15"/>
    <s v="Active"/>
    <s v="Instagram"/>
    <s v="Oct-2021"/>
    <s v="Dec-2024"/>
    <s v="Germany"/>
    <s v="Retail"/>
    <s v="Large"/>
    <n v="2021"/>
  </r>
  <r>
    <s v="C0767"/>
    <x v="0"/>
    <d v="2021-03-18T00:00:00"/>
    <d v="2023-04-22T00:00:00"/>
    <n v="40"/>
    <s v="Churned"/>
    <s v="Referral"/>
    <s v="Mar-2021"/>
    <s v="Apr-2023"/>
    <s v="Germany"/>
    <s v="Education"/>
    <s v="Small"/>
    <n v="2021"/>
  </r>
  <r>
    <s v="C0768"/>
    <x v="2"/>
    <d v="2023-02-06T00:00:00"/>
    <d v="2024-12-31T00:00:00"/>
    <n v="25"/>
    <s v="Active"/>
    <s v="LinkedIn"/>
    <s v="Feb-2023"/>
    <s v="Dec-2024"/>
    <s v="Italy"/>
    <s v="Education"/>
    <s v="Small"/>
    <n v="2023"/>
  </r>
  <r>
    <s v="C0769"/>
    <x v="0"/>
    <d v="2022-06-01T00:00:00"/>
    <d v="2024-12-31T00:00:00"/>
    <n v="40"/>
    <s v="Active"/>
    <s v="Referral"/>
    <s v="Jun-2022"/>
    <s v="Dec-2024"/>
    <s v="Netherlands"/>
    <s v="Finance"/>
    <s v="Small"/>
    <n v="2022"/>
  </r>
  <r>
    <s v="C0770"/>
    <x v="1"/>
    <d v="2024-06-27T00:00:00"/>
    <d v="2024-11-22T00:00:00"/>
    <n v="15"/>
    <s v="Churned"/>
    <s v="Instagram"/>
    <s v="Jun-2024"/>
    <s v="Nov-2024"/>
    <s v="Germany"/>
    <s v="Finance"/>
    <s v="Small"/>
    <n v="2024"/>
  </r>
  <r>
    <s v="C0771"/>
    <x v="0"/>
    <d v="2022-09-19T00:00:00"/>
    <d v="2024-12-31T00:00:00"/>
    <n v="40"/>
    <s v="Active"/>
    <s v="Google"/>
    <s v="Sep-2022"/>
    <s v="Dec-2024"/>
    <s v="Spain"/>
    <s v="E-commerce"/>
    <s v="Small"/>
    <n v="2022"/>
  </r>
  <r>
    <s v="C0772"/>
    <x v="2"/>
    <d v="2023-01-14T00:00:00"/>
    <d v="2024-12-31T00:00:00"/>
    <n v="25"/>
    <s v="Active"/>
    <s v="Google"/>
    <s v="Jan-2023"/>
    <s v="Dec-2024"/>
    <s v="Spain"/>
    <s v="Education"/>
    <s v="Enterprise"/>
    <n v="2023"/>
  </r>
  <r>
    <s v="C0773"/>
    <x v="2"/>
    <d v="2024-01-25T00:00:00"/>
    <d v="2024-12-31T00:00:00"/>
    <n v="25"/>
    <s v="Churned"/>
    <s v="Facebook"/>
    <s v="Jan-2024"/>
    <s v="Dec-2024"/>
    <s v="Netherlands"/>
    <s v="Finance"/>
    <s v="Large"/>
    <n v="2024"/>
  </r>
  <r>
    <s v="C0774"/>
    <x v="2"/>
    <d v="2021-09-02T00:00:00"/>
    <d v="2022-02-22T00:00:00"/>
    <n v="25"/>
    <s v="Churned"/>
    <s v="Instagram"/>
    <s v="Sep-2021"/>
    <s v="Feb-2022"/>
    <s v="Germany"/>
    <s v="Education"/>
    <s v="Large"/>
    <n v="2021"/>
  </r>
  <r>
    <s v="C0775"/>
    <x v="1"/>
    <d v="2022-12-20T00:00:00"/>
    <d v="2024-12-31T00:00:00"/>
    <n v="15"/>
    <s v="Active"/>
    <s v="LinkedIn"/>
    <s v="Dec-2022"/>
    <s v="Dec-2024"/>
    <s v="Germany"/>
    <s v="Retail"/>
    <s v="Medium"/>
    <n v="2022"/>
  </r>
  <r>
    <s v="C0776"/>
    <x v="2"/>
    <d v="2020-09-06T00:00:00"/>
    <d v="2023-01-23T00:00:00"/>
    <n v="25"/>
    <s v="Churned"/>
    <s v="Instagram"/>
    <s v="Sep-2020"/>
    <s v="Jan-2023"/>
    <s v="France"/>
    <s v="Tech"/>
    <s v="Small"/>
    <n v="2020"/>
  </r>
  <r>
    <s v="C0777"/>
    <x v="2"/>
    <d v="2022-07-28T00:00:00"/>
    <d v="2024-12-31T00:00:00"/>
    <n v="25"/>
    <s v="Active"/>
    <s v="Referral"/>
    <s v="Jul-2022"/>
    <s v="Dec-2024"/>
    <s v="Germany"/>
    <s v="Healthcare"/>
    <s v="Small"/>
    <n v="2022"/>
  </r>
  <r>
    <s v="C0778"/>
    <x v="0"/>
    <d v="2021-10-09T00:00:00"/>
    <d v="2024-12-31T00:00:00"/>
    <n v="40"/>
    <s v="Active"/>
    <s v="Referral"/>
    <s v="Oct-2021"/>
    <s v="Dec-2024"/>
    <s v="Netherlands"/>
    <s v="Education"/>
    <s v="Small"/>
    <n v="2021"/>
  </r>
  <r>
    <s v="C0779"/>
    <x v="0"/>
    <d v="2021-01-13T00:00:00"/>
    <d v="2024-12-31T00:00:00"/>
    <n v="40"/>
    <s v="Active"/>
    <s v="LinkedIn"/>
    <s v="Jan-2021"/>
    <s v="Dec-2024"/>
    <s v="France"/>
    <s v="Tech"/>
    <s v="Large"/>
    <n v="2021"/>
  </r>
  <r>
    <s v="C0780"/>
    <x v="0"/>
    <d v="2020-05-20T00:00:00"/>
    <d v="2021-06-06T00:00:00"/>
    <n v="40"/>
    <s v="Churned"/>
    <s v="LinkedIn"/>
    <s v="May-2020"/>
    <s v="Jun-2021"/>
    <s v="Spain"/>
    <s v="E-commerce"/>
    <s v="Large"/>
    <n v="2020"/>
  </r>
  <r>
    <s v="C0781"/>
    <x v="1"/>
    <d v="2024-04-19T00:00:00"/>
    <d v="2024-12-31T00:00:00"/>
    <n v="15"/>
    <s v="Active"/>
    <s v="Facebook"/>
    <s v="Apr-2024"/>
    <s v="Dec-2024"/>
    <s v="France"/>
    <s v="Retail"/>
    <s v="Medium"/>
    <n v="2024"/>
  </r>
  <r>
    <s v="C0782"/>
    <x v="2"/>
    <d v="2020-09-03T00:00:00"/>
    <d v="2024-12-31T00:00:00"/>
    <n v="25"/>
    <s v="Active"/>
    <s v="Instagram"/>
    <s v="Sep-2020"/>
    <s v="Dec-2024"/>
    <s v="Netherlands"/>
    <s v="Finance"/>
    <s v="Medium"/>
    <n v="2020"/>
  </r>
  <r>
    <s v="C0783"/>
    <x v="0"/>
    <d v="2021-05-29T00:00:00"/>
    <d v="2024-12-31T00:00:00"/>
    <n v="40"/>
    <s v="Active"/>
    <s v="Facebook"/>
    <s v="May-2021"/>
    <s v="Dec-2024"/>
    <s v="Spain"/>
    <s v="Tech"/>
    <s v="Small"/>
    <n v="2021"/>
  </r>
  <r>
    <s v="C0784"/>
    <x v="0"/>
    <d v="2023-05-10T00:00:00"/>
    <d v="2024-12-31T00:00:00"/>
    <n v="40"/>
    <s v="Active"/>
    <s v="Referral"/>
    <s v="May-2023"/>
    <s v="Dec-2024"/>
    <s v="Netherlands"/>
    <s v="Finance"/>
    <s v="Enterprise"/>
    <n v="2023"/>
  </r>
  <r>
    <s v="C0785"/>
    <x v="1"/>
    <d v="2021-10-30T00:00:00"/>
    <d v="2024-12-31T00:00:00"/>
    <n v="15"/>
    <s v="Active"/>
    <s v="Referral"/>
    <s v="Oct-2021"/>
    <s v="Dec-2024"/>
    <s v="Sweden"/>
    <s v="Tech"/>
    <s v="Small"/>
    <n v="2021"/>
  </r>
  <r>
    <s v="C0786"/>
    <x v="1"/>
    <d v="2021-02-28T00:00:00"/>
    <d v="2024-12-31T00:00:00"/>
    <n v="15"/>
    <s v="Active"/>
    <s v="Facebook"/>
    <s v="Feb-2021"/>
    <s v="Dec-2024"/>
    <s v="France"/>
    <s v="Finance"/>
    <s v="Small"/>
    <n v="2021"/>
  </r>
  <r>
    <s v="C0787"/>
    <x v="0"/>
    <d v="2020-12-14T00:00:00"/>
    <d v="2021-10-15T00:00:00"/>
    <n v="40"/>
    <s v="Churned"/>
    <s v="LinkedIn"/>
    <s v="Dec-2020"/>
    <s v="Oct-2021"/>
    <s v="Spain"/>
    <s v="Retail"/>
    <s v="Enterprise"/>
    <n v="2020"/>
  </r>
  <r>
    <s v="C0788"/>
    <x v="2"/>
    <d v="2020-07-22T00:00:00"/>
    <d v="2024-12-31T00:00:00"/>
    <n v="25"/>
    <s v="Active"/>
    <s v="Referral"/>
    <s v="Jul-2020"/>
    <s v="Dec-2024"/>
    <s v="Spain"/>
    <s v="Education"/>
    <s v="Small"/>
    <n v="2020"/>
  </r>
  <r>
    <s v="C0789"/>
    <x v="1"/>
    <d v="2020-02-27T00:00:00"/>
    <d v="2024-12-31T00:00:00"/>
    <n v="15"/>
    <s v="Active"/>
    <s v="LinkedIn"/>
    <s v="Feb-2020"/>
    <s v="Dec-2024"/>
    <s v="Spain"/>
    <s v="Education"/>
    <s v="Enterprise"/>
    <n v="2020"/>
  </r>
  <r>
    <s v="C0790"/>
    <x v="1"/>
    <d v="2021-06-18T00:00:00"/>
    <d v="2024-12-31T00:00:00"/>
    <n v="15"/>
    <s v="Active"/>
    <s v="Instagram"/>
    <s v="Jun-2021"/>
    <s v="Dec-2024"/>
    <s v="Sweden"/>
    <s v="Retail"/>
    <s v="Enterprise"/>
    <n v="2021"/>
  </r>
  <r>
    <s v="C0791"/>
    <x v="1"/>
    <d v="2020-07-26T00:00:00"/>
    <d v="2024-12-31T00:00:00"/>
    <n v="15"/>
    <s v="Active"/>
    <s v="Google"/>
    <s v="Jul-2020"/>
    <s v="Dec-2024"/>
    <s v="Germany"/>
    <s v="Finance"/>
    <s v="Medium"/>
    <n v="2020"/>
  </r>
  <r>
    <s v="C0792"/>
    <x v="2"/>
    <d v="2020-08-29T00:00:00"/>
    <d v="2024-12-31T00:00:00"/>
    <n v="25"/>
    <s v="Active"/>
    <s v="LinkedIn"/>
    <s v="Aug-2020"/>
    <s v="Dec-2024"/>
    <s v="Italy"/>
    <s v="Tech"/>
    <s v="Medium"/>
    <n v="2020"/>
  </r>
  <r>
    <s v="C0793"/>
    <x v="1"/>
    <d v="2023-08-15T00:00:00"/>
    <d v="2024-12-31T00:00:00"/>
    <n v="15"/>
    <s v="Active"/>
    <s v="Facebook"/>
    <s v="Aug-2023"/>
    <s v="Dec-2024"/>
    <s v="France"/>
    <s v="Tech"/>
    <s v="Medium"/>
    <n v="2023"/>
  </r>
  <r>
    <s v="C0794"/>
    <x v="0"/>
    <d v="2021-09-26T00:00:00"/>
    <d v="2024-12-31T00:00:00"/>
    <n v="40"/>
    <s v="Active"/>
    <s v="Instagram"/>
    <s v="Sep-2021"/>
    <s v="Dec-2024"/>
    <s v="Netherlands"/>
    <s v="Retail"/>
    <s v="Large"/>
    <n v="2021"/>
  </r>
  <r>
    <s v="C0795"/>
    <x v="1"/>
    <d v="2022-05-30T00:00:00"/>
    <d v="2024-12-31T00:00:00"/>
    <n v="15"/>
    <s v="Active"/>
    <s v="Referral"/>
    <s v="May-2022"/>
    <s v="Dec-2024"/>
    <s v="Germany"/>
    <s v="E-commerce"/>
    <s v="Small"/>
    <n v="2022"/>
  </r>
  <r>
    <s v="C0796"/>
    <x v="1"/>
    <d v="2022-10-03T00:00:00"/>
    <d v="2024-12-31T00:00:00"/>
    <n v="15"/>
    <s v="Churned"/>
    <s v="LinkedIn"/>
    <s v="Oct-2022"/>
    <s v="Dec-2024"/>
    <s v="France"/>
    <s v="Healthcare"/>
    <s v="Small"/>
    <n v="2022"/>
  </r>
  <r>
    <s v="C0797"/>
    <x v="2"/>
    <d v="2021-09-01T00:00:00"/>
    <d v="2023-08-29T00:00:00"/>
    <n v="25"/>
    <s v="Churned"/>
    <s v="Google"/>
    <s v="Sep-2021"/>
    <s v="Aug-2023"/>
    <s v="Sweden"/>
    <s v="Tech"/>
    <s v="Medium"/>
    <n v="2021"/>
  </r>
  <r>
    <s v="C0798"/>
    <x v="0"/>
    <d v="2022-12-26T00:00:00"/>
    <d v="2024-12-31T00:00:00"/>
    <n v="40"/>
    <s v="Active"/>
    <s v="Facebook"/>
    <s v="Dec-2022"/>
    <s v="Dec-2024"/>
    <s v="Italy"/>
    <s v="Education"/>
    <s v="Large"/>
    <n v="2022"/>
  </r>
  <r>
    <s v="C0799"/>
    <x v="2"/>
    <d v="2022-11-24T00:00:00"/>
    <d v="2023-06-07T00:00:00"/>
    <n v="25"/>
    <s v="Churned"/>
    <s v="Referral"/>
    <s v="Nov-2022"/>
    <s v="Jun-2023"/>
    <s v="Sweden"/>
    <s v="Retail"/>
    <s v="Small"/>
    <n v="2022"/>
  </r>
  <r>
    <s v="C0800"/>
    <x v="1"/>
    <d v="2024-04-07T00:00:00"/>
    <d v="2024-12-31T00:00:00"/>
    <n v="15"/>
    <s v="Churned"/>
    <s v="LinkedIn"/>
    <s v="Apr-2024"/>
    <s v="Dec-2024"/>
    <s v="Netherlands"/>
    <s v="Finance"/>
    <s v="Large"/>
    <n v="202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5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F35:G42" firstHeaderRow="1" firstDataRow="1" firstDataCol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4"/>
        <item t="data" sd="1" x="2"/>
        <item t="data" sd="1" x="3"/>
        <item t="data" sd="1" x="1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Sum of Monthly_Fee" fld="4" subtotal="sum" showDataAs="percentOfTotal" baseField="0" baseItem="0" numFmtId="10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4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F51:G58" firstHeaderRow="1" firstDataRow="1" firstDataCol="1"/>
  <pivotFields count="13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3"/>
        <item t="data" sd="1" x="0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Count of Customer_ID" fld="0" subtotal="count" showDataAs="normal" baseField="0" baseItem="0"/>
  </dataFields>
  <chartFormats count="2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yealy churn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G10:J17" firstHeaderRow="1" firstDataRow="2" firstDataCol="1"/>
  <pivotFields count="13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 countASubtotal="1">
      <items count="3">
        <item t="data" sd="1" x="0"/>
        <item t="data" sd="1" x="1"/>
        <item t="countA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4"/>
        <item t="data" sd="1" x="2"/>
        <item t="data" sd="1" x="3"/>
        <item t="data" sd="1" x="1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3"/>
        <item t="data" sd="1" x="0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</pivotFields>
  <rowFields count="1">
    <field x="12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5"/>
  </colFields>
  <colItems count="3">
    <i t="data" r="0" i="0">
      <x v="0"/>
    </i>
    <i t="data" r="0" i="0">
      <x v="1"/>
    </i>
    <i t="grand" r="0" i="0">
      <x v="0"/>
    </i>
  </colItems>
  <dataFields count="1">
    <dataField name="Count of Customer_ID" fld="0" subtotal="count" showDataAs="percentOfRow" baseField="12" baseItem="0" numFmtId="10"/>
  </dataFields>
  <chartFormats count="4">
    <chartFormat chart="0" format="0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0" format="1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5" format="4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5" format="5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9" fieldListSortAscending="0" mdxSubqueries="0" applyNumberFormats="0" applyBorderFormats="0" applyFontFormats="0" applyPatternFormats="0" applyAlignmentFormats="0" applyWidthHeightFormats="1" r:id="rId1">
  <location ref="F1:H7" firstHeaderRow="0" firstDataRow="1" firstDataCol="1"/>
  <pivotFields count="1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4"/>
        <item t="data" sd="1" x="2"/>
        <item t="data" sd="1" x="3"/>
        <item t="data" sd="1" x="1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3"/>
        <item t="data" sd="1" x="0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</pivotFields>
  <rowFields count="1">
    <field x="12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Total Revenue" fld="4" subtotal="sum" showDataAs="normal" baseField="12" baseItem="0"/>
    <dataField name="Sum of Monthly_Fee" fld="4" subtotal="sum" showDataAs="percentDiff" baseField="12" baseItem="0" numFmtId="10"/>
  </dataFields>
  <chartFormats count="5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1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6" format="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6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26:G33" firstHeaderRow="1" firstDataRow="1" firstDataCol="1"/>
  <pivotFields count="13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7">
        <item t="data" sd="1" x="4"/>
        <item t="data" sd="1" x="2"/>
        <item t="data" sd="1" x="3"/>
        <item t="data" sd="1" x="1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9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Count of Customer_ID" fld="0" subtotal="count" showDataAs="normal" baseField="0" baseItem="0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lan performance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7" fieldListSortAscending="0" mdxSubqueries="0" applyNumberFormats="0" applyBorderFormats="0" applyFontFormats="0" applyPatternFormats="0" applyAlignmentFormats="0" applyWidthHeightFormats="1" r:id="rId1">
  <location ref="F20:H24" firstHeaderRow="0" firstDataRow="1" firstDataCol="1"/>
  <pivotFields count="13"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 countASubtotal="1">
      <items count="3">
        <item t="data" sd="1" x="0"/>
        <item t="data" sd="1" x="1"/>
        <item t="countA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4"/>
        <item t="data" sd="1" x="2"/>
        <item t="data" sd="1" x="3"/>
        <item t="data" sd="1" x="1"/>
        <item t="data" sd="1" x="5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>
      <items count="7">
        <item t="data" sd="1" x="5"/>
        <item t="data" sd="1" x="3"/>
        <item t="data" sd="1" x="0"/>
        <item t="data" sd="1" x="2"/>
        <item t="data" sd="1" x="1"/>
        <item t="data" sd="1" x="4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</pivotFields>
  <rowFields count="1">
    <field x="1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Monthly_Fee" fld="4" subtotal="sum" showDataAs="percentOfTotal" baseField="0" baseItem="0" numFmtId="10"/>
    <dataField name="Count of Customer_ID" fld="0" subtotal="count" showDataAs="normal" baseField="0" baseItem="0"/>
  </dataFields>
  <chartFormats count="2">
    <chartFormat chart="4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21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F44:G48" firstHeaderRow="1" firstDataRow="1" firstDataCol="1"/>
  <pivotFields count="13">
    <pivotField dataField="1"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0"/>
        <item t="data" sd="1" x="2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4">
    <i t="data" r="0" i="0">
      <x v="0"/>
    </i>
    <i t="data" r="0" i="0">
      <x v="1"/>
    </i>
    <i t="data" r="0" i="0">
      <x v="2"/>
    </i>
    <i t="grand" r="0" i="0">
      <x v="0"/>
    </i>
  </rowItems>
  <colItems count="1">
    <i t="data" r="0" i="0"/>
  </colItems>
  <dataFields count="1">
    <dataField name="Count of Customer_ID" fld="0" subtotal="count" showDataAs="normal" baseField="0" baseItem="0"/>
  </dataFields>
  <pivotTableStyleInfo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_subscription" displayName="tbl_subscription" ref="A1:M801" headerRowCount="1" totalsRowShown="0" headerRowDxfId="7">
  <autoFilter ref="A1:M801"/>
  <tableColumns count="13">
    <tableColumn id="1" name="Customer_ID"/>
    <tableColumn id="2" name="Subscription_Plan"/>
    <tableColumn id="3" name="Start_Date" dataDxfId="6"/>
    <tableColumn id="4" name="End_Date" dataDxfId="5"/>
    <tableColumn id="5" name="Monthly_Fee"/>
    <tableColumn id="6" name="Status"/>
    <tableColumn id="7" name="Acquisition_Channel"/>
    <tableColumn id="8" name="Start_Month">
      <calculatedColumnFormula>TEXT(C2,"mmm-yyyy")</calculatedColumnFormula>
    </tableColumn>
    <tableColumn id="9" name="End_Month">
      <calculatedColumnFormula>TEXT(D2,"mmm-yyyy")</calculatedColumnFormula>
    </tableColumn>
    <tableColumn id="10" name="Country" dataDxfId="4">
      <calculatedColumnFormula>_xlfn.XLOOKUP(tbl_subscription[[#This Row],[Customer_ID]],tbl_clint[Customer_ID],tbl_clint[Country])</calculatedColumnFormula>
    </tableColumn>
    <tableColumn id="11" name="Industry" dataDxfId="3">
      <calculatedColumnFormula>_xlfn.XLOOKUP(tbl_subscription[[#This Row],[Customer_ID]],tbl_clint[[#This Row],[Customer_ID]],tbl_clint[[#This Row],[Industry]])</calculatedColumnFormula>
    </tableColumn>
    <tableColumn id="12" name="Company_Size" dataDxfId="2">
      <calculatedColumnFormula>_xlfn.XLOOKUP(tbl_subscription[[#This Row],[Customer_ID]],tbl_clint[[#This Row],[Customer_ID]],tbl_clint[[#This Row],[Company_Size]])</calculatedColumnFormula>
    </tableColumn>
    <tableColumn id="13" name="Start_Year" dataDxfId="1">
      <calculatedColumnFormula>YEAR(tbl_subscription[[#This Row],[Start_Date]])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clint" displayName="tbl_clint" ref="A1:D801" headerRowCount="1" totalsRowShown="0" headerRowDxfId="0">
  <autoFilter ref="A1:D801"/>
  <tableColumns count="4">
    <tableColumn id="1" name="Customer_ID"/>
    <tableColumn id="2" name="Country"/>
    <tableColumn id="3" name="Industry"/>
    <tableColumn id="4" name="Company_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Relationship Type="http://schemas.openxmlformats.org/officeDocument/2006/relationships/pivotTable" Target="/xl/pivotTables/pivotTable2.xml" Id="rId2"/><Relationship Type="http://schemas.openxmlformats.org/officeDocument/2006/relationships/pivotTable" Target="/xl/pivotTables/pivotTable3.xml" Id="rId3"/><Relationship Type="http://schemas.openxmlformats.org/officeDocument/2006/relationships/pivotTable" Target="/xl/pivotTables/pivotTable4.xml" Id="rId4"/><Relationship Type="http://schemas.openxmlformats.org/officeDocument/2006/relationships/pivotTable" Target="/xl/pivotTables/pivotTable5.xml" Id="rId5"/><Relationship Type="http://schemas.openxmlformats.org/officeDocument/2006/relationships/pivotTable" Target="/xl/pivotTables/pivotTable6.xml" Id="rId6"/><Relationship Type="http://schemas.openxmlformats.org/officeDocument/2006/relationships/pivotTable" Target="/xl/pivotTables/pivot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topLeftCell="A584" workbookViewId="0">
      <selection activeCell="B12" sqref="B12"/>
    </sheetView>
  </sheetViews>
  <sheetFormatPr baseColWidth="8" defaultRowHeight="15"/>
  <cols>
    <col width="22.140625" bestFit="1" customWidth="1" min="1" max="1"/>
    <col width="29.5703125" bestFit="1" customWidth="1" min="2" max="2"/>
    <col width="18.85546875" bestFit="1" customWidth="1" style="4" min="3" max="3"/>
    <col width="17.5703125" bestFit="1" customWidth="1" style="4" min="4" max="4"/>
    <col width="22.7109375" bestFit="1" customWidth="1" min="5" max="5"/>
    <col width="12.28515625" bestFit="1" customWidth="1" min="6" max="6"/>
    <col width="33.5703125" bestFit="1" customWidth="1" min="7" max="7"/>
    <col width="22" bestFit="1" customWidth="1" min="8" max="8"/>
    <col width="20.7109375" bestFit="1" customWidth="1" min="9" max="9"/>
    <col width="14.85546875" bestFit="1" customWidth="1" min="10" max="10"/>
    <col width="15.140625" bestFit="1" customWidth="1" min="11" max="11"/>
    <col width="24.5703125" bestFit="1" customWidth="1" min="12" max="12"/>
    <col width="19.5703125" bestFit="1" customWidth="1" min="13" max="13"/>
  </cols>
  <sheetData>
    <row r="1" ht="23.25" customHeight="1">
      <c r="A1" s="1" t="inlineStr">
        <is>
          <t>Customer_ID</t>
        </is>
      </c>
      <c r="B1" s="1" t="inlineStr">
        <is>
          <t>Subscription_Plan</t>
        </is>
      </c>
      <c r="C1" s="3" t="inlineStr">
        <is>
          <t>Start_Date</t>
        </is>
      </c>
      <c r="D1" s="3" t="inlineStr">
        <is>
          <t>End_Date</t>
        </is>
      </c>
      <c r="E1" s="1" t="inlineStr">
        <is>
          <t>Monthly_Fee</t>
        </is>
      </c>
      <c r="F1" s="1" t="inlineStr">
        <is>
          <t>Status</t>
        </is>
      </c>
      <c r="G1" s="1" t="inlineStr">
        <is>
          <t>Acquisition_Channel</t>
        </is>
      </c>
      <c r="H1" s="1" t="inlineStr">
        <is>
          <t>Start_Month</t>
        </is>
      </c>
      <c r="I1" s="1" t="inlineStr">
        <is>
          <t>End_Month</t>
        </is>
      </c>
      <c r="J1" s="1" t="inlineStr">
        <is>
          <t>Country</t>
        </is>
      </c>
      <c r="K1" s="1" t="inlineStr">
        <is>
          <t>Industry</t>
        </is>
      </c>
      <c r="L1" s="1" t="inlineStr">
        <is>
          <t>Company_Size</t>
        </is>
      </c>
      <c r="M1" s="1" t="inlineStr">
        <is>
          <t>Start_Year</t>
        </is>
      </c>
    </row>
    <row r="2">
      <c r="A2" t="inlineStr">
        <is>
          <t>C0001</t>
        </is>
      </c>
      <c r="B2" t="inlineStr">
        <is>
          <t>Premium</t>
        </is>
      </c>
      <c r="C2" s="4" t="n">
        <v>43884</v>
      </c>
      <c r="D2" s="4" t="n">
        <v>45657</v>
      </c>
      <c r="E2" t="n">
        <v>40</v>
      </c>
      <c r="F2" t="inlineStr">
        <is>
          <t>Active</t>
        </is>
      </c>
      <c r="G2" t="inlineStr">
        <is>
          <t>LinkedIn</t>
        </is>
      </c>
      <c r="H2">
        <f>TEXT(C2,"mmm-yyyy")</f>
        <v/>
      </c>
      <c r="I2">
        <f>TEXT(D2,"mmm-yyyy")</f>
        <v/>
      </c>
      <c r="J2">
        <f>_xlfn.XLOOKUP(tbl_subscription[[#This Row],[Customer_ID]],tbl_clint[Customer_ID],tbl_clint[Country])</f>
        <v/>
      </c>
      <c r="K2">
        <f>_xlfn.XLOOKUP(tbl_subscription[[#This Row],[Customer_ID]],tbl_clint[[#This Row],[Customer_ID]],tbl_clint[[#This Row],[Industry]])</f>
        <v/>
      </c>
      <c r="L2">
        <f>_xlfn.XLOOKUP(tbl_subscription[[#This Row],[Customer_ID]],tbl_clint[[#This Row],[Customer_ID]],tbl_clint[[#This Row],[Company_Size]])</f>
        <v/>
      </c>
      <c r="M2">
        <f>YEAR(tbl_subscription[[#This Row],[Start_Date]])</f>
        <v/>
      </c>
    </row>
    <row r="3">
      <c r="A3" t="inlineStr">
        <is>
          <t>C0002</t>
        </is>
      </c>
      <c r="B3" t="inlineStr">
        <is>
          <t>Basic</t>
        </is>
      </c>
      <c r="C3" s="4" t="n">
        <v>44092</v>
      </c>
      <c r="D3" s="4" t="n">
        <v>45657</v>
      </c>
      <c r="E3" t="n">
        <v>15</v>
      </c>
      <c r="F3" t="inlineStr">
        <is>
          <t>Active</t>
        </is>
      </c>
      <c r="G3" t="inlineStr">
        <is>
          <t>Instagram</t>
        </is>
      </c>
      <c r="H3">
        <f>TEXT(C3,"mmm-yyyy")</f>
        <v/>
      </c>
      <c r="I3">
        <f>TEXT(D3,"mmm-yyyy")</f>
        <v/>
      </c>
      <c r="J3">
        <f>_xlfn.XLOOKUP(tbl_subscription[[#This Row],[Customer_ID]],tbl_clint[Customer_ID],tbl_clint[Country])</f>
        <v/>
      </c>
      <c r="K3">
        <f>_xlfn.XLOOKUP(tbl_subscription[[#This Row],[Customer_ID]],tbl_clint[[#This Row],[Customer_ID]],tbl_clint[[#This Row],[Industry]])</f>
        <v/>
      </c>
      <c r="L3">
        <f>_xlfn.XLOOKUP(tbl_subscription[[#This Row],[Customer_ID]],tbl_clint[[#This Row],[Customer_ID]],tbl_clint[[#This Row],[Company_Size]])</f>
        <v/>
      </c>
      <c r="M3">
        <f>YEAR(tbl_subscription[[#This Row],[Start_Date]])</f>
        <v/>
      </c>
    </row>
    <row r="4">
      <c r="A4" t="inlineStr">
        <is>
          <t>C0003</t>
        </is>
      </c>
      <c r="B4" t="inlineStr">
        <is>
          <t>Premium</t>
        </is>
      </c>
      <c r="C4" s="4" t="n">
        <v>44421</v>
      </c>
      <c r="D4" s="4" t="n">
        <v>44651</v>
      </c>
      <c r="E4" t="n">
        <v>40</v>
      </c>
      <c r="F4" t="inlineStr">
        <is>
          <t>Churned</t>
        </is>
      </c>
      <c r="G4" t="inlineStr">
        <is>
          <t>Facebook</t>
        </is>
      </c>
      <c r="H4">
        <f>TEXT(C4,"mmm-yyyy")</f>
        <v/>
      </c>
      <c r="I4">
        <f>TEXT(D4,"mmm-yyyy")</f>
        <v/>
      </c>
      <c r="J4">
        <f>_xlfn.XLOOKUP(tbl_subscription[[#This Row],[Customer_ID]],tbl_clint[Customer_ID],tbl_clint[Country])</f>
        <v/>
      </c>
      <c r="K4">
        <f>_xlfn.XLOOKUP(tbl_subscription[[#This Row],[Customer_ID]],tbl_clint[[#This Row],[Customer_ID]],tbl_clint[[#This Row],[Industry]])</f>
        <v/>
      </c>
      <c r="L4">
        <f>_xlfn.XLOOKUP(tbl_subscription[[#This Row],[Customer_ID]],tbl_clint[[#This Row],[Customer_ID]],tbl_clint[[#This Row],[Company_Size]])</f>
        <v/>
      </c>
      <c r="M4">
        <f>YEAR(tbl_subscription[[#This Row],[Start_Date]])</f>
        <v/>
      </c>
    </row>
    <row r="5">
      <c r="A5" t="inlineStr">
        <is>
          <t>C0004</t>
        </is>
      </c>
      <c r="B5" t="inlineStr">
        <is>
          <t>Basic</t>
        </is>
      </c>
      <c r="C5" s="4" t="n">
        <v>44547</v>
      </c>
      <c r="D5" s="4" t="n">
        <v>45657</v>
      </c>
      <c r="E5" t="n">
        <v>15</v>
      </c>
      <c r="F5" t="inlineStr">
        <is>
          <t>Active</t>
        </is>
      </c>
      <c r="G5" t="inlineStr">
        <is>
          <t>Instagram</t>
        </is>
      </c>
      <c r="H5">
        <f>TEXT(C5,"mmm-yyyy")</f>
        <v/>
      </c>
      <c r="I5">
        <f>TEXT(D5,"mmm-yyyy")</f>
        <v/>
      </c>
      <c r="J5">
        <f>_xlfn.XLOOKUP(tbl_subscription[[#This Row],[Customer_ID]],tbl_clint[Customer_ID],tbl_clint[Country])</f>
        <v/>
      </c>
      <c r="K5">
        <f>_xlfn.XLOOKUP(tbl_subscription[[#This Row],[Customer_ID]],tbl_clint[[#This Row],[Customer_ID]],tbl_clint[[#This Row],[Industry]])</f>
        <v/>
      </c>
      <c r="L5">
        <f>_xlfn.XLOOKUP(tbl_subscription[[#This Row],[Customer_ID]],tbl_clint[[#This Row],[Customer_ID]],tbl_clint[[#This Row],[Company_Size]])</f>
        <v/>
      </c>
      <c r="M5">
        <f>YEAR(tbl_subscription[[#This Row],[Start_Date]])</f>
        <v/>
      </c>
    </row>
    <row r="6">
      <c r="A6" t="inlineStr">
        <is>
          <t>C0005</t>
        </is>
      </c>
      <c r="B6" t="inlineStr">
        <is>
          <t>Standard</t>
        </is>
      </c>
      <c r="C6" s="4" t="n">
        <v>45091</v>
      </c>
      <c r="D6" s="4" t="n">
        <v>45657</v>
      </c>
      <c r="E6" t="n">
        <v>25</v>
      </c>
      <c r="F6" t="inlineStr">
        <is>
          <t>Active</t>
        </is>
      </c>
      <c r="G6" t="inlineStr">
        <is>
          <t>Referral</t>
        </is>
      </c>
      <c r="H6">
        <f>TEXT(C6,"mmm-yyyy")</f>
        <v/>
      </c>
      <c r="I6">
        <f>TEXT(D6,"mmm-yyyy")</f>
        <v/>
      </c>
      <c r="J6">
        <f>_xlfn.XLOOKUP(tbl_subscription[[#This Row],[Customer_ID]],tbl_clint[Customer_ID],tbl_clint[Country])</f>
        <v/>
      </c>
      <c r="K6">
        <f>_xlfn.XLOOKUP(tbl_subscription[[#This Row],[Customer_ID]],tbl_clint[[#This Row],[Customer_ID]],tbl_clint[[#This Row],[Industry]])</f>
        <v/>
      </c>
      <c r="L6">
        <f>_xlfn.XLOOKUP(tbl_subscription[[#This Row],[Customer_ID]],tbl_clint[[#This Row],[Customer_ID]],tbl_clint[[#This Row],[Company_Size]])</f>
        <v/>
      </c>
      <c r="M6">
        <f>YEAR(tbl_subscription[[#This Row],[Start_Date]])</f>
        <v/>
      </c>
    </row>
    <row r="7">
      <c r="A7" t="inlineStr">
        <is>
          <t>C0006</t>
        </is>
      </c>
      <c r="B7" t="inlineStr">
        <is>
          <t>Basic</t>
        </is>
      </c>
      <c r="C7" s="4" t="n">
        <v>45425</v>
      </c>
      <c r="D7" s="4" t="n">
        <v>45615</v>
      </c>
      <c r="E7" t="n">
        <v>15</v>
      </c>
      <c r="F7" t="inlineStr">
        <is>
          <t>Churned</t>
        </is>
      </c>
      <c r="G7" t="inlineStr">
        <is>
          <t>LinkedIn</t>
        </is>
      </c>
      <c r="H7">
        <f>TEXT(C7,"mmm-yyyy")</f>
        <v/>
      </c>
      <c r="I7">
        <f>TEXT(D7,"mmm-yyyy")</f>
        <v/>
      </c>
      <c r="J7">
        <f>_xlfn.XLOOKUP(tbl_subscription[[#This Row],[Customer_ID]],tbl_clint[Customer_ID],tbl_clint[Country])</f>
        <v/>
      </c>
      <c r="K7">
        <f>_xlfn.XLOOKUP(tbl_subscription[[#This Row],[Customer_ID]],tbl_clint[[#This Row],[Customer_ID]],tbl_clint[[#This Row],[Industry]])</f>
        <v/>
      </c>
      <c r="L7">
        <f>_xlfn.XLOOKUP(tbl_subscription[[#This Row],[Customer_ID]],tbl_clint[[#This Row],[Customer_ID]],tbl_clint[[#This Row],[Company_Size]])</f>
        <v/>
      </c>
      <c r="M7">
        <f>YEAR(tbl_subscription[[#This Row],[Start_Date]])</f>
        <v/>
      </c>
    </row>
    <row r="8">
      <c r="A8" t="inlineStr">
        <is>
          <t>C0007</t>
        </is>
      </c>
      <c r="B8" t="inlineStr">
        <is>
          <t>Standard</t>
        </is>
      </c>
      <c r="C8" s="4" t="n">
        <v>44060</v>
      </c>
      <c r="D8" s="4" t="n">
        <v>45657</v>
      </c>
      <c r="E8" t="n">
        <v>25</v>
      </c>
      <c r="F8" t="inlineStr">
        <is>
          <t>Active</t>
        </is>
      </c>
      <c r="G8" t="inlineStr">
        <is>
          <t>Facebook</t>
        </is>
      </c>
      <c r="H8">
        <f>TEXT(C8,"mmm-yyyy")</f>
        <v/>
      </c>
      <c r="I8">
        <f>TEXT(D8,"mmm-yyyy")</f>
        <v/>
      </c>
      <c r="J8">
        <f>_xlfn.XLOOKUP(tbl_subscription[[#This Row],[Customer_ID]],tbl_clint[Customer_ID],tbl_clint[Country])</f>
        <v/>
      </c>
      <c r="K8">
        <f>_xlfn.XLOOKUP(tbl_subscription[[#This Row],[Customer_ID]],tbl_clint[[#This Row],[Customer_ID]],tbl_clint[[#This Row],[Industry]])</f>
        <v/>
      </c>
      <c r="L8">
        <f>_xlfn.XLOOKUP(tbl_subscription[[#This Row],[Customer_ID]],tbl_clint[[#This Row],[Customer_ID]],tbl_clint[[#This Row],[Company_Size]])</f>
        <v/>
      </c>
      <c r="M8">
        <f>YEAR(tbl_subscription[[#This Row],[Start_Date]])</f>
        <v/>
      </c>
    </row>
    <row r="9">
      <c r="A9" t="inlineStr">
        <is>
          <t>C0008</t>
        </is>
      </c>
      <c r="B9" t="inlineStr">
        <is>
          <t>Premium</t>
        </is>
      </c>
      <c r="C9" s="4" t="n">
        <v>45297</v>
      </c>
      <c r="D9" s="4" t="n">
        <v>45657</v>
      </c>
      <c r="E9" t="n">
        <v>40</v>
      </c>
      <c r="F9" t="inlineStr">
        <is>
          <t>Active</t>
        </is>
      </c>
      <c r="G9" t="inlineStr">
        <is>
          <t>Google</t>
        </is>
      </c>
      <c r="H9">
        <f>TEXT(C9,"mmm-yyyy")</f>
        <v/>
      </c>
      <c r="I9">
        <f>TEXT(D9,"mmm-yyyy")</f>
        <v/>
      </c>
      <c r="J9">
        <f>_xlfn.XLOOKUP(tbl_subscription[[#This Row],[Customer_ID]],tbl_clint[Customer_ID],tbl_clint[Country])</f>
        <v/>
      </c>
      <c r="K9">
        <f>_xlfn.XLOOKUP(tbl_subscription[[#This Row],[Customer_ID]],tbl_clint[[#This Row],[Customer_ID]],tbl_clint[[#This Row],[Industry]])</f>
        <v/>
      </c>
      <c r="L9">
        <f>_xlfn.XLOOKUP(tbl_subscription[[#This Row],[Customer_ID]],tbl_clint[[#This Row],[Customer_ID]],tbl_clint[[#This Row],[Company_Size]])</f>
        <v/>
      </c>
      <c r="M9">
        <f>YEAR(tbl_subscription[[#This Row],[Start_Date]])</f>
        <v/>
      </c>
    </row>
    <row r="10">
      <c r="A10" t="inlineStr">
        <is>
          <t>C0009</t>
        </is>
      </c>
      <c r="B10" t="inlineStr">
        <is>
          <t>Premium</t>
        </is>
      </c>
      <c r="C10" s="4" t="n">
        <v>44403</v>
      </c>
      <c r="D10" s="4" t="n">
        <v>45657</v>
      </c>
      <c r="E10" t="n">
        <v>40</v>
      </c>
      <c r="F10" t="inlineStr">
        <is>
          <t>Active</t>
        </is>
      </c>
      <c r="G10" t="inlineStr">
        <is>
          <t>Referral</t>
        </is>
      </c>
      <c r="H10">
        <f>TEXT(C10,"mmm-yyyy")</f>
        <v/>
      </c>
      <c r="I10">
        <f>TEXT(D10,"mmm-yyyy")</f>
        <v/>
      </c>
      <c r="J10">
        <f>_xlfn.XLOOKUP(tbl_subscription[[#This Row],[Customer_ID]],tbl_clint[Customer_ID],tbl_clint[Country])</f>
        <v/>
      </c>
      <c r="K10">
        <f>_xlfn.XLOOKUP(tbl_subscription[[#This Row],[Customer_ID]],tbl_clint[[#This Row],[Customer_ID]],tbl_clint[[#This Row],[Industry]])</f>
        <v/>
      </c>
      <c r="L10">
        <f>_xlfn.XLOOKUP(tbl_subscription[[#This Row],[Customer_ID]],tbl_clint[[#This Row],[Customer_ID]],tbl_clint[[#This Row],[Company_Size]])</f>
        <v/>
      </c>
      <c r="M10">
        <f>YEAR(tbl_subscription[[#This Row],[Start_Date]])</f>
        <v/>
      </c>
    </row>
    <row r="11">
      <c r="A11" t="inlineStr">
        <is>
          <t>C0010</t>
        </is>
      </c>
      <c r="B11" t="inlineStr">
        <is>
          <t>Premium</t>
        </is>
      </c>
      <c r="C11" s="4" t="n">
        <v>44491</v>
      </c>
      <c r="D11" s="4" t="n">
        <v>44607</v>
      </c>
      <c r="E11" t="n">
        <v>40</v>
      </c>
      <c r="F11" t="inlineStr">
        <is>
          <t>Churned</t>
        </is>
      </c>
      <c r="G11" t="inlineStr">
        <is>
          <t>Google</t>
        </is>
      </c>
      <c r="H11">
        <f>TEXT(C11,"mmm-yyyy")</f>
        <v/>
      </c>
      <c r="I11">
        <f>TEXT(D11,"mmm-yyyy")</f>
        <v/>
      </c>
      <c r="J11">
        <f>_xlfn.XLOOKUP(tbl_subscription[[#This Row],[Customer_ID]],tbl_clint[Customer_ID],tbl_clint[Country])</f>
        <v/>
      </c>
      <c r="K11">
        <f>_xlfn.XLOOKUP(tbl_subscription[[#This Row],[Customer_ID]],tbl_clint[[#This Row],[Customer_ID]],tbl_clint[[#This Row],[Industry]])</f>
        <v/>
      </c>
      <c r="L11">
        <f>_xlfn.XLOOKUP(tbl_subscription[[#This Row],[Customer_ID]],tbl_clint[[#This Row],[Customer_ID]],tbl_clint[[#This Row],[Company_Size]])</f>
        <v/>
      </c>
      <c r="M11">
        <f>YEAR(tbl_subscription[[#This Row],[Start_Date]])</f>
        <v/>
      </c>
    </row>
    <row r="12">
      <c r="A12" t="inlineStr">
        <is>
          <t>C0011</t>
        </is>
      </c>
      <c r="B12" t="inlineStr">
        <is>
          <t>Standard</t>
        </is>
      </c>
      <c r="C12" s="4" t="n">
        <v>44289</v>
      </c>
      <c r="D12" s="4" t="n">
        <v>45657</v>
      </c>
      <c r="E12" t="n">
        <v>25</v>
      </c>
      <c r="F12" t="inlineStr">
        <is>
          <t>Active</t>
        </is>
      </c>
      <c r="G12" t="inlineStr">
        <is>
          <t>Facebook</t>
        </is>
      </c>
      <c r="H12">
        <f>TEXT(C12,"mmm-yyyy")</f>
        <v/>
      </c>
      <c r="I12">
        <f>TEXT(D12,"mmm-yyyy")</f>
        <v/>
      </c>
      <c r="J12">
        <f>_xlfn.XLOOKUP(tbl_subscription[[#This Row],[Customer_ID]],tbl_clint[Customer_ID],tbl_clint[Country])</f>
        <v/>
      </c>
      <c r="K12">
        <f>_xlfn.XLOOKUP(tbl_subscription[[#This Row],[Customer_ID]],tbl_clint[[#This Row],[Customer_ID]],tbl_clint[[#This Row],[Industry]])</f>
        <v/>
      </c>
      <c r="L12">
        <f>_xlfn.XLOOKUP(tbl_subscription[[#This Row],[Customer_ID]],tbl_clint[[#This Row],[Customer_ID]],tbl_clint[[#This Row],[Company_Size]])</f>
        <v/>
      </c>
      <c r="M12">
        <f>YEAR(tbl_subscription[[#This Row],[Start_Date]])</f>
        <v/>
      </c>
    </row>
    <row r="13">
      <c r="A13" t="inlineStr">
        <is>
          <t>C0012</t>
        </is>
      </c>
      <c r="B13" t="inlineStr">
        <is>
          <t>Basic</t>
        </is>
      </c>
      <c r="C13" s="4" t="n">
        <v>45341</v>
      </c>
      <c r="D13" s="4" t="n">
        <v>45657</v>
      </c>
      <c r="E13" t="n">
        <v>15</v>
      </c>
      <c r="F13" t="inlineStr">
        <is>
          <t>Active</t>
        </is>
      </c>
      <c r="G13" t="inlineStr">
        <is>
          <t>Google</t>
        </is>
      </c>
      <c r="H13">
        <f>TEXT(C13,"mmm-yyyy")</f>
        <v/>
      </c>
      <c r="I13">
        <f>TEXT(D13,"mmm-yyyy")</f>
        <v/>
      </c>
      <c r="J13">
        <f>_xlfn.XLOOKUP(tbl_subscription[[#This Row],[Customer_ID]],tbl_clint[Customer_ID],tbl_clint[Country])</f>
        <v/>
      </c>
      <c r="K13">
        <f>_xlfn.XLOOKUP(tbl_subscription[[#This Row],[Customer_ID]],tbl_clint[[#This Row],[Customer_ID]],tbl_clint[[#This Row],[Industry]])</f>
        <v/>
      </c>
      <c r="L13">
        <f>_xlfn.XLOOKUP(tbl_subscription[[#This Row],[Customer_ID]],tbl_clint[[#This Row],[Customer_ID]],tbl_clint[[#This Row],[Company_Size]])</f>
        <v/>
      </c>
      <c r="M13">
        <f>YEAR(tbl_subscription[[#This Row],[Start_Date]])</f>
        <v/>
      </c>
    </row>
    <row r="14">
      <c r="A14" t="inlineStr">
        <is>
          <t>C0013</t>
        </is>
      </c>
      <c r="B14" t="inlineStr">
        <is>
          <t>Standard</t>
        </is>
      </c>
      <c r="C14" s="4" t="n">
        <v>43923</v>
      </c>
      <c r="D14" s="4" t="n">
        <v>45657</v>
      </c>
      <c r="E14" t="n">
        <v>25</v>
      </c>
      <c r="F14" t="inlineStr">
        <is>
          <t>Active</t>
        </is>
      </c>
      <c r="G14" t="inlineStr">
        <is>
          <t>Referral</t>
        </is>
      </c>
      <c r="H14">
        <f>TEXT(C14,"mmm-yyyy")</f>
        <v/>
      </c>
      <c r="I14">
        <f>TEXT(D14,"mmm-yyyy")</f>
        <v/>
      </c>
      <c r="J14">
        <f>_xlfn.XLOOKUP(tbl_subscription[[#This Row],[Customer_ID]],tbl_clint[Customer_ID],tbl_clint[Country])</f>
        <v/>
      </c>
      <c r="K14">
        <f>_xlfn.XLOOKUP(tbl_subscription[[#This Row],[Customer_ID]],tbl_clint[[#This Row],[Customer_ID]],tbl_clint[[#This Row],[Industry]])</f>
        <v/>
      </c>
      <c r="L14">
        <f>_xlfn.XLOOKUP(tbl_subscription[[#This Row],[Customer_ID]],tbl_clint[[#This Row],[Customer_ID]],tbl_clint[[#This Row],[Company_Size]])</f>
        <v/>
      </c>
      <c r="M14">
        <f>YEAR(tbl_subscription[[#This Row],[Start_Date]])</f>
        <v/>
      </c>
    </row>
    <row r="15">
      <c r="A15" t="inlineStr">
        <is>
          <t>C0014</t>
        </is>
      </c>
      <c r="B15" t="inlineStr">
        <is>
          <t>Premium</t>
        </is>
      </c>
      <c r="C15" s="4" t="n">
        <v>44229</v>
      </c>
      <c r="D15" s="4" t="n">
        <v>45657</v>
      </c>
      <c r="E15" t="n">
        <v>40</v>
      </c>
      <c r="F15" t="inlineStr">
        <is>
          <t>Active</t>
        </is>
      </c>
      <c r="G15" t="inlineStr">
        <is>
          <t>Referral</t>
        </is>
      </c>
      <c r="H15">
        <f>TEXT(C15,"mmm-yyyy")</f>
        <v/>
      </c>
      <c r="I15">
        <f>TEXT(D15,"mmm-yyyy")</f>
        <v/>
      </c>
      <c r="J15">
        <f>_xlfn.XLOOKUP(tbl_subscription[[#This Row],[Customer_ID]],tbl_clint[Customer_ID],tbl_clint[Country])</f>
        <v/>
      </c>
      <c r="K15">
        <f>_xlfn.XLOOKUP(tbl_subscription[[#This Row],[Customer_ID]],tbl_clint[[#This Row],[Customer_ID]],tbl_clint[[#This Row],[Industry]])</f>
        <v/>
      </c>
      <c r="L15">
        <f>_xlfn.XLOOKUP(tbl_subscription[[#This Row],[Customer_ID]],tbl_clint[[#This Row],[Customer_ID]],tbl_clint[[#This Row],[Company_Size]])</f>
        <v/>
      </c>
      <c r="M15">
        <f>YEAR(tbl_subscription[[#This Row],[Start_Date]])</f>
        <v/>
      </c>
    </row>
    <row r="16">
      <c r="A16" t="inlineStr">
        <is>
          <t>C0015</t>
        </is>
      </c>
      <c r="B16" t="inlineStr">
        <is>
          <t>Basic</t>
        </is>
      </c>
      <c r="C16" s="4" t="n">
        <v>44250</v>
      </c>
      <c r="D16" s="4" t="n">
        <v>45657</v>
      </c>
      <c r="E16" t="n">
        <v>15</v>
      </c>
      <c r="F16" t="inlineStr">
        <is>
          <t>Active</t>
        </is>
      </c>
      <c r="G16" t="inlineStr">
        <is>
          <t>Instagram</t>
        </is>
      </c>
      <c r="H16">
        <f>TEXT(C16,"mmm-yyyy")</f>
        <v/>
      </c>
      <c r="I16">
        <f>TEXT(D16,"mmm-yyyy")</f>
        <v/>
      </c>
      <c r="J16">
        <f>_xlfn.XLOOKUP(tbl_subscription[[#This Row],[Customer_ID]],tbl_clint[Customer_ID],tbl_clint[Country])</f>
        <v/>
      </c>
      <c r="K16">
        <f>_xlfn.XLOOKUP(tbl_subscription[[#This Row],[Customer_ID]],tbl_clint[[#This Row],[Customer_ID]],tbl_clint[[#This Row],[Industry]])</f>
        <v/>
      </c>
      <c r="L16">
        <f>_xlfn.XLOOKUP(tbl_subscription[[#This Row],[Customer_ID]],tbl_clint[[#This Row],[Customer_ID]],tbl_clint[[#This Row],[Company_Size]])</f>
        <v/>
      </c>
      <c r="M16">
        <f>YEAR(tbl_subscription[[#This Row],[Start_Date]])</f>
        <v/>
      </c>
    </row>
    <row r="17">
      <c r="A17" t="inlineStr">
        <is>
          <t>C0016</t>
        </is>
      </c>
      <c r="B17" t="inlineStr">
        <is>
          <t>Basic</t>
        </is>
      </c>
      <c r="C17" s="4" t="n">
        <v>44060</v>
      </c>
      <c r="D17" s="4" t="n">
        <v>45657</v>
      </c>
      <c r="E17" t="n">
        <v>15</v>
      </c>
      <c r="F17" t="inlineStr">
        <is>
          <t>Active</t>
        </is>
      </c>
      <c r="G17" t="inlineStr">
        <is>
          <t>LinkedIn</t>
        </is>
      </c>
      <c r="H17">
        <f>TEXT(C17,"mmm-yyyy")</f>
        <v/>
      </c>
      <c r="I17">
        <f>TEXT(D17,"mmm-yyyy")</f>
        <v/>
      </c>
      <c r="J17">
        <f>_xlfn.XLOOKUP(tbl_subscription[[#This Row],[Customer_ID]],tbl_clint[Customer_ID],tbl_clint[Country])</f>
        <v/>
      </c>
      <c r="K17">
        <f>_xlfn.XLOOKUP(tbl_subscription[[#This Row],[Customer_ID]],tbl_clint[[#This Row],[Customer_ID]],tbl_clint[[#This Row],[Industry]])</f>
        <v/>
      </c>
      <c r="L17">
        <f>_xlfn.XLOOKUP(tbl_subscription[[#This Row],[Customer_ID]],tbl_clint[[#This Row],[Customer_ID]],tbl_clint[[#This Row],[Company_Size]])</f>
        <v/>
      </c>
      <c r="M17">
        <f>YEAR(tbl_subscription[[#This Row],[Start_Date]])</f>
        <v/>
      </c>
    </row>
    <row r="18">
      <c r="A18" t="inlineStr">
        <is>
          <t>C0017</t>
        </is>
      </c>
      <c r="B18" t="inlineStr">
        <is>
          <t>Basic</t>
        </is>
      </c>
      <c r="C18" s="4" t="n">
        <v>44575</v>
      </c>
      <c r="D18" s="4" t="n">
        <v>45319</v>
      </c>
      <c r="E18" t="n">
        <v>15</v>
      </c>
      <c r="F18" t="inlineStr">
        <is>
          <t>Churned</t>
        </is>
      </c>
      <c r="G18" t="inlineStr">
        <is>
          <t>Facebook</t>
        </is>
      </c>
      <c r="H18">
        <f>TEXT(C18,"mmm-yyyy")</f>
        <v/>
      </c>
      <c r="I18">
        <f>TEXT(D18,"mmm-yyyy")</f>
        <v/>
      </c>
      <c r="J18">
        <f>_xlfn.XLOOKUP(tbl_subscription[[#This Row],[Customer_ID]],tbl_clint[Customer_ID],tbl_clint[Country])</f>
        <v/>
      </c>
      <c r="K18">
        <f>_xlfn.XLOOKUP(tbl_subscription[[#This Row],[Customer_ID]],tbl_clint[[#This Row],[Customer_ID]],tbl_clint[[#This Row],[Industry]])</f>
        <v/>
      </c>
      <c r="L18">
        <f>_xlfn.XLOOKUP(tbl_subscription[[#This Row],[Customer_ID]],tbl_clint[[#This Row],[Customer_ID]],tbl_clint[[#This Row],[Company_Size]])</f>
        <v/>
      </c>
      <c r="M18">
        <f>YEAR(tbl_subscription[[#This Row],[Start_Date]])</f>
        <v/>
      </c>
    </row>
    <row r="19">
      <c r="A19" t="inlineStr">
        <is>
          <t>C0018</t>
        </is>
      </c>
      <c r="B19" t="inlineStr">
        <is>
          <t>Premium</t>
        </is>
      </c>
      <c r="C19" s="4" t="n">
        <v>45391</v>
      </c>
      <c r="D19" s="4" t="n">
        <v>45657</v>
      </c>
      <c r="E19" t="n">
        <v>40</v>
      </c>
      <c r="F19" t="inlineStr">
        <is>
          <t>Active</t>
        </is>
      </c>
      <c r="G19" t="inlineStr">
        <is>
          <t>Referral</t>
        </is>
      </c>
      <c r="H19">
        <f>TEXT(C19,"mmm-yyyy")</f>
        <v/>
      </c>
      <c r="I19">
        <f>TEXT(D19,"mmm-yyyy")</f>
        <v/>
      </c>
      <c r="J19">
        <f>_xlfn.XLOOKUP(tbl_subscription[[#This Row],[Customer_ID]],tbl_clint[Customer_ID],tbl_clint[Country])</f>
        <v/>
      </c>
      <c r="K19">
        <f>_xlfn.XLOOKUP(tbl_subscription[[#This Row],[Customer_ID]],tbl_clint[[#This Row],[Customer_ID]],tbl_clint[[#This Row],[Industry]])</f>
        <v/>
      </c>
      <c r="L19">
        <f>_xlfn.XLOOKUP(tbl_subscription[[#This Row],[Customer_ID]],tbl_clint[[#This Row],[Customer_ID]],tbl_clint[[#This Row],[Company_Size]])</f>
        <v/>
      </c>
      <c r="M19">
        <f>YEAR(tbl_subscription[[#This Row],[Start_Date]])</f>
        <v/>
      </c>
    </row>
    <row r="20">
      <c r="A20" t="inlineStr">
        <is>
          <t>C0019</t>
        </is>
      </c>
      <c r="B20" t="inlineStr">
        <is>
          <t>Basic</t>
        </is>
      </c>
      <c r="C20" s="4" t="n">
        <v>44557</v>
      </c>
      <c r="D20" s="4" t="n">
        <v>45657</v>
      </c>
      <c r="E20" t="n">
        <v>15</v>
      </c>
      <c r="F20" t="inlineStr">
        <is>
          <t>Active</t>
        </is>
      </c>
      <c r="G20" t="inlineStr">
        <is>
          <t>Instagram</t>
        </is>
      </c>
      <c r="H20">
        <f>TEXT(C20,"mmm-yyyy")</f>
        <v/>
      </c>
      <c r="I20">
        <f>TEXT(D20,"mmm-yyyy")</f>
        <v/>
      </c>
      <c r="J20">
        <f>_xlfn.XLOOKUP(tbl_subscription[[#This Row],[Customer_ID]],tbl_clint[Customer_ID],tbl_clint[Country])</f>
        <v/>
      </c>
      <c r="K20">
        <f>_xlfn.XLOOKUP(tbl_subscription[[#This Row],[Customer_ID]],tbl_clint[[#This Row],[Customer_ID]],tbl_clint[[#This Row],[Industry]])</f>
        <v/>
      </c>
      <c r="L20">
        <f>_xlfn.XLOOKUP(tbl_subscription[[#This Row],[Customer_ID]],tbl_clint[[#This Row],[Customer_ID]],tbl_clint[[#This Row],[Company_Size]])</f>
        <v/>
      </c>
      <c r="M20">
        <f>YEAR(tbl_subscription[[#This Row],[Start_Date]])</f>
        <v/>
      </c>
    </row>
    <row r="21">
      <c r="A21" t="inlineStr">
        <is>
          <t>C0020</t>
        </is>
      </c>
      <c r="B21" t="inlineStr">
        <is>
          <t>Premium</t>
        </is>
      </c>
      <c r="C21" s="4" t="n">
        <v>45325</v>
      </c>
      <c r="D21" s="4" t="n">
        <v>45657</v>
      </c>
      <c r="E21" t="n">
        <v>40</v>
      </c>
      <c r="F21" t="inlineStr">
        <is>
          <t>Active</t>
        </is>
      </c>
      <c r="G21" t="inlineStr">
        <is>
          <t>Referral</t>
        </is>
      </c>
      <c r="H21">
        <f>TEXT(C21,"mmm-yyyy")</f>
        <v/>
      </c>
      <c r="I21">
        <f>TEXT(D21,"mmm-yyyy")</f>
        <v/>
      </c>
      <c r="J21">
        <f>_xlfn.XLOOKUP(tbl_subscription[[#This Row],[Customer_ID]],tbl_clint[Customer_ID],tbl_clint[Country])</f>
        <v/>
      </c>
      <c r="K21">
        <f>_xlfn.XLOOKUP(tbl_subscription[[#This Row],[Customer_ID]],tbl_clint[[#This Row],[Customer_ID]],tbl_clint[[#This Row],[Industry]])</f>
        <v/>
      </c>
      <c r="L21">
        <f>_xlfn.XLOOKUP(tbl_subscription[[#This Row],[Customer_ID]],tbl_clint[[#This Row],[Customer_ID]],tbl_clint[[#This Row],[Company_Size]])</f>
        <v/>
      </c>
      <c r="M21">
        <f>YEAR(tbl_subscription[[#This Row],[Start_Date]])</f>
        <v/>
      </c>
    </row>
    <row r="22">
      <c r="A22" t="inlineStr">
        <is>
          <t>C0021</t>
        </is>
      </c>
      <c r="B22" t="inlineStr">
        <is>
          <t>Basic</t>
        </is>
      </c>
      <c r="C22" s="4" t="n">
        <v>44481</v>
      </c>
      <c r="D22" s="4" t="n">
        <v>45198</v>
      </c>
      <c r="E22" t="n">
        <v>15</v>
      </c>
      <c r="F22" t="inlineStr">
        <is>
          <t>Churned</t>
        </is>
      </c>
      <c r="G22" t="inlineStr">
        <is>
          <t>Google</t>
        </is>
      </c>
      <c r="H22">
        <f>TEXT(C22,"mmm-yyyy")</f>
        <v/>
      </c>
      <c r="I22">
        <f>TEXT(D22,"mmm-yyyy")</f>
        <v/>
      </c>
      <c r="J22">
        <f>_xlfn.XLOOKUP(tbl_subscription[[#This Row],[Customer_ID]],tbl_clint[Customer_ID],tbl_clint[Country])</f>
        <v/>
      </c>
      <c r="K22">
        <f>_xlfn.XLOOKUP(tbl_subscription[[#This Row],[Customer_ID]],tbl_clint[[#This Row],[Customer_ID]],tbl_clint[[#This Row],[Industry]])</f>
        <v/>
      </c>
      <c r="L22">
        <f>_xlfn.XLOOKUP(tbl_subscription[[#This Row],[Customer_ID]],tbl_clint[[#This Row],[Customer_ID]],tbl_clint[[#This Row],[Company_Size]])</f>
        <v/>
      </c>
      <c r="M22">
        <f>YEAR(tbl_subscription[[#This Row],[Start_Date]])</f>
        <v/>
      </c>
    </row>
    <row r="23">
      <c r="A23" t="inlineStr">
        <is>
          <t>C0022</t>
        </is>
      </c>
      <c r="B23" t="inlineStr">
        <is>
          <t>Standard</t>
        </is>
      </c>
      <c r="C23" s="4" t="n">
        <v>44660</v>
      </c>
      <c r="D23" s="4" t="n">
        <v>44768</v>
      </c>
      <c r="E23" t="n">
        <v>25</v>
      </c>
      <c r="F23" t="inlineStr">
        <is>
          <t>Churned</t>
        </is>
      </c>
      <c r="G23" t="inlineStr">
        <is>
          <t>LinkedIn</t>
        </is>
      </c>
      <c r="H23">
        <f>TEXT(C23,"mmm-yyyy")</f>
        <v/>
      </c>
      <c r="I23">
        <f>TEXT(D23,"mmm-yyyy")</f>
        <v/>
      </c>
      <c r="J23">
        <f>_xlfn.XLOOKUP(tbl_subscription[[#This Row],[Customer_ID]],tbl_clint[Customer_ID],tbl_clint[Country])</f>
        <v/>
      </c>
      <c r="K23">
        <f>_xlfn.XLOOKUP(tbl_subscription[[#This Row],[Customer_ID]],tbl_clint[[#This Row],[Customer_ID]],tbl_clint[[#This Row],[Industry]])</f>
        <v/>
      </c>
      <c r="L23">
        <f>_xlfn.XLOOKUP(tbl_subscription[[#This Row],[Customer_ID]],tbl_clint[[#This Row],[Customer_ID]],tbl_clint[[#This Row],[Company_Size]])</f>
        <v/>
      </c>
      <c r="M23">
        <f>YEAR(tbl_subscription[[#This Row],[Start_Date]])</f>
        <v/>
      </c>
    </row>
    <row r="24">
      <c r="A24" t="inlineStr">
        <is>
          <t>C0023</t>
        </is>
      </c>
      <c r="B24" t="inlineStr">
        <is>
          <t>Standard</t>
        </is>
      </c>
      <c r="C24" s="4" t="n">
        <v>44122</v>
      </c>
      <c r="D24" s="4" t="n">
        <v>45657</v>
      </c>
      <c r="E24" t="n">
        <v>25</v>
      </c>
      <c r="F24" t="inlineStr">
        <is>
          <t>Active</t>
        </is>
      </c>
      <c r="G24" t="inlineStr">
        <is>
          <t>Google</t>
        </is>
      </c>
      <c r="H24">
        <f>TEXT(C24,"mmm-yyyy")</f>
        <v/>
      </c>
      <c r="I24">
        <f>TEXT(D24,"mmm-yyyy")</f>
        <v/>
      </c>
      <c r="J24">
        <f>_xlfn.XLOOKUP(tbl_subscription[[#This Row],[Customer_ID]],tbl_clint[Customer_ID],tbl_clint[Country])</f>
        <v/>
      </c>
      <c r="K24">
        <f>_xlfn.XLOOKUP(tbl_subscription[[#This Row],[Customer_ID]],tbl_clint[[#This Row],[Customer_ID]],tbl_clint[[#This Row],[Industry]])</f>
        <v/>
      </c>
      <c r="L24">
        <f>_xlfn.XLOOKUP(tbl_subscription[[#This Row],[Customer_ID]],tbl_clint[[#This Row],[Customer_ID]],tbl_clint[[#This Row],[Company_Size]])</f>
        <v/>
      </c>
      <c r="M24">
        <f>YEAR(tbl_subscription[[#This Row],[Start_Date]])</f>
        <v/>
      </c>
    </row>
    <row r="25">
      <c r="A25" t="inlineStr">
        <is>
          <t>C0024</t>
        </is>
      </c>
      <c r="B25" t="inlineStr">
        <is>
          <t>Basic</t>
        </is>
      </c>
      <c r="C25" s="4" t="n">
        <v>45101</v>
      </c>
      <c r="D25" s="4" t="n">
        <v>45657</v>
      </c>
      <c r="E25" t="n">
        <v>15</v>
      </c>
      <c r="F25" t="inlineStr">
        <is>
          <t>Active</t>
        </is>
      </c>
      <c r="G25" t="inlineStr">
        <is>
          <t>LinkedIn</t>
        </is>
      </c>
      <c r="H25">
        <f>TEXT(C25,"mmm-yyyy")</f>
        <v/>
      </c>
      <c r="I25">
        <f>TEXT(D25,"mmm-yyyy")</f>
        <v/>
      </c>
      <c r="J25">
        <f>_xlfn.XLOOKUP(tbl_subscription[[#This Row],[Customer_ID]],tbl_clint[Customer_ID],tbl_clint[Country])</f>
        <v/>
      </c>
      <c r="K25">
        <f>_xlfn.XLOOKUP(tbl_subscription[[#This Row],[Customer_ID]],tbl_clint[[#This Row],[Customer_ID]],tbl_clint[[#This Row],[Industry]])</f>
        <v/>
      </c>
      <c r="L25">
        <f>_xlfn.XLOOKUP(tbl_subscription[[#This Row],[Customer_ID]],tbl_clint[[#This Row],[Customer_ID]],tbl_clint[[#This Row],[Company_Size]])</f>
        <v/>
      </c>
      <c r="M25">
        <f>YEAR(tbl_subscription[[#This Row],[Start_Date]])</f>
        <v/>
      </c>
    </row>
    <row r="26">
      <c r="A26" t="inlineStr">
        <is>
          <t>C0025</t>
        </is>
      </c>
      <c r="B26" t="inlineStr">
        <is>
          <t>Premium</t>
        </is>
      </c>
      <c r="C26" s="4" t="n">
        <v>44787</v>
      </c>
      <c r="D26" s="4" t="n">
        <v>45657</v>
      </c>
      <c r="E26" t="n">
        <v>40</v>
      </c>
      <c r="F26" t="inlineStr">
        <is>
          <t>Active</t>
        </is>
      </c>
      <c r="G26" t="inlineStr">
        <is>
          <t>Instagram</t>
        </is>
      </c>
      <c r="H26">
        <f>TEXT(C26,"mmm-yyyy")</f>
        <v/>
      </c>
      <c r="I26">
        <f>TEXT(D26,"mmm-yyyy")</f>
        <v/>
      </c>
      <c r="J26">
        <f>_xlfn.XLOOKUP(tbl_subscription[[#This Row],[Customer_ID]],tbl_clint[Customer_ID],tbl_clint[Country])</f>
        <v/>
      </c>
      <c r="K26">
        <f>_xlfn.XLOOKUP(tbl_subscription[[#This Row],[Customer_ID]],tbl_clint[[#This Row],[Customer_ID]],tbl_clint[[#This Row],[Industry]])</f>
        <v/>
      </c>
      <c r="L26">
        <f>_xlfn.XLOOKUP(tbl_subscription[[#This Row],[Customer_ID]],tbl_clint[[#This Row],[Customer_ID]],tbl_clint[[#This Row],[Company_Size]])</f>
        <v/>
      </c>
      <c r="M26">
        <f>YEAR(tbl_subscription[[#This Row],[Start_Date]])</f>
        <v/>
      </c>
    </row>
    <row r="27">
      <c r="A27" t="inlineStr">
        <is>
          <t>C0026</t>
        </is>
      </c>
      <c r="B27" t="inlineStr">
        <is>
          <t>Standard</t>
        </is>
      </c>
      <c r="C27" s="4" t="n">
        <v>43884</v>
      </c>
      <c r="D27" s="4" t="n">
        <v>45657</v>
      </c>
      <c r="E27" t="n">
        <v>25</v>
      </c>
      <c r="F27" t="inlineStr">
        <is>
          <t>Active</t>
        </is>
      </c>
      <c r="G27" t="inlineStr">
        <is>
          <t>Google</t>
        </is>
      </c>
      <c r="H27">
        <f>TEXT(C27,"mmm-yyyy")</f>
        <v/>
      </c>
      <c r="I27">
        <f>TEXT(D27,"mmm-yyyy")</f>
        <v/>
      </c>
      <c r="J27">
        <f>_xlfn.XLOOKUP(tbl_subscription[[#This Row],[Customer_ID]],tbl_clint[Customer_ID],tbl_clint[Country])</f>
        <v/>
      </c>
      <c r="K27">
        <f>_xlfn.XLOOKUP(tbl_subscription[[#This Row],[Customer_ID]],tbl_clint[[#This Row],[Customer_ID]],tbl_clint[[#This Row],[Industry]])</f>
        <v/>
      </c>
      <c r="L27">
        <f>_xlfn.XLOOKUP(tbl_subscription[[#This Row],[Customer_ID]],tbl_clint[[#This Row],[Customer_ID]],tbl_clint[[#This Row],[Company_Size]])</f>
        <v/>
      </c>
      <c r="M27">
        <f>YEAR(tbl_subscription[[#This Row],[Start_Date]])</f>
        <v/>
      </c>
    </row>
    <row r="28">
      <c r="A28" t="inlineStr">
        <is>
          <t>C0027</t>
        </is>
      </c>
      <c r="B28" t="inlineStr">
        <is>
          <t>Premium</t>
        </is>
      </c>
      <c r="C28" s="4" t="n">
        <v>44848</v>
      </c>
      <c r="D28" s="4" t="n">
        <v>45657</v>
      </c>
      <c r="E28" t="n">
        <v>40</v>
      </c>
      <c r="F28" t="inlineStr">
        <is>
          <t>Active</t>
        </is>
      </c>
      <c r="G28" t="inlineStr">
        <is>
          <t>Google</t>
        </is>
      </c>
      <c r="H28">
        <f>TEXT(C28,"mmm-yyyy")</f>
        <v/>
      </c>
      <c r="I28">
        <f>TEXT(D28,"mmm-yyyy")</f>
        <v/>
      </c>
      <c r="J28">
        <f>_xlfn.XLOOKUP(tbl_subscription[[#This Row],[Customer_ID]],tbl_clint[Customer_ID],tbl_clint[Country])</f>
        <v/>
      </c>
      <c r="K28">
        <f>_xlfn.XLOOKUP(tbl_subscription[[#This Row],[Customer_ID]],tbl_clint[[#This Row],[Customer_ID]],tbl_clint[[#This Row],[Industry]])</f>
        <v/>
      </c>
      <c r="L28">
        <f>_xlfn.XLOOKUP(tbl_subscription[[#This Row],[Customer_ID]],tbl_clint[[#This Row],[Customer_ID]],tbl_clint[[#This Row],[Company_Size]])</f>
        <v/>
      </c>
      <c r="M28">
        <f>YEAR(tbl_subscription[[#This Row],[Start_Date]])</f>
        <v/>
      </c>
    </row>
    <row r="29">
      <c r="A29" t="inlineStr">
        <is>
          <t>C0028</t>
        </is>
      </c>
      <c r="B29" t="inlineStr">
        <is>
          <t>Basic</t>
        </is>
      </c>
      <c r="C29" s="4" t="n">
        <v>45345</v>
      </c>
      <c r="D29" s="4" t="n">
        <v>45657</v>
      </c>
      <c r="E29" t="n">
        <v>15</v>
      </c>
      <c r="F29" t="inlineStr">
        <is>
          <t>Active</t>
        </is>
      </c>
      <c r="G29" t="inlineStr">
        <is>
          <t>Instagram</t>
        </is>
      </c>
      <c r="H29">
        <f>TEXT(C29,"mmm-yyyy")</f>
        <v/>
      </c>
      <c r="I29">
        <f>TEXT(D29,"mmm-yyyy")</f>
        <v/>
      </c>
      <c r="J29">
        <f>_xlfn.XLOOKUP(tbl_subscription[[#This Row],[Customer_ID]],tbl_clint[Customer_ID],tbl_clint[Country])</f>
        <v/>
      </c>
      <c r="K29">
        <f>_xlfn.XLOOKUP(tbl_subscription[[#This Row],[Customer_ID]],tbl_clint[[#This Row],[Customer_ID]],tbl_clint[[#This Row],[Industry]])</f>
        <v/>
      </c>
      <c r="L29">
        <f>_xlfn.XLOOKUP(tbl_subscription[[#This Row],[Customer_ID]],tbl_clint[[#This Row],[Customer_ID]],tbl_clint[[#This Row],[Company_Size]])</f>
        <v/>
      </c>
      <c r="M29">
        <f>YEAR(tbl_subscription[[#This Row],[Start_Date]])</f>
        <v/>
      </c>
    </row>
    <row r="30">
      <c r="A30" t="inlineStr">
        <is>
          <t>C0029</t>
        </is>
      </c>
      <c r="B30" t="inlineStr">
        <is>
          <t>Basic</t>
        </is>
      </c>
      <c r="C30" s="4" t="n">
        <v>44967</v>
      </c>
      <c r="D30" s="4" t="n">
        <v>45657</v>
      </c>
      <c r="E30" t="n">
        <v>15</v>
      </c>
      <c r="F30" t="inlineStr">
        <is>
          <t>Active</t>
        </is>
      </c>
      <c r="G30" t="inlineStr">
        <is>
          <t>Instagram</t>
        </is>
      </c>
      <c r="H30">
        <f>TEXT(C30,"mmm-yyyy")</f>
        <v/>
      </c>
      <c r="I30">
        <f>TEXT(D30,"mmm-yyyy")</f>
        <v/>
      </c>
      <c r="J30">
        <f>_xlfn.XLOOKUP(tbl_subscription[[#This Row],[Customer_ID]],tbl_clint[Customer_ID],tbl_clint[Country])</f>
        <v/>
      </c>
      <c r="K30">
        <f>_xlfn.XLOOKUP(tbl_subscription[[#This Row],[Customer_ID]],tbl_clint[[#This Row],[Customer_ID]],tbl_clint[[#This Row],[Industry]])</f>
        <v/>
      </c>
      <c r="L30">
        <f>_xlfn.XLOOKUP(tbl_subscription[[#This Row],[Customer_ID]],tbl_clint[[#This Row],[Customer_ID]],tbl_clint[[#This Row],[Company_Size]])</f>
        <v/>
      </c>
      <c r="M30">
        <f>YEAR(tbl_subscription[[#This Row],[Start_Date]])</f>
        <v/>
      </c>
    </row>
    <row r="31">
      <c r="A31" t="inlineStr">
        <is>
          <t>C0030</t>
        </is>
      </c>
      <c r="B31" t="inlineStr">
        <is>
          <t>Premium</t>
        </is>
      </c>
      <c r="C31" s="4" t="n">
        <v>44958</v>
      </c>
      <c r="D31" s="4" t="n">
        <v>45144</v>
      </c>
      <c r="E31" t="n">
        <v>40</v>
      </c>
      <c r="F31" t="inlineStr">
        <is>
          <t>Churned</t>
        </is>
      </c>
      <c r="G31" t="inlineStr">
        <is>
          <t>LinkedIn</t>
        </is>
      </c>
      <c r="H31">
        <f>TEXT(C31,"mmm-yyyy")</f>
        <v/>
      </c>
      <c r="I31">
        <f>TEXT(D31,"mmm-yyyy")</f>
        <v/>
      </c>
      <c r="J31">
        <f>_xlfn.XLOOKUP(tbl_subscription[[#This Row],[Customer_ID]],tbl_clint[Customer_ID],tbl_clint[Country])</f>
        <v/>
      </c>
      <c r="K31">
        <f>_xlfn.XLOOKUP(tbl_subscription[[#This Row],[Customer_ID]],tbl_clint[[#This Row],[Customer_ID]],tbl_clint[[#This Row],[Industry]])</f>
        <v/>
      </c>
      <c r="L31">
        <f>_xlfn.XLOOKUP(tbl_subscription[[#This Row],[Customer_ID]],tbl_clint[[#This Row],[Customer_ID]],tbl_clint[[#This Row],[Company_Size]])</f>
        <v/>
      </c>
      <c r="M31">
        <f>YEAR(tbl_subscription[[#This Row],[Start_Date]])</f>
        <v/>
      </c>
    </row>
    <row r="32">
      <c r="A32" t="inlineStr">
        <is>
          <t>C0031</t>
        </is>
      </c>
      <c r="B32" t="inlineStr">
        <is>
          <t>Standard</t>
        </is>
      </c>
      <c r="C32" s="4" t="n">
        <v>43890</v>
      </c>
      <c r="D32" s="4" t="n">
        <v>45657</v>
      </c>
      <c r="E32" t="n">
        <v>25</v>
      </c>
      <c r="F32" t="inlineStr">
        <is>
          <t>Active</t>
        </is>
      </c>
      <c r="G32" t="inlineStr">
        <is>
          <t>Google</t>
        </is>
      </c>
      <c r="H32">
        <f>TEXT(C32,"mmm-yyyy")</f>
        <v/>
      </c>
      <c r="I32">
        <f>TEXT(D32,"mmm-yyyy")</f>
        <v/>
      </c>
      <c r="J32">
        <f>_xlfn.XLOOKUP(tbl_subscription[[#This Row],[Customer_ID]],tbl_clint[Customer_ID],tbl_clint[Country])</f>
        <v/>
      </c>
      <c r="K32">
        <f>_xlfn.XLOOKUP(tbl_subscription[[#This Row],[Customer_ID]],tbl_clint[[#This Row],[Customer_ID]],tbl_clint[[#This Row],[Industry]])</f>
        <v/>
      </c>
      <c r="L32">
        <f>_xlfn.XLOOKUP(tbl_subscription[[#This Row],[Customer_ID]],tbl_clint[[#This Row],[Customer_ID]],tbl_clint[[#This Row],[Company_Size]])</f>
        <v/>
      </c>
      <c r="M32">
        <f>YEAR(tbl_subscription[[#This Row],[Start_Date]])</f>
        <v/>
      </c>
    </row>
    <row r="33">
      <c r="A33" t="inlineStr">
        <is>
          <t>C0032</t>
        </is>
      </c>
      <c r="B33" t="inlineStr">
        <is>
          <t>Standard</t>
        </is>
      </c>
      <c r="C33" s="4" t="n">
        <v>44224</v>
      </c>
      <c r="D33" s="4" t="n">
        <v>45657</v>
      </c>
      <c r="E33" t="n">
        <v>25</v>
      </c>
      <c r="F33" t="inlineStr">
        <is>
          <t>Active</t>
        </is>
      </c>
      <c r="G33" t="inlineStr">
        <is>
          <t>LinkedIn</t>
        </is>
      </c>
      <c r="H33">
        <f>TEXT(C33,"mmm-yyyy")</f>
        <v/>
      </c>
      <c r="I33">
        <f>TEXT(D33,"mmm-yyyy")</f>
        <v/>
      </c>
      <c r="J33">
        <f>_xlfn.XLOOKUP(tbl_subscription[[#This Row],[Customer_ID]],tbl_clint[Customer_ID],tbl_clint[Country])</f>
        <v/>
      </c>
      <c r="K33">
        <f>_xlfn.XLOOKUP(tbl_subscription[[#This Row],[Customer_ID]],tbl_clint[[#This Row],[Customer_ID]],tbl_clint[[#This Row],[Industry]])</f>
        <v/>
      </c>
      <c r="L33">
        <f>_xlfn.XLOOKUP(tbl_subscription[[#This Row],[Customer_ID]],tbl_clint[[#This Row],[Customer_ID]],tbl_clint[[#This Row],[Company_Size]])</f>
        <v/>
      </c>
      <c r="M33">
        <f>YEAR(tbl_subscription[[#This Row],[Start_Date]])</f>
        <v/>
      </c>
    </row>
    <row r="34">
      <c r="A34" t="inlineStr">
        <is>
          <t>C0033</t>
        </is>
      </c>
      <c r="B34" t="inlineStr">
        <is>
          <t>Basic</t>
        </is>
      </c>
      <c r="C34" s="4" t="n">
        <v>44514</v>
      </c>
      <c r="D34" s="4" t="n">
        <v>44758</v>
      </c>
      <c r="E34" t="n">
        <v>15</v>
      </c>
      <c r="F34" t="inlineStr">
        <is>
          <t>Churned</t>
        </is>
      </c>
      <c r="G34" t="inlineStr">
        <is>
          <t>LinkedIn</t>
        </is>
      </c>
      <c r="H34">
        <f>TEXT(C34,"mmm-yyyy")</f>
        <v/>
      </c>
      <c r="I34">
        <f>TEXT(D34,"mmm-yyyy")</f>
        <v/>
      </c>
      <c r="J34">
        <f>_xlfn.XLOOKUP(tbl_subscription[[#This Row],[Customer_ID]],tbl_clint[Customer_ID],tbl_clint[Country])</f>
        <v/>
      </c>
      <c r="K34">
        <f>_xlfn.XLOOKUP(tbl_subscription[[#This Row],[Customer_ID]],tbl_clint[[#This Row],[Customer_ID]],tbl_clint[[#This Row],[Industry]])</f>
        <v/>
      </c>
      <c r="L34">
        <f>_xlfn.XLOOKUP(tbl_subscription[[#This Row],[Customer_ID]],tbl_clint[[#This Row],[Customer_ID]],tbl_clint[[#This Row],[Company_Size]])</f>
        <v/>
      </c>
      <c r="M34">
        <f>YEAR(tbl_subscription[[#This Row],[Start_Date]])</f>
        <v/>
      </c>
    </row>
    <row r="35">
      <c r="A35" t="inlineStr">
        <is>
          <t>C0034</t>
        </is>
      </c>
      <c r="B35" t="inlineStr">
        <is>
          <t>Basic</t>
        </is>
      </c>
      <c r="C35" s="4" t="n">
        <v>44813</v>
      </c>
      <c r="D35" s="4" t="n">
        <v>45657</v>
      </c>
      <c r="E35" t="n">
        <v>15</v>
      </c>
      <c r="F35" t="inlineStr">
        <is>
          <t>Active</t>
        </is>
      </c>
      <c r="G35" t="inlineStr">
        <is>
          <t>LinkedIn</t>
        </is>
      </c>
      <c r="H35">
        <f>TEXT(C35,"mmm-yyyy")</f>
        <v/>
      </c>
      <c r="I35">
        <f>TEXT(D35,"mmm-yyyy")</f>
        <v/>
      </c>
      <c r="J35">
        <f>_xlfn.XLOOKUP(tbl_subscription[[#This Row],[Customer_ID]],tbl_clint[Customer_ID],tbl_clint[Country])</f>
        <v/>
      </c>
      <c r="K35">
        <f>_xlfn.XLOOKUP(tbl_subscription[[#This Row],[Customer_ID]],tbl_clint[[#This Row],[Customer_ID]],tbl_clint[[#This Row],[Industry]])</f>
        <v/>
      </c>
      <c r="L35">
        <f>_xlfn.XLOOKUP(tbl_subscription[[#This Row],[Customer_ID]],tbl_clint[[#This Row],[Customer_ID]],tbl_clint[[#This Row],[Company_Size]])</f>
        <v/>
      </c>
      <c r="M35">
        <f>YEAR(tbl_subscription[[#This Row],[Start_Date]])</f>
        <v/>
      </c>
    </row>
    <row r="36">
      <c r="A36" t="inlineStr">
        <is>
          <t>C0035</t>
        </is>
      </c>
      <c r="B36" t="inlineStr">
        <is>
          <t>Standard</t>
        </is>
      </c>
      <c r="C36" s="4" t="n">
        <v>44810</v>
      </c>
      <c r="D36" s="4" t="n">
        <v>45657</v>
      </c>
      <c r="E36" t="n">
        <v>25</v>
      </c>
      <c r="F36" t="inlineStr">
        <is>
          <t>Active</t>
        </is>
      </c>
      <c r="G36" t="inlineStr">
        <is>
          <t>Referral</t>
        </is>
      </c>
      <c r="H36">
        <f>TEXT(C36,"mmm-yyyy")</f>
        <v/>
      </c>
      <c r="I36">
        <f>TEXT(D36,"mmm-yyyy")</f>
        <v/>
      </c>
      <c r="J36">
        <f>_xlfn.XLOOKUP(tbl_subscription[[#This Row],[Customer_ID]],tbl_clint[Customer_ID],tbl_clint[Country])</f>
        <v/>
      </c>
      <c r="K36">
        <f>_xlfn.XLOOKUP(tbl_subscription[[#This Row],[Customer_ID]],tbl_clint[[#This Row],[Customer_ID]],tbl_clint[[#This Row],[Industry]])</f>
        <v/>
      </c>
      <c r="L36">
        <f>_xlfn.XLOOKUP(tbl_subscription[[#This Row],[Customer_ID]],tbl_clint[[#This Row],[Customer_ID]],tbl_clint[[#This Row],[Company_Size]])</f>
        <v/>
      </c>
      <c r="M36">
        <f>YEAR(tbl_subscription[[#This Row],[Start_Date]])</f>
        <v/>
      </c>
    </row>
    <row r="37">
      <c r="A37" t="inlineStr">
        <is>
          <t>C0036</t>
        </is>
      </c>
      <c r="B37" t="inlineStr">
        <is>
          <t>Standard</t>
        </is>
      </c>
      <c r="C37" s="4" t="n">
        <v>44071</v>
      </c>
      <c r="D37" s="4" t="n">
        <v>44467</v>
      </c>
      <c r="E37" t="n">
        <v>25</v>
      </c>
      <c r="F37" t="inlineStr">
        <is>
          <t>Churned</t>
        </is>
      </c>
      <c r="G37" t="inlineStr">
        <is>
          <t>Referral</t>
        </is>
      </c>
      <c r="H37">
        <f>TEXT(C37,"mmm-yyyy")</f>
        <v/>
      </c>
      <c r="I37">
        <f>TEXT(D37,"mmm-yyyy")</f>
        <v/>
      </c>
      <c r="J37">
        <f>_xlfn.XLOOKUP(tbl_subscription[[#This Row],[Customer_ID]],tbl_clint[Customer_ID],tbl_clint[Country])</f>
        <v/>
      </c>
      <c r="K37">
        <f>_xlfn.XLOOKUP(tbl_subscription[[#This Row],[Customer_ID]],tbl_clint[[#This Row],[Customer_ID]],tbl_clint[[#This Row],[Industry]])</f>
        <v/>
      </c>
      <c r="L37">
        <f>_xlfn.XLOOKUP(tbl_subscription[[#This Row],[Customer_ID]],tbl_clint[[#This Row],[Customer_ID]],tbl_clint[[#This Row],[Company_Size]])</f>
        <v/>
      </c>
      <c r="M37">
        <f>YEAR(tbl_subscription[[#This Row],[Start_Date]])</f>
        <v/>
      </c>
    </row>
    <row r="38">
      <c r="A38" t="inlineStr">
        <is>
          <t>C0037</t>
        </is>
      </c>
      <c r="B38" t="inlineStr">
        <is>
          <t>Premium</t>
        </is>
      </c>
      <c r="C38" s="4" t="n">
        <v>44459</v>
      </c>
      <c r="D38" s="4" t="n">
        <v>45657</v>
      </c>
      <c r="E38" t="n">
        <v>40</v>
      </c>
      <c r="F38" t="inlineStr">
        <is>
          <t>Active</t>
        </is>
      </c>
      <c r="G38" t="inlineStr">
        <is>
          <t>Referral</t>
        </is>
      </c>
      <c r="H38">
        <f>TEXT(C38,"mmm-yyyy")</f>
        <v/>
      </c>
      <c r="I38">
        <f>TEXT(D38,"mmm-yyyy")</f>
        <v/>
      </c>
      <c r="J38">
        <f>_xlfn.XLOOKUP(tbl_subscription[[#This Row],[Customer_ID]],tbl_clint[Customer_ID],tbl_clint[Country])</f>
        <v/>
      </c>
      <c r="K38">
        <f>_xlfn.XLOOKUP(tbl_subscription[[#This Row],[Customer_ID]],tbl_clint[[#This Row],[Customer_ID]],tbl_clint[[#This Row],[Industry]])</f>
        <v/>
      </c>
      <c r="L38">
        <f>_xlfn.XLOOKUP(tbl_subscription[[#This Row],[Customer_ID]],tbl_clint[[#This Row],[Customer_ID]],tbl_clint[[#This Row],[Company_Size]])</f>
        <v/>
      </c>
      <c r="M38">
        <f>YEAR(tbl_subscription[[#This Row],[Start_Date]])</f>
        <v/>
      </c>
    </row>
    <row r="39">
      <c r="A39" t="inlineStr">
        <is>
          <t>C0038</t>
        </is>
      </c>
      <c r="B39" t="inlineStr">
        <is>
          <t>Premium</t>
        </is>
      </c>
      <c r="C39" s="4" t="n">
        <v>45136</v>
      </c>
      <c r="D39" s="4" t="n">
        <v>45657</v>
      </c>
      <c r="E39" t="n">
        <v>40</v>
      </c>
      <c r="F39" t="inlineStr">
        <is>
          <t>Churned</t>
        </is>
      </c>
      <c r="G39" t="inlineStr">
        <is>
          <t>Instagram</t>
        </is>
      </c>
      <c r="H39">
        <f>TEXT(C39,"mmm-yyyy")</f>
        <v/>
      </c>
      <c r="I39">
        <f>TEXT(D39,"mmm-yyyy")</f>
        <v/>
      </c>
      <c r="J39">
        <f>_xlfn.XLOOKUP(tbl_subscription[[#This Row],[Customer_ID]],tbl_clint[Customer_ID],tbl_clint[Country])</f>
        <v/>
      </c>
      <c r="K39">
        <f>_xlfn.XLOOKUP(tbl_subscription[[#This Row],[Customer_ID]],tbl_clint[[#This Row],[Customer_ID]],tbl_clint[[#This Row],[Industry]])</f>
        <v/>
      </c>
      <c r="L39">
        <f>_xlfn.XLOOKUP(tbl_subscription[[#This Row],[Customer_ID]],tbl_clint[[#This Row],[Customer_ID]],tbl_clint[[#This Row],[Company_Size]])</f>
        <v/>
      </c>
      <c r="M39">
        <f>YEAR(tbl_subscription[[#This Row],[Start_Date]])</f>
        <v/>
      </c>
    </row>
    <row r="40">
      <c r="A40" t="inlineStr">
        <is>
          <t>C0039</t>
        </is>
      </c>
      <c r="B40" t="inlineStr">
        <is>
          <t>Premium</t>
        </is>
      </c>
      <c r="C40" s="4" t="n">
        <v>44157</v>
      </c>
      <c r="D40" s="4" t="n">
        <v>45657</v>
      </c>
      <c r="E40" t="n">
        <v>40</v>
      </c>
      <c r="F40" t="inlineStr">
        <is>
          <t>Active</t>
        </is>
      </c>
      <c r="G40" t="inlineStr">
        <is>
          <t>LinkedIn</t>
        </is>
      </c>
      <c r="H40">
        <f>TEXT(C40,"mmm-yyyy")</f>
        <v/>
      </c>
      <c r="I40">
        <f>TEXT(D40,"mmm-yyyy")</f>
        <v/>
      </c>
      <c r="J40">
        <f>_xlfn.XLOOKUP(tbl_subscription[[#This Row],[Customer_ID]],tbl_clint[Customer_ID],tbl_clint[Country])</f>
        <v/>
      </c>
      <c r="K40">
        <f>_xlfn.XLOOKUP(tbl_subscription[[#This Row],[Customer_ID]],tbl_clint[[#This Row],[Customer_ID]],tbl_clint[[#This Row],[Industry]])</f>
        <v/>
      </c>
      <c r="L40">
        <f>_xlfn.XLOOKUP(tbl_subscription[[#This Row],[Customer_ID]],tbl_clint[[#This Row],[Customer_ID]],tbl_clint[[#This Row],[Company_Size]])</f>
        <v/>
      </c>
      <c r="M40">
        <f>YEAR(tbl_subscription[[#This Row],[Start_Date]])</f>
        <v/>
      </c>
    </row>
    <row r="41">
      <c r="A41" t="inlineStr">
        <is>
          <t>C0040</t>
        </is>
      </c>
      <c r="B41" t="inlineStr">
        <is>
          <t>Premium</t>
        </is>
      </c>
      <c r="C41" s="4" t="n">
        <v>43985</v>
      </c>
      <c r="D41" s="4" t="n">
        <v>45657</v>
      </c>
      <c r="E41" t="n">
        <v>40</v>
      </c>
      <c r="F41" t="inlineStr">
        <is>
          <t>Active</t>
        </is>
      </c>
      <c r="G41" t="inlineStr">
        <is>
          <t>Instagram</t>
        </is>
      </c>
      <c r="H41">
        <f>TEXT(C41,"mmm-yyyy")</f>
        <v/>
      </c>
      <c r="I41">
        <f>TEXT(D41,"mmm-yyyy")</f>
        <v/>
      </c>
      <c r="J41">
        <f>_xlfn.XLOOKUP(tbl_subscription[[#This Row],[Customer_ID]],tbl_clint[Customer_ID],tbl_clint[Country])</f>
        <v/>
      </c>
      <c r="K41">
        <f>_xlfn.XLOOKUP(tbl_subscription[[#This Row],[Customer_ID]],tbl_clint[[#This Row],[Customer_ID]],tbl_clint[[#This Row],[Industry]])</f>
        <v/>
      </c>
      <c r="L41">
        <f>_xlfn.XLOOKUP(tbl_subscription[[#This Row],[Customer_ID]],tbl_clint[[#This Row],[Customer_ID]],tbl_clint[[#This Row],[Company_Size]])</f>
        <v/>
      </c>
      <c r="M41">
        <f>YEAR(tbl_subscription[[#This Row],[Start_Date]])</f>
        <v/>
      </c>
    </row>
    <row r="42">
      <c r="A42" t="inlineStr">
        <is>
          <t>C0041</t>
        </is>
      </c>
      <c r="B42" t="inlineStr">
        <is>
          <t>Basic</t>
        </is>
      </c>
      <c r="C42" s="4" t="n">
        <v>44725</v>
      </c>
      <c r="D42" s="4" t="n">
        <v>45370</v>
      </c>
      <c r="E42" t="n">
        <v>15</v>
      </c>
      <c r="F42" t="inlineStr">
        <is>
          <t>Churned</t>
        </is>
      </c>
      <c r="G42" t="inlineStr">
        <is>
          <t>LinkedIn</t>
        </is>
      </c>
      <c r="H42">
        <f>TEXT(C42,"mmm-yyyy")</f>
        <v/>
      </c>
      <c r="I42">
        <f>TEXT(D42,"mmm-yyyy")</f>
        <v/>
      </c>
      <c r="J42">
        <f>_xlfn.XLOOKUP(tbl_subscription[[#This Row],[Customer_ID]],tbl_clint[Customer_ID],tbl_clint[Country])</f>
        <v/>
      </c>
      <c r="K42">
        <f>_xlfn.XLOOKUP(tbl_subscription[[#This Row],[Customer_ID]],tbl_clint[[#This Row],[Customer_ID]],tbl_clint[[#This Row],[Industry]])</f>
        <v/>
      </c>
      <c r="L42">
        <f>_xlfn.XLOOKUP(tbl_subscription[[#This Row],[Customer_ID]],tbl_clint[[#This Row],[Customer_ID]],tbl_clint[[#This Row],[Company_Size]])</f>
        <v/>
      </c>
      <c r="M42">
        <f>YEAR(tbl_subscription[[#This Row],[Start_Date]])</f>
        <v/>
      </c>
    </row>
    <row r="43">
      <c r="A43" t="inlineStr">
        <is>
          <t>C0042</t>
        </is>
      </c>
      <c r="B43" t="inlineStr">
        <is>
          <t>Standard</t>
        </is>
      </c>
      <c r="C43" s="4" t="n">
        <v>45151</v>
      </c>
      <c r="D43" s="4" t="n">
        <v>45657</v>
      </c>
      <c r="E43" t="n">
        <v>25</v>
      </c>
      <c r="F43" t="inlineStr">
        <is>
          <t>Churned</t>
        </is>
      </c>
      <c r="G43" t="inlineStr">
        <is>
          <t>Referral</t>
        </is>
      </c>
      <c r="H43">
        <f>TEXT(C43,"mmm-yyyy")</f>
        <v/>
      </c>
      <c r="I43">
        <f>TEXT(D43,"mmm-yyyy")</f>
        <v/>
      </c>
      <c r="J43">
        <f>_xlfn.XLOOKUP(tbl_subscription[[#This Row],[Customer_ID]],tbl_clint[Customer_ID],tbl_clint[Country])</f>
        <v/>
      </c>
      <c r="K43">
        <f>_xlfn.XLOOKUP(tbl_subscription[[#This Row],[Customer_ID]],tbl_clint[[#This Row],[Customer_ID]],tbl_clint[[#This Row],[Industry]])</f>
        <v/>
      </c>
      <c r="L43">
        <f>_xlfn.XLOOKUP(tbl_subscription[[#This Row],[Customer_ID]],tbl_clint[[#This Row],[Customer_ID]],tbl_clint[[#This Row],[Company_Size]])</f>
        <v/>
      </c>
      <c r="M43">
        <f>YEAR(tbl_subscription[[#This Row],[Start_Date]])</f>
        <v/>
      </c>
    </row>
    <row r="44">
      <c r="A44" t="inlineStr">
        <is>
          <t>C0043</t>
        </is>
      </c>
      <c r="B44" t="inlineStr">
        <is>
          <t>Premium</t>
        </is>
      </c>
      <c r="C44" s="4" t="n">
        <v>44132</v>
      </c>
      <c r="D44" s="4" t="n">
        <v>44721</v>
      </c>
      <c r="E44" t="n">
        <v>40</v>
      </c>
      <c r="F44" t="inlineStr">
        <is>
          <t>Churned</t>
        </is>
      </c>
      <c r="G44" t="inlineStr">
        <is>
          <t>Instagram</t>
        </is>
      </c>
      <c r="H44">
        <f>TEXT(C44,"mmm-yyyy")</f>
        <v/>
      </c>
      <c r="I44">
        <f>TEXT(D44,"mmm-yyyy")</f>
        <v/>
      </c>
      <c r="J44">
        <f>_xlfn.XLOOKUP(tbl_subscription[[#This Row],[Customer_ID]],tbl_clint[Customer_ID],tbl_clint[Country])</f>
        <v/>
      </c>
      <c r="K44">
        <f>_xlfn.XLOOKUP(tbl_subscription[[#This Row],[Customer_ID]],tbl_clint[[#This Row],[Customer_ID]],tbl_clint[[#This Row],[Industry]])</f>
        <v/>
      </c>
      <c r="L44">
        <f>_xlfn.XLOOKUP(tbl_subscription[[#This Row],[Customer_ID]],tbl_clint[[#This Row],[Customer_ID]],tbl_clint[[#This Row],[Company_Size]])</f>
        <v/>
      </c>
      <c r="M44">
        <f>YEAR(tbl_subscription[[#This Row],[Start_Date]])</f>
        <v/>
      </c>
    </row>
    <row r="45">
      <c r="A45" t="inlineStr">
        <is>
          <t>C0044</t>
        </is>
      </c>
      <c r="B45" t="inlineStr">
        <is>
          <t>Premium</t>
        </is>
      </c>
      <c r="C45" s="4" t="n">
        <v>44122</v>
      </c>
      <c r="D45" s="4" t="n">
        <v>44713</v>
      </c>
      <c r="E45" t="n">
        <v>40</v>
      </c>
      <c r="F45" t="inlineStr">
        <is>
          <t>Churned</t>
        </is>
      </c>
      <c r="G45" t="inlineStr">
        <is>
          <t>Google</t>
        </is>
      </c>
      <c r="H45">
        <f>TEXT(C45,"mmm-yyyy")</f>
        <v/>
      </c>
      <c r="I45">
        <f>TEXT(D45,"mmm-yyyy")</f>
        <v/>
      </c>
      <c r="J45">
        <f>_xlfn.XLOOKUP(tbl_subscription[[#This Row],[Customer_ID]],tbl_clint[Customer_ID],tbl_clint[Country])</f>
        <v/>
      </c>
      <c r="K45">
        <f>_xlfn.XLOOKUP(tbl_subscription[[#This Row],[Customer_ID]],tbl_clint[[#This Row],[Customer_ID]],tbl_clint[[#This Row],[Industry]])</f>
        <v/>
      </c>
      <c r="L45">
        <f>_xlfn.XLOOKUP(tbl_subscription[[#This Row],[Customer_ID]],tbl_clint[[#This Row],[Customer_ID]],tbl_clint[[#This Row],[Company_Size]])</f>
        <v/>
      </c>
      <c r="M45">
        <f>YEAR(tbl_subscription[[#This Row],[Start_Date]])</f>
        <v/>
      </c>
    </row>
    <row r="46">
      <c r="A46" t="inlineStr">
        <is>
          <t>C0045</t>
        </is>
      </c>
      <c r="B46" t="inlineStr">
        <is>
          <t>Basic</t>
        </is>
      </c>
      <c r="C46" s="4" t="n">
        <v>44877</v>
      </c>
      <c r="D46" s="4" t="n">
        <v>45657</v>
      </c>
      <c r="E46" t="n">
        <v>15</v>
      </c>
      <c r="F46" t="inlineStr">
        <is>
          <t>Active</t>
        </is>
      </c>
      <c r="G46" t="inlineStr">
        <is>
          <t>Referral</t>
        </is>
      </c>
      <c r="H46">
        <f>TEXT(C46,"mmm-yyyy")</f>
        <v/>
      </c>
      <c r="I46">
        <f>TEXT(D46,"mmm-yyyy")</f>
        <v/>
      </c>
      <c r="J46">
        <f>_xlfn.XLOOKUP(tbl_subscription[[#This Row],[Customer_ID]],tbl_clint[Customer_ID],tbl_clint[Country])</f>
        <v/>
      </c>
      <c r="K46">
        <f>_xlfn.XLOOKUP(tbl_subscription[[#This Row],[Customer_ID]],tbl_clint[[#This Row],[Customer_ID]],tbl_clint[[#This Row],[Industry]])</f>
        <v/>
      </c>
      <c r="L46">
        <f>_xlfn.XLOOKUP(tbl_subscription[[#This Row],[Customer_ID]],tbl_clint[[#This Row],[Customer_ID]],tbl_clint[[#This Row],[Company_Size]])</f>
        <v/>
      </c>
      <c r="M46">
        <f>YEAR(tbl_subscription[[#This Row],[Start_Date]])</f>
        <v/>
      </c>
    </row>
    <row r="47">
      <c r="A47" t="inlineStr">
        <is>
          <t>C0046</t>
        </is>
      </c>
      <c r="B47" t="inlineStr">
        <is>
          <t>Standard</t>
        </is>
      </c>
      <c r="C47" s="4" t="n">
        <v>44086</v>
      </c>
      <c r="D47" s="4" t="n">
        <v>44501</v>
      </c>
      <c r="E47" t="n">
        <v>25</v>
      </c>
      <c r="F47" t="inlineStr">
        <is>
          <t>Churned</t>
        </is>
      </c>
      <c r="G47" t="inlineStr">
        <is>
          <t>LinkedIn</t>
        </is>
      </c>
      <c r="H47">
        <f>TEXT(C47,"mmm-yyyy")</f>
        <v/>
      </c>
      <c r="I47">
        <f>TEXT(D47,"mmm-yyyy")</f>
        <v/>
      </c>
      <c r="J47">
        <f>_xlfn.XLOOKUP(tbl_subscription[[#This Row],[Customer_ID]],tbl_clint[Customer_ID],tbl_clint[Country])</f>
        <v/>
      </c>
      <c r="K47">
        <f>_xlfn.XLOOKUP(tbl_subscription[[#This Row],[Customer_ID]],tbl_clint[[#This Row],[Customer_ID]],tbl_clint[[#This Row],[Industry]])</f>
        <v/>
      </c>
      <c r="L47">
        <f>_xlfn.XLOOKUP(tbl_subscription[[#This Row],[Customer_ID]],tbl_clint[[#This Row],[Customer_ID]],tbl_clint[[#This Row],[Company_Size]])</f>
        <v/>
      </c>
      <c r="M47">
        <f>YEAR(tbl_subscription[[#This Row],[Start_Date]])</f>
        <v/>
      </c>
    </row>
    <row r="48">
      <c r="A48" t="inlineStr">
        <is>
          <t>C0047</t>
        </is>
      </c>
      <c r="B48" t="inlineStr">
        <is>
          <t>Standard</t>
        </is>
      </c>
      <c r="C48" s="4" t="n">
        <v>45344</v>
      </c>
      <c r="D48" s="4" t="n">
        <v>45657</v>
      </c>
      <c r="E48" t="n">
        <v>25</v>
      </c>
      <c r="F48" t="inlineStr">
        <is>
          <t>Active</t>
        </is>
      </c>
      <c r="G48" t="inlineStr">
        <is>
          <t>LinkedIn</t>
        </is>
      </c>
      <c r="H48">
        <f>TEXT(C48,"mmm-yyyy")</f>
        <v/>
      </c>
      <c r="I48">
        <f>TEXT(D48,"mmm-yyyy")</f>
        <v/>
      </c>
      <c r="J48">
        <f>_xlfn.XLOOKUP(tbl_subscription[[#This Row],[Customer_ID]],tbl_clint[Customer_ID],tbl_clint[Country])</f>
        <v/>
      </c>
      <c r="K48">
        <f>_xlfn.XLOOKUP(tbl_subscription[[#This Row],[Customer_ID]],tbl_clint[[#This Row],[Customer_ID]],tbl_clint[[#This Row],[Industry]])</f>
        <v/>
      </c>
      <c r="L48">
        <f>_xlfn.XLOOKUP(tbl_subscription[[#This Row],[Customer_ID]],tbl_clint[[#This Row],[Customer_ID]],tbl_clint[[#This Row],[Company_Size]])</f>
        <v/>
      </c>
      <c r="M48">
        <f>YEAR(tbl_subscription[[#This Row],[Start_Date]])</f>
        <v/>
      </c>
    </row>
    <row r="49">
      <c r="A49" t="inlineStr">
        <is>
          <t>C0048</t>
        </is>
      </c>
      <c r="B49" t="inlineStr">
        <is>
          <t>Premium</t>
        </is>
      </c>
      <c r="C49" s="4" t="n">
        <v>44867</v>
      </c>
      <c r="D49" s="4" t="n">
        <v>45657</v>
      </c>
      <c r="E49" t="n">
        <v>40</v>
      </c>
      <c r="F49" t="inlineStr">
        <is>
          <t>Active</t>
        </is>
      </c>
      <c r="G49" t="inlineStr">
        <is>
          <t>Facebook</t>
        </is>
      </c>
      <c r="H49">
        <f>TEXT(C49,"mmm-yyyy")</f>
        <v/>
      </c>
      <c r="I49">
        <f>TEXT(D49,"mmm-yyyy")</f>
        <v/>
      </c>
      <c r="J49">
        <f>_xlfn.XLOOKUP(tbl_subscription[[#This Row],[Customer_ID]],tbl_clint[Customer_ID],tbl_clint[Country])</f>
        <v/>
      </c>
      <c r="K49">
        <f>_xlfn.XLOOKUP(tbl_subscription[[#This Row],[Customer_ID]],tbl_clint[[#This Row],[Customer_ID]],tbl_clint[[#This Row],[Industry]])</f>
        <v/>
      </c>
      <c r="L49">
        <f>_xlfn.XLOOKUP(tbl_subscription[[#This Row],[Customer_ID]],tbl_clint[[#This Row],[Customer_ID]],tbl_clint[[#This Row],[Company_Size]])</f>
        <v/>
      </c>
      <c r="M49">
        <f>YEAR(tbl_subscription[[#This Row],[Start_Date]])</f>
        <v/>
      </c>
    </row>
    <row r="50">
      <c r="A50" t="inlineStr">
        <is>
          <t>C0049</t>
        </is>
      </c>
      <c r="B50" t="inlineStr">
        <is>
          <t>Basic</t>
        </is>
      </c>
      <c r="C50" s="4" t="n">
        <v>44722</v>
      </c>
      <c r="D50" s="4" t="n">
        <v>45657</v>
      </c>
      <c r="E50" t="n">
        <v>15</v>
      </c>
      <c r="F50" t="inlineStr">
        <is>
          <t>Active</t>
        </is>
      </c>
      <c r="G50" t="inlineStr">
        <is>
          <t>Instagram</t>
        </is>
      </c>
      <c r="H50">
        <f>TEXT(C50,"mmm-yyyy")</f>
        <v/>
      </c>
      <c r="I50">
        <f>TEXT(D50,"mmm-yyyy")</f>
        <v/>
      </c>
      <c r="J50">
        <f>_xlfn.XLOOKUP(tbl_subscription[[#This Row],[Customer_ID]],tbl_clint[Customer_ID],tbl_clint[Country])</f>
        <v/>
      </c>
      <c r="K50">
        <f>_xlfn.XLOOKUP(tbl_subscription[[#This Row],[Customer_ID]],tbl_clint[[#This Row],[Customer_ID]],tbl_clint[[#This Row],[Industry]])</f>
        <v/>
      </c>
      <c r="L50">
        <f>_xlfn.XLOOKUP(tbl_subscription[[#This Row],[Customer_ID]],tbl_clint[[#This Row],[Customer_ID]],tbl_clint[[#This Row],[Company_Size]])</f>
        <v/>
      </c>
      <c r="M50">
        <f>YEAR(tbl_subscription[[#This Row],[Start_Date]])</f>
        <v/>
      </c>
    </row>
    <row r="51">
      <c r="A51" t="inlineStr">
        <is>
          <t>C0050</t>
        </is>
      </c>
      <c r="B51" t="inlineStr">
        <is>
          <t>Standard</t>
        </is>
      </c>
      <c r="C51" s="4" t="n">
        <v>44507</v>
      </c>
      <c r="D51" s="4" t="n">
        <v>45657</v>
      </c>
      <c r="E51" t="n">
        <v>25</v>
      </c>
      <c r="F51" t="inlineStr">
        <is>
          <t>Active</t>
        </is>
      </c>
      <c r="G51" t="inlineStr">
        <is>
          <t>Google</t>
        </is>
      </c>
      <c r="H51">
        <f>TEXT(C51,"mmm-yyyy")</f>
        <v/>
      </c>
      <c r="I51">
        <f>TEXT(D51,"mmm-yyyy")</f>
        <v/>
      </c>
      <c r="J51">
        <f>_xlfn.XLOOKUP(tbl_subscription[[#This Row],[Customer_ID]],tbl_clint[Customer_ID],tbl_clint[Country])</f>
        <v/>
      </c>
      <c r="K51">
        <f>_xlfn.XLOOKUP(tbl_subscription[[#This Row],[Customer_ID]],tbl_clint[[#This Row],[Customer_ID]],tbl_clint[[#This Row],[Industry]])</f>
        <v/>
      </c>
      <c r="L51">
        <f>_xlfn.XLOOKUP(tbl_subscription[[#This Row],[Customer_ID]],tbl_clint[[#This Row],[Customer_ID]],tbl_clint[[#This Row],[Company_Size]])</f>
        <v/>
      </c>
      <c r="M51">
        <f>YEAR(tbl_subscription[[#This Row],[Start_Date]])</f>
        <v/>
      </c>
    </row>
    <row r="52">
      <c r="A52" t="inlineStr">
        <is>
          <t>C0051</t>
        </is>
      </c>
      <c r="B52" t="inlineStr">
        <is>
          <t>Basic</t>
        </is>
      </c>
      <c r="C52" s="4" t="n">
        <v>45257</v>
      </c>
      <c r="D52" s="4" t="n">
        <v>45657</v>
      </c>
      <c r="E52" t="n">
        <v>15</v>
      </c>
      <c r="F52" t="inlineStr">
        <is>
          <t>Active</t>
        </is>
      </c>
      <c r="G52" t="inlineStr">
        <is>
          <t>Facebook</t>
        </is>
      </c>
      <c r="H52">
        <f>TEXT(C52,"mmm-yyyy")</f>
        <v/>
      </c>
      <c r="I52">
        <f>TEXT(D52,"mmm-yyyy")</f>
        <v/>
      </c>
      <c r="J52">
        <f>_xlfn.XLOOKUP(tbl_subscription[[#This Row],[Customer_ID]],tbl_clint[Customer_ID],tbl_clint[Country])</f>
        <v/>
      </c>
      <c r="K52">
        <f>_xlfn.XLOOKUP(tbl_subscription[[#This Row],[Customer_ID]],tbl_clint[[#This Row],[Customer_ID]],tbl_clint[[#This Row],[Industry]])</f>
        <v/>
      </c>
      <c r="L52">
        <f>_xlfn.XLOOKUP(tbl_subscription[[#This Row],[Customer_ID]],tbl_clint[[#This Row],[Customer_ID]],tbl_clint[[#This Row],[Company_Size]])</f>
        <v/>
      </c>
      <c r="M52">
        <f>YEAR(tbl_subscription[[#This Row],[Start_Date]])</f>
        <v/>
      </c>
    </row>
    <row r="53">
      <c r="A53" t="inlineStr">
        <is>
          <t>C0052</t>
        </is>
      </c>
      <c r="B53" t="inlineStr">
        <is>
          <t>Basic</t>
        </is>
      </c>
      <c r="C53" s="4" t="n">
        <v>44104</v>
      </c>
      <c r="D53" s="4" t="n">
        <v>44781</v>
      </c>
      <c r="E53" t="n">
        <v>15</v>
      </c>
      <c r="F53" t="inlineStr">
        <is>
          <t>Churned</t>
        </is>
      </c>
      <c r="G53" t="inlineStr">
        <is>
          <t>Facebook</t>
        </is>
      </c>
      <c r="H53">
        <f>TEXT(C53,"mmm-yyyy")</f>
        <v/>
      </c>
      <c r="I53">
        <f>TEXT(D53,"mmm-yyyy")</f>
        <v/>
      </c>
      <c r="J53">
        <f>_xlfn.XLOOKUP(tbl_subscription[[#This Row],[Customer_ID]],tbl_clint[Customer_ID],tbl_clint[Country])</f>
        <v/>
      </c>
      <c r="K53">
        <f>_xlfn.XLOOKUP(tbl_subscription[[#This Row],[Customer_ID]],tbl_clint[[#This Row],[Customer_ID]],tbl_clint[[#This Row],[Industry]])</f>
        <v/>
      </c>
      <c r="L53">
        <f>_xlfn.XLOOKUP(tbl_subscription[[#This Row],[Customer_ID]],tbl_clint[[#This Row],[Customer_ID]],tbl_clint[[#This Row],[Company_Size]])</f>
        <v/>
      </c>
      <c r="M53">
        <f>YEAR(tbl_subscription[[#This Row],[Start_Date]])</f>
        <v/>
      </c>
    </row>
    <row r="54">
      <c r="A54" t="inlineStr">
        <is>
          <t>C0053</t>
        </is>
      </c>
      <c r="B54" t="inlineStr">
        <is>
          <t>Premium</t>
        </is>
      </c>
      <c r="C54" s="4" t="n">
        <v>44773</v>
      </c>
      <c r="D54" s="4" t="n">
        <v>45290</v>
      </c>
      <c r="E54" t="n">
        <v>40</v>
      </c>
      <c r="F54" t="inlineStr">
        <is>
          <t>Churned</t>
        </is>
      </c>
      <c r="G54" t="inlineStr">
        <is>
          <t>Facebook</t>
        </is>
      </c>
      <c r="H54">
        <f>TEXT(C54,"mmm-yyyy")</f>
        <v/>
      </c>
      <c r="I54">
        <f>TEXT(D54,"mmm-yyyy")</f>
        <v/>
      </c>
      <c r="J54">
        <f>_xlfn.XLOOKUP(tbl_subscription[[#This Row],[Customer_ID]],tbl_clint[Customer_ID],tbl_clint[Country])</f>
        <v/>
      </c>
      <c r="K54">
        <f>_xlfn.XLOOKUP(tbl_subscription[[#This Row],[Customer_ID]],tbl_clint[[#This Row],[Customer_ID]],tbl_clint[[#This Row],[Industry]])</f>
        <v/>
      </c>
      <c r="L54">
        <f>_xlfn.XLOOKUP(tbl_subscription[[#This Row],[Customer_ID]],tbl_clint[[#This Row],[Customer_ID]],tbl_clint[[#This Row],[Company_Size]])</f>
        <v/>
      </c>
      <c r="M54">
        <f>YEAR(tbl_subscription[[#This Row],[Start_Date]])</f>
        <v/>
      </c>
    </row>
    <row r="55">
      <c r="A55" t="inlineStr">
        <is>
          <t>C0054</t>
        </is>
      </c>
      <c r="B55" t="inlineStr">
        <is>
          <t>Premium</t>
        </is>
      </c>
      <c r="C55" s="4" t="n">
        <v>44559</v>
      </c>
      <c r="D55" s="4" t="n">
        <v>45657</v>
      </c>
      <c r="E55" t="n">
        <v>40</v>
      </c>
      <c r="F55" t="inlineStr">
        <is>
          <t>Active</t>
        </is>
      </c>
      <c r="G55" t="inlineStr">
        <is>
          <t>Facebook</t>
        </is>
      </c>
      <c r="H55">
        <f>TEXT(C55,"mmm-yyyy")</f>
        <v/>
      </c>
      <c r="I55">
        <f>TEXT(D55,"mmm-yyyy")</f>
        <v/>
      </c>
      <c r="J55">
        <f>_xlfn.XLOOKUP(tbl_subscription[[#This Row],[Customer_ID]],tbl_clint[Customer_ID],tbl_clint[Country])</f>
        <v/>
      </c>
      <c r="K55">
        <f>_xlfn.XLOOKUP(tbl_subscription[[#This Row],[Customer_ID]],tbl_clint[[#This Row],[Customer_ID]],tbl_clint[[#This Row],[Industry]])</f>
        <v/>
      </c>
      <c r="L55">
        <f>_xlfn.XLOOKUP(tbl_subscription[[#This Row],[Customer_ID]],tbl_clint[[#This Row],[Customer_ID]],tbl_clint[[#This Row],[Company_Size]])</f>
        <v/>
      </c>
      <c r="M55">
        <f>YEAR(tbl_subscription[[#This Row],[Start_Date]])</f>
        <v/>
      </c>
    </row>
    <row r="56">
      <c r="A56" t="inlineStr">
        <is>
          <t>C0055</t>
        </is>
      </c>
      <c r="B56" t="inlineStr">
        <is>
          <t>Basic</t>
        </is>
      </c>
      <c r="C56" s="4" t="n">
        <v>45394</v>
      </c>
      <c r="D56" s="4" t="n">
        <v>45657</v>
      </c>
      <c r="E56" t="n">
        <v>15</v>
      </c>
      <c r="F56" t="inlineStr">
        <is>
          <t>Active</t>
        </is>
      </c>
      <c r="G56" t="inlineStr">
        <is>
          <t>Referral</t>
        </is>
      </c>
      <c r="H56">
        <f>TEXT(C56,"mmm-yyyy")</f>
        <v/>
      </c>
      <c r="I56">
        <f>TEXT(D56,"mmm-yyyy")</f>
        <v/>
      </c>
      <c r="J56">
        <f>_xlfn.XLOOKUP(tbl_subscription[[#This Row],[Customer_ID]],tbl_clint[Customer_ID],tbl_clint[Country])</f>
        <v/>
      </c>
      <c r="K56">
        <f>_xlfn.XLOOKUP(tbl_subscription[[#This Row],[Customer_ID]],tbl_clint[[#This Row],[Customer_ID]],tbl_clint[[#This Row],[Industry]])</f>
        <v/>
      </c>
      <c r="L56">
        <f>_xlfn.XLOOKUP(tbl_subscription[[#This Row],[Customer_ID]],tbl_clint[[#This Row],[Customer_ID]],tbl_clint[[#This Row],[Company_Size]])</f>
        <v/>
      </c>
      <c r="M56">
        <f>YEAR(tbl_subscription[[#This Row],[Start_Date]])</f>
        <v/>
      </c>
    </row>
    <row r="57">
      <c r="A57" t="inlineStr">
        <is>
          <t>C0056</t>
        </is>
      </c>
      <c r="B57" t="inlineStr">
        <is>
          <t>Standard</t>
        </is>
      </c>
      <c r="C57" s="4" t="n">
        <v>44912</v>
      </c>
      <c r="D57" s="4" t="n">
        <v>45657</v>
      </c>
      <c r="E57" t="n">
        <v>25</v>
      </c>
      <c r="F57" t="inlineStr">
        <is>
          <t>Active</t>
        </is>
      </c>
      <c r="G57" t="inlineStr">
        <is>
          <t>Facebook</t>
        </is>
      </c>
      <c r="H57">
        <f>TEXT(C57,"mmm-yyyy")</f>
        <v/>
      </c>
      <c r="I57">
        <f>TEXT(D57,"mmm-yyyy")</f>
        <v/>
      </c>
      <c r="J57">
        <f>_xlfn.XLOOKUP(tbl_subscription[[#This Row],[Customer_ID]],tbl_clint[Customer_ID],tbl_clint[Country])</f>
        <v/>
      </c>
      <c r="K57">
        <f>_xlfn.XLOOKUP(tbl_subscription[[#This Row],[Customer_ID]],tbl_clint[[#This Row],[Customer_ID]],tbl_clint[[#This Row],[Industry]])</f>
        <v/>
      </c>
      <c r="L57">
        <f>_xlfn.XLOOKUP(tbl_subscription[[#This Row],[Customer_ID]],tbl_clint[[#This Row],[Customer_ID]],tbl_clint[[#This Row],[Company_Size]])</f>
        <v/>
      </c>
      <c r="M57">
        <f>YEAR(tbl_subscription[[#This Row],[Start_Date]])</f>
        <v/>
      </c>
    </row>
    <row r="58">
      <c r="A58" t="inlineStr">
        <is>
          <t>C0057</t>
        </is>
      </c>
      <c r="B58" t="inlineStr">
        <is>
          <t>Standard</t>
        </is>
      </c>
      <c r="C58" s="4" t="n">
        <v>45441</v>
      </c>
      <c r="D58" s="4" t="n">
        <v>45657</v>
      </c>
      <c r="E58" t="n">
        <v>25</v>
      </c>
      <c r="F58" t="inlineStr">
        <is>
          <t>Churned</t>
        </is>
      </c>
      <c r="G58" t="inlineStr">
        <is>
          <t>Google</t>
        </is>
      </c>
      <c r="H58">
        <f>TEXT(C58,"mmm-yyyy")</f>
        <v/>
      </c>
      <c r="I58">
        <f>TEXT(D58,"mmm-yyyy")</f>
        <v/>
      </c>
      <c r="J58">
        <f>_xlfn.XLOOKUP(tbl_subscription[[#This Row],[Customer_ID]],tbl_clint[Customer_ID],tbl_clint[Country])</f>
        <v/>
      </c>
      <c r="K58">
        <f>_xlfn.XLOOKUP(tbl_subscription[[#This Row],[Customer_ID]],tbl_clint[[#This Row],[Customer_ID]],tbl_clint[[#This Row],[Industry]])</f>
        <v/>
      </c>
      <c r="L58">
        <f>_xlfn.XLOOKUP(tbl_subscription[[#This Row],[Customer_ID]],tbl_clint[[#This Row],[Customer_ID]],tbl_clint[[#This Row],[Company_Size]])</f>
        <v/>
      </c>
      <c r="M58">
        <f>YEAR(tbl_subscription[[#This Row],[Start_Date]])</f>
        <v/>
      </c>
    </row>
    <row r="59">
      <c r="A59" t="inlineStr">
        <is>
          <t>C0058</t>
        </is>
      </c>
      <c r="B59" t="inlineStr">
        <is>
          <t>Basic</t>
        </is>
      </c>
      <c r="C59" s="4" t="n">
        <v>44927</v>
      </c>
      <c r="D59" s="4" t="n">
        <v>45657</v>
      </c>
      <c r="E59" t="n">
        <v>15</v>
      </c>
      <c r="F59" t="inlineStr">
        <is>
          <t>Churned</t>
        </is>
      </c>
      <c r="G59" t="inlineStr">
        <is>
          <t>Referral</t>
        </is>
      </c>
      <c r="H59">
        <f>TEXT(C59,"mmm-yyyy")</f>
        <v/>
      </c>
      <c r="I59">
        <f>TEXT(D59,"mmm-yyyy")</f>
        <v/>
      </c>
      <c r="J59">
        <f>_xlfn.XLOOKUP(tbl_subscription[[#This Row],[Customer_ID]],tbl_clint[Customer_ID],tbl_clint[Country])</f>
        <v/>
      </c>
      <c r="K59">
        <f>_xlfn.XLOOKUP(tbl_subscription[[#This Row],[Customer_ID]],tbl_clint[[#This Row],[Customer_ID]],tbl_clint[[#This Row],[Industry]])</f>
        <v/>
      </c>
      <c r="L59">
        <f>_xlfn.XLOOKUP(tbl_subscription[[#This Row],[Customer_ID]],tbl_clint[[#This Row],[Customer_ID]],tbl_clint[[#This Row],[Company_Size]])</f>
        <v/>
      </c>
      <c r="M59">
        <f>YEAR(tbl_subscription[[#This Row],[Start_Date]])</f>
        <v/>
      </c>
    </row>
    <row r="60">
      <c r="A60" t="inlineStr">
        <is>
          <t>C0059</t>
        </is>
      </c>
      <c r="B60" t="inlineStr">
        <is>
          <t>Premium</t>
        </is>
      </c>
      <c r="C60" s="4" t="n">
        <v>44741</v>
      </c>
      <c r="D60" s="4" t="n">
        <v>45338</v>
      </c>
      <c r="E60" t="n">
        <v>40</v>
      </c>
      <c r="F60" t="inlineStr">
        <is>
          <t>Churned</t>
        </is>
      </c>
      <c r="G60" t="inlineStr">
        <is>
          <t>LinkedIn</t>
        </is>
      </c>
      <c r="H60">
        <f>TEXT(C60,"mmm-yyyy")</f>
        <v/>
      </c>
      <c r="I60">
        <f>TEXT(D60,"mmm-yyyy")</f>
        <v/>
      </c>
      <c r="J60">
        <f>_xlfn.XLOOKUP(tbl_subscription[[#This Row],[Customer_ID]],tbl_clint[Customer_ID],tbl_clint[Country])</f>
        <v/>
      </c>
      <c r="K60">
        <f>_xlfn.XLOOKUP(tbl_subscription[[#This Row],[Customer_ID]],tbl_clint[[#This Row],[Customer_ID]],tbl_clint[[#This Row],[Industry]])</f>
        <v/>
      </c>
      <c r="L60">
        <f>_xlfn.XLOOKUP(tbl_subscription[[#This Row],[Customer_ID]],tbl_clint[[#This Row],[Customer_ID]],tbl_clint[[#This Row],[Company_Size]])</f>
        <v/>
      </c>
      <c r="M60">
        <f>YEAR(tbl_subscription[[#This Row],[Start_Date]])</f>
        <v/>
      </c>
    </row>
    <row r="61">
      <c r="A61" t="inlineStr">
        <is>
          <t>C0060</t>
        </is>
      </c>
      <c r="B61" t="inlineStr">
        <is>
          <t>Basic</t>
        </is>
      </c>
      <c r="C61" s="4" t="n">
        <v>44675</v>
      </c>
      <c r="D61" s="4" t="n">
        <v>45357</v>
      </c>
      <c r="E61" t="n">
        <v>15</v>
      </c>
      <c r="F61" t="inlineStr">
        <is>
          <t>Churned</t>
        </is>
      </c>
      <c r="G61" t="inlineStr">
        <is>
          <t>LinkedIn</t>
        </is>
      </c>
      <c r="H61">
        <f>TEXT(C61,"mmm-yyyy")</f>
        <v/>
      </c>
      <c r="I61">
        <f>TEXT(D61,"mmm-yyyy")</f>
        <v/>
      </c>
      <c r="J61">
        <f>_xlfn.XLOOKUP(tbl_subscription[[#This Row],[Customer_ID]],tbl_clint[Customer_ID],tbl_clint[Country])</f>
        <v/>
      </c>
      <c r="K61">
        <f>_xlfn.XLOOKUP(tbl_subscription[[#This Row],[Customer_ID]],tbl_clint[[#This Row],[Customer_ID]],tbl_clint[[#This Row],[Industry]])</f>
        <v/>
      </c>
      <c r="L61">
        <f>_xlfn.XLOOKUP(tbl_subscription[[#This Row],[Customer_ID]],tbl_clint[[#This Row],[Customer_ID]],tbl_clint[[#This Row],[Company_Size]])</f>
        <v/>
      </c>
      <c r="M61">
        <f>YEAR(tbl_subscription[[#This Row],[Start_Date]])</f>
        <v/>
      </c>
    </row>
    <row r="62">
      <c r="A62" t="inlineStr">
        <is>
          <t>C0061</t>
        </is>
      </c>
      <c r="B62" t="inlineStr">
        <is>
          <t>Premium</t>
        </is>
      </c>
      <c r="C62" s="4" t="n">
        <v>45377</v>
      </c>
      <c r="D62" s="4" t="n">
        <v>45657</v>
      </c>
      <c r="E62" t="n">
        <v>40</v>
      </c>
      <c r="F62" t="inlineStr">
        <is>
          <t>Active</t>
        </is>
      </c>
      <c r="G62" t="inlineStr">
        <is>
          <t>Instagram</t>
        </is>
      </c>
      <c r="H62">
        <f>TEXT(C62,"mmm-yyyy")</f>
        <v/>
      </c>
      <c r="I62">
        <f>TEXT(D62,"mmm-yyyy")</f>
        <v/>
      </c>
      <c r="J62">
        <f>_xlfn.XLOOKUP(tbl_subscription[[#This Row],[Customer_ID]],tbl_clint[Customer_ID],tbl_clint[Country])</f>
        <v/>
      </c>
      <c r="K62">
        <f>_xlfn.XLOOKUP(tbl_subscription[[#This Row],[Customer_ID]],tbl_clint[[#This Row],[Customer_ID]],tbl_clint[[#This Row],[Industry]])</f>
        <v/>
      </c>
      <c r="L62">
        <f>_xlfn.XLOOKUP(tbl_subscription[[#This Row],[Customer_ID]],tbl_clint[[#This Row],[Customer_ID]],tbl_clint[[#This Row],[Company_Size]])</f>
        <v/>
      </c>
      <c r="M62">
        <f>YEAR(tbl_subscription[[#This Row],[Start_Date]])</f>
        <v/>
      </c>
    </row>
    <row r="63">
      <c r="A63" t="inlineStr">
        <is>
          <t>C0062</t>
        </is>
      </c>
      <c r="B63" t="inlineStr">
        <is>
          <t>Standard</t>
        </is>
      </c>
      <c r="C63" s="4" t="n">
        <v>44279</v>
      </c>
      <c r="D63" s="4" t="n">
        <v>45657</v>
      </c>
      <c r="E63" t="n">
        <v>25</v>
      </c>
      <c r="F63" t="inlineStr">
        <is>
          <t>Active</t>
        </is>
      </c>
      <c r="G63" t="inlineStr">
        <is>
          <t>Facebook</t>
        </is>
      </c>
      <c r="H63">
        <f>TEXT(C63,"mmm-yyyy")</f>
        <v/>
      </c>
      <c r="I63">
        <f>TEXT(D63,"mmm-yyyy")</f>
        <v/>
      </c>
      <c r="J63">
        <f>_xlfn.XLOOKUP(tbl_subscription[[#This Row],[Customer_ID]],tbl_clint[Customer_ID],tbl_clint[Country])</f>
        <v/>
      </c>
      <c r="K63">
        <f>_xlfn.XLOOKUP(tbl_subscription[[#This Row],[Customer_ID]],tbl_clint[[#This Row],[Customer_ID]],tbl_clint[[#This Row],[Industry]])</f>
        <v/>
      </c>
      <c r="L63">
        <f>_xlfn.XLOOKUP(tbl_subscription[[#This Row],[Customer_ID]],tbl_clint[[#This Row],[Customer_ID]],tbl_clint[[#This Row],[Company_Size]])</f>
        <v/>
      </c>
      <c r="M63">
        <f>YEAR(tbl_subscription[[#This Row],[Start_Date]])</f>
        <v/>
      </c>
    </row>
    <row r="64">
      <c r="A64" t="inlineStr">
        <is>
          <t>C0063</t>
        </is>
      </c>
      <c r="B64" t="inlineStr">
        <is>
          <t>Basic</t>
        </is>
      </c>
      <c r="C64" s="4" t="n">
        <v>45280</v>
      </c>
      <c r="D64" s="4" t="n">
        <v>45657</v>
      </c>
      <c r="E64" t="n">
        <v>15</v>
      </c>
      <c r="F64" t="inlineStr">
        <is>
          <t>Churned</t>
        </is>
      </c>
      <c r="G64" t="inlineStr">
        <is>
          <t>Referral</t>
        </is>
      </c>
      <c r="H64">
        <f>TEXT(C64,"mmm-yyyy")</f>
        <v/>
      </c>
      <c r="I64">
        <f>TEXT(D64,"mmm-yyyy")</f>
        <v/>
      </c>
      <c r="J64">
        <f>_xlfn.XLOOKUP(tbl_subscription[[#This Row],[Customer_ID]],tbl_clint[Customer_ID],tbl_clint[Country])</f>
        <v/>
      </c>
      <c r="K64">
        <f>_xlfn.XLOOKUP(tbl_subscription[[#This Row],[Customer_ID]],tbl_clint[[#This Row],[Customer_ID]],tbl_clint[[#This Row],[Industry]])</f>
        <v/>
      </c>
      <c r="L64">
        <f>_xlfn.XLOOKUP(tbl_subscription[[#This Row],[Customer_ID]],tbl_clint[[#This Row],[Customer_ID]],tbl_clint[[#This Row],[Company_Size]])</f>
        <v/>
      </c>
      <c r="M64">
        <f>YEAR(tbl_subscription[[#This Row],[Start_Date]])</f>
        <v/>
      </c>
    </row>
    <row r="65">
      <c r="A65" t="inlineStr">
        <is>
          <t>C0064</t>
        </is>
      </c>
      <c r="B65" t="inlineStr">
        <is>
          <t>Standard</t>
        </is>
      </c>
      <c r="C65" s="4" t="n">
        <v>44451</v>
      </c>
      <c r="D65" s="4" t="n">
        <v>45657</v>
      </c>
      <c r="E65" t="n">
        <v>25</v>
      </c>
      <c r="F65" t="inlineStr">
        <is>
          <t>Active</t>
        </is>
      </c>
      <c r="G65" t="inlineStr">
        <is>
          <t>Google</t>
        </is>
      </c>
      <c r="H65">
        <f>TEXT(C65,"mmm-yyyy")</f>
        <v/>
      </c>
      <c r="I65">
        <f>TEXT(D65,"mmm-yyyy")</f>
        <v/>
      </c>
      <c r="J65">
        <f>_xlfn.XLOOKUP(tbl_subscription[[#This Row],[Customer_ID]],tbl_clint[Customer_ID],tbl_clint[Country])</f>
        <v/>
      </c>
      <c r="K65">
        <f>_xlfn.XLOOKUP(tbl_subscription[[#This Row],[Customer_ID]],tbl_clint[[#This Row],[Customer_ID]],tbl_clint[[#This Row],[Industry]])</f>
        <v/>
      </c>
      <c r="L65">
        <f>_xlfn.XLOOKUP(tbl_subscription[[#This Row],[Customer_ID]],tbl_clint[[#This Row],[Customer_ID]],tbl_clint[[#This Row],[Company_Size]])</f>
        <v/>
      </c>
      <c r="M65">
        <f>YEAR(tbl_subscription[[#This Row],[Start_Date]])</f>
        <v/>
      </c>
    </row>
    <row r="66">
      <c r="A66" t="inlineStr">
        <is>
          <t>C0065</t>
        </is>
      </c>
      <c r="B66" t="inlineStr">
        <is>
          <t>Standard</t>
        </is>
      </c>
      <c r="C66" s="4" t="n">
        <v>45383</v>
      </c>
      <c r="D66" s="4" t="n">
        <v>45657</v>
      </c>
      <c r="E66" t="n">
        <v>25</v>
      </c>
      <c r="F66" t="inlineStr">
        <is>
          <t>Active</t>
        </is>
      </c>
      <c r="G66" t="inlineStr">
        <is>
          <t>Google</t>
        </is>
      </c>
      <c r="H66">
        <f>TEXT(C66,"mmm-yyyy")</f>
        <v/>
      </c>
      <c r="I66">
        <f>TEXT(D66,"mmm-yyyy")</f>
        <v/>
      </c>
      <c r="J66">
        <f>_xlfn.XLOOKUP(tbl_subscription[[#This Row],[Customer_ID]],tbl_clint[Customer_ID],tbl_clint[Country])</f>
        <v/>
      </c>
      <c r="K66">
        <f>_xlfn.XLOOKUP(tbl_subscription[[#This Row],[Customer_ID]],tbl_clint[[#This Row],[Customer_ID]],tbl_clint[[#This Row],[Industry]])</f>
        <v/>
      </c>
      <c r="L66">
        <f>_xlfn.XLOOKUP(tbl_subscription[[#This Row],[Customer_ID]],tbl_clint[[#This Row],[Customer_ID]],tbl_clint[[#This Row],[Company_Size]])</f>
        <v/>
      </c>
      <c r="M66">
        <f>YEAR(tbl_subscription[[#This Row],[Start_Date]])</f>
        <v/>
      </c>
    </row>
    <row r="67">
      <c r="A67" t="inlineStr">
        <is>
          <t>C0066</t>
        </is>
      </c>
      <c r="B67" t="inlineStr">
        <is>
          <t>Premium</t>
        </is>
      </c>
      <c r="C67" s="4" t="n">
        <v>43890</v>
      </c>
      <c r="D67" s="4" t="n">
        <v>45657</v>
      </c>
      <c r="E67" t="n">
        <v>40</v>
      </c>
      <c r="F67" t="inlineStr">
        <is>
          <t>Active</t>
        </is>
      </c>
      <c r="G67" t="inlineStr">
        <is>
          <t>Google</t>
        </is>
      </c>
      <c r="H67">
        <f>TEXT(C67,"mmm-yyyy")</f>
        <v/>
      </c>
      <c r="I67">
        <f>TEXT(D67,"mmm-yyyy")</f>
        <v/>
      </c>
      <c r="J67">
        <f>_xlfn.XLOOKUP(tbl_subscription[[#This Row],[Customer_ID]],tbl_clint[Customer_ID],tbl_clint[Country])</f>
        <v/>
      </c>
      <c r="K67">
        <f>_xlfn.XLOOKUP(tbl_subscription[[#This Row],[Customer_ID]],tbl_clint[[#This Row],[Customer_ID]],tbl_clint[[#This Row],[Industry]])</f>
        <v/>
      </c>
      <c r="L67">
        <f>_xlfn.XLOOKUP(tbl_subscription[[#This Row],[Customer_ID]],tbl_clint[[#This Row],[Customer_ID]],tbl_clint[[#This Row],[Company_Size]])</f>
        <v/>
      </c>
      <c r="M67">
        <f>YEAR(tbl_subscription[[#This Row],[Start_Date]])</f>
        <v/>
      </c>
    </row>
    <row r="68">
      <c r="A68" t="inlineStr">
        <is>
          <t>C0067</t>
        </is>
      </c>
      <c r="B68" t="inlineStr">
        <is>
          <t>Basic</t>
        </is>
      </c>
      <c r="C68" s="4" t="n">
        <v>44493</v>
      </c>
      <c r="D68" s="4" t="n">
        <v>45657</v>
      </c>
      <c r="E68" t="n">
        <v>15</v>
      </c>
      <c r="F68" t="inlineStr">
        <is>
          <t>Active</t>
        </is>
      </c>
      <c r="G68" t="inlineStr">
        <is>
          <t>Referral</t>
        </is>
      </c>
      <c r="H68">
        <f>TEXT(C68,"mmm-yyyy")</f>
        <v/>
      </c>
      <c r="I68">
        <f>TEXT(D68,"mmm-yyyy")</f>
        <v/>
      </c>
      <c r="J68">
        <f>_xlfn.XLOOKUP(tbl_subscription[[#This Row],[Customer_ID]],tbl_clint[Customer_ID],tbl_clint[Country])</f>
        <v/>
      </c>
      <c r="K68">
        <f>_xlfn.XLOOKUP(tbl_subscription[[#This Row],[Customer_ID]],tbl_clint[[#This Row],[Customer_ID]],tbl_clint[[#This Row],[Industry]])</f>
        <v/>
      </c>
      <c r="L68">
        <f>_xlfn.XLOOKUP(tbl_subscription[[#This Row],[Customer_ID]],tbl_clint[[#This Row],[Customer_ID]],tbl_clint[[#This Row],[Company_Size]])</f>
        <v/>
      </c>
      <c r="M68">
        <f>YEAR(tbl_subscription[[#This Row],[Start_Date]])</f>
        <v/>
      </c>
    </row>
    <row r="69">
      <c r="A69" t="inlineStr">
        <is>
          <t>C0068</t>
        </is>
      </c>
      <c r="B69" t="inlineStr">
        <is>
          <t>Basic</t>
        </is>
      </c>
      <c r="C69" s="4" t="n">
        <v>44312</v>
      </c>
      <c r="D69" s="4" t="n">
        <v>45657</v>
      </c>
      <c r="E69" t="n">
        <v>15</v>
      </c>
      <c r="F69" t="inlineStr">
        <is>
          <t>Active</t>
        </is>
      </c>
      <c r="G69" t="inlineStr">
        <is>
          <t>Instagram</t>
        </is>
      </c>
      <c r="H69">
        <f>TEXT(C69,"mmm-yyyy")</f>
        <v/>
      </c>
      <c r="I69">
        <f>TEXT(D69,"mmm-yyyy")</f>
        <v/>
      </c>
      <c r="J69">
        <f>_xlfn.XLOOKUP(tbl_subscription[[#This Row],[Customer_ID]],tbl_clint[Customer_ID],tbl_clint[Country])</f>
        <v/>
      </c>
      <c r="K69">
        <f>_xlfn.XLOOKUP(tbl_subscription[[#This Row],[Customer_ID]],tbl_clint[[#This Row],[Customer_ID]],tbl_clint[[#This Row],[Industry]])</f>
        <v/>
      </c>
      <c r="L69">
        <f>_xlfn.XLOOKUP(tbl_subscription[[#This Row],[Customer_ID]],tbl_clint[[#This Row],[Customer_ID]],tbl_clint[[#This Row],[Company_Size]])</f>
        <v/>
      </c>
      <c r="M69">
        <f>YEAR(tbl_subscription[[#This Row],[Start_Date]])</f>
        <v/>
      </c>
    </row>
    <row r="70">
      <c r="A70" t="inlineStr">
        <is>
          <t>C0069</t>
        </is>
      </c>
      <c r="B70" t="inlineStr">
        <is>
          <t>Standard</t>
        </is>
      </c>
      <c r="C70" s="4" t="n">
        <v>43937</v>
      </c>
      <c r="D70" s="4" t="n">
        <v>45657</v>
      </c>
      <c r="E70" t="n">
        <v>25</v>
      </c>
      <c r="F70" t="inlineStr">
        <is>
          <t>Active</t>
        </is>
      </c>
      <c r="G70" t="inlineStr">
        <is>
          <t>Instagram</t>
        </is>
      </c>
      <c r="H70">
        <f>TEXT(C70,"mmm-yyyy")</f>
        <v/>
      </c>
      <c r="I70">
        <f>TEXT(D70,"mmm-yyyy")</f>
        <v/>
      </c>
      <c r="J70">
        <f>_xlfn.XLOOKUP(tbl_subscription[[#This Row],[Customer_ID]],tbl_clint[Customer_ID],tbl_clint[Country])</f>
        <v/>
      </c>
      <c r="K70">
        <f>_xlfn.XLOOKUP(tbl_subscription[[#This Row],[Customer_ID]],tbl_clint[[#This Row],[Customer_ID]],tbl_clint[[#This Row],[Industry]])</f>
        <v/>
      </c>
      <c r="L70">
        <f>_xlfn.XLOOKUP(tbl_subscription[[#This Row],[Customer_ID]],tbl_clint[[#This Row],[Customer_ID]],tbl_clint[[#This Row],[Company_Size]])</f>
        <v/>
      </c>
      <c r="M70">
        <f>YEAR(tbl_subscription[[#This Row],[Start_Date]])</f>
        <v/>
      </c>
    </row>
    <row r="71">
      <c r="A71" t="inlineStr">
        <is>
          <t>C0070</t>
        </is>
      </c>
      <c r="B71" t="inlineStr">
        <is>
          <t>Standard</t>
        </is>
      </c>
      <c r="C71" s="4" t="n">
        <v>44417</v>
      </c>
      <c r="D71" s="4" t="n">
        <v>45657</v>
      </c>
      <c r="E71" t="n">
        <v>25</v>
      </c>
      <c r="F71" t="inlineStr">
        <is>
          <t>Active</t>
        </is>
      </c>
      <c r="G71" t="inlineStr">
        <is>
          <t>Instagram</t>
        </is>
      </c>
      <c r="H71">
        <f>TEXT(C71,"mmm-yyyy")</f>
        <v/>
      </c>
      <c r="I71">
        <f>TEXT(D71,"mmm-yyyy")</f>
        <v/>
      </c>
      <c r="J71">
        <f>_xlfn.XLOOKUP(tbl_subscription[[#This Row],[Customer_ID]],tbl_clint[Customer_ID],tbl_clint[Country])</f>
        <v/>
      </c>
      <c r="K71">
        <f>_xlfn.XLOOKUP(tbl_subscription[[#This Row],[Customer_ID]],tbl_clint[[#This Row],[Customer_ID]],tbl_clint[[#This Row],[Industry]])</f>
        <v/>
      </c>
      <c r="L71">
        <f>_xlfn.XLOOKUP(tbl_subscription[[#This Row],[Customer_ID]],tbl_clint[[#This Row],[Customer_ID]],tbl_clint[[#This Row],[Company_Size]])</f>
        <v/>
      </c>
      <c r="M71">
        <f>YEAR(tbl_subscription[[#This Row],[Start_Date]])</f>
        <v/>
      </c>
    </row>
    <row r="72">
      <c r="A72" t="inlineStr">
        <is>
          <t>C0071</t>
        </is>
      </c>
      <c r="B72" t="inlineStr">
        <is>
          <t>Premium</t>
        </is>
      </c>
      <c r="C72" s="4" t="n">
        <v>45001</v>
      </c>
      <c r="D72" s="4" t="n">
        <v>45657</v>
      </c>
      <c r="E72" t="n">
        <v>40</v>
      </c>
      <c r="F72" t="inlineStr">
        <is>
          <t>Active</t>
        </is>
      </c>
      <c r="G72" t="inlineStr">
        <is>
          <t>Facebook</t>
        </is>
      </c>
      <c r="H72">
        <f>TEXT(C72,"mmm-yyyy")</f>
        <v/>
      </c>
      <c r="I72">
        <f>TEXT(D72,"mmm-yyyy")</f>
        <v/>
      </c>
      <c r="J72">
        <f>_xlfn.XLOOKUP(tbl_subscription[[#This Row],[Customer_ID]],tbl_clint[Customer_ID],tbl_clint[Country])</f>
        <v/>
      </c>
      <c r="K72">
        <f>_xlfn.XLOOKUP(tbl_subscription[[#This Row],[Customer_ID]],tbl_clint[[#This Row],[Customer_ID]],tbl_clint[[#This Row],[Industry]])</f>
        <v/>
      </c>
      <c r="L72">
        <f>_xlfn.XLOOKUP(tbl_subscription[[#This Row],[Customer_ID]],tbl_clint[[#This Row],[Customer_ID]],tbl_clint[[#This Row],[Company_Size]])</f>
        <v/>
      </c>
      <c r="M72">
        <f>YEAR(tbl_subscription[[#This Row],[Start_Date]])</f>
        <v/>
      </c>
    </row>
    <row r="73">
      <c r="A73" t="inlineStr">
        <is>
          <t>C0072</t>
        </is>
      </c>
      <c r="B73" t="inlineStr">
        <is>
          <t>Standard</t>
        </is>
      </c>
      <c r="C73" s="4" t="n">
        <v>43906</v>
      </c>
      <c r="D73" s="4" t="n">
        <v>45657</v>
      </c>
      <c r="E73" t="n">
        <v>25</v>
      </c>
      <c r="F73" t="inlineStr">
        <is>
          <t>Active</t>
        </is>
      </c>
      <c r="G73" t="inlineStr">
        <is>
          <t>Google</t>
        </is>
      </c>
      <c r="H73">
        <f>TEXT(C73,"mmm-yyyy")</f>
        <v/>
      </c>
      <c r="I73">
        <f>TEXT(D73,"mmm-yyyy")</f>
        <v/>
      </c>
      <c r="J73">
        <f>_xlfn.XLOOKUP(tbl_subscription[[#This Row],[Customer_ID]],tbl_clint[Customer_ID],tbl_clint[Country])</f>
        <v/>
      </c>
      <c r="K73">
        <f>_xlfn.XLOOKUP(tbl_subscription[[#This Row],[Customer_ID]],tbl_clint[[#This Row],[Customer_ID]],tbl_clint[[#This Row],[Industry]])</f>
        <v/>
      </c>
      <c r="L73">
        <f>_xlfn.XLOOKUP(tbl_subscription[[#This Row],[Customer_ID]],tbl_clint[[#This Row],[Customer_ID]],tbl_clint[[#This Row],[Company_Size]])</f>
        <v/>
      </c>
      <c r="M73">
        <f>YEAR(tbl_subscription[[#This Row],[Start_Date]])</f>
        <v/>
      </c>
    </row>
    <row r="74">
      <c r="A74" t="inlineStr">
        <is>
          <t>C0073</t>
        </is>
      </c>
      <c r="B74" t="inlineStr">
        <is>
          <t>Standard</t>
        </is>
      </c>
      <c r="C74" s="4" t="n">
        <v>43835</v>
      </c>
      <c r="D74" s="4" t="n">
        <v>45657</v>
      </c>
      <c r="E74" t="n">
        <v>25</v>
      </c>
      <c r="F74" t="inlineStr">
        <is>
          <t>Active</t>
        </is>
      </c>
      <c r="G74" t="inlineStr">
        <is>
          <t>Facebook</t>
        </is>
      </c>
      <c r="H74">
        <f>TEXT(C74,"mmm-yyyy")</f>
        <v/>
      </c>
      <c r="I74">
        <f>TEXT(D74,"mmm-yyyy")</f>
        <v/>
      </c>
      <c r="J74">
        <f>_xlfn.XLOOKUP(tbl_subscription[[#This Row],[Customer_ID]],tbl_clint[Customer_ID],tbl_clint[Country])</f>
        <v/>
      </c>
      <c r="K74">
        <f>_xlfn.XLOOKUP(tbl_subscription[[#This Row],[Customer_ID]],tbl_clint[[#This Row],[Customer_ID]],tbl_clint[[#This Row],[Industry]])</f>
        <v/>
      </c>
      <c r="L74">
        <f>_xlfn.XLOOKUP(tbl_subscription[[#This Row],[Customer_ID]],tbl_clint[[#This Row],[Customer_ID]],tbl_clint[[#This Row],[Company_Size]])</f>
        <v/>
      </c>
      <c r="M74">
        <f>YEAR(tbl_subscription[[#This Row],[Start_Date]])</f>
        <v/>
      </c>
    </row>
    <row r="75">
      <c r="A75" t="inlineStr">
        <is>
          <t>C0074</t>
        </is>
      </c>
      <c r="B75" t="inlineStr">
        <is>
          <t>Premium</t>
        </is>
      </c>
      <c r="C75" s="4" t="n">
        <v>44908</v>
      </c>
      <c r="D75" s="4" t="n">
        <v>45657</v>
      </c>
      <c r="E75" t="n">
        <v>40</v>
      </c>
      <c r="F75" t="inlineStr">
        <is>
          <t>Active</t>
        </is>
      </c>
      <c r="G75" t="inlineStr">
        <is>
          <t>Instagram</t>
        </is>
      </c>
      <c r="H75">
        <f>TEXT(C75,"mmm-yyyy")</f>
        <v/>
      </c>
      <c r="I75">
        <f>TEXT(D75,"mmm-yyyy")</f>
        <v/>
      </c>
      <c r="J75">
        <f>_xlfn.XLOOKUP(tbl_subscription[[#This Row],[Customer_ID]],tbl_clint[Customer_ID],tbl_clint[Country])</f>
        <v/>
      </c>
      <c r="K75">
        <f>_xlfn.XLOOKUP(tbl_subscription[[#This Row],[Customer_ID]],tbl_clint[[#This Row],[Customer_ID]],tbl_clint[[#This Row],[Industry]])</f>
        <v/>
      </c>
      <c r="L75">
        <f>_xlfn.XLOOKUP(tbl_subscription[[#This Row],[Customer_ID]],tbl_clint[[#This Row],[Customer_ID]],tbl_clint[[#This Row],[Company_Size]])</f>
        <v/>
      </c>
      <c r="M75">
        <f>YEAR(tbl_subscription[[#This Row],[Start_Date]])</f>
        <v/>
      </c>
    </row>
    <row r="76">
      <c r="A76" t="inlineStr">
        <is>
          <t>C0075</t>
        </is>
      </c>
      <c r="B76" t="inlineStr">
        <is>
          <t>Premium</t>
        </is>
      </c>
      <c r="C76" s="4" t="n">
        <v>44972</v>
      </c>
      <c r="D76" s="4" t="n">
        <v>45657</v>
      </c>
      <c r="E76" t="n">
        <v>40</v>
      </c>
      <c r="F76" t="inlineStr">
        <is>
          <t>Active</t>
        </is>
      </c>
      <c r="G76" t="inlineStr">
        <is>
          <t>Facebook</t>
        </is>
      </c>
      <c r="H76">
        <f>TEXT(C76,"mmm-yyyy")</f>
        <v/>
      </c>
      <c r="I76">
        <f>TEXT(D76,"mmm-yyyy")</f>
        <v/>
      </c>
      <c r="J76">
        <f>_xlfn.XLOOKUP(tbl_subscription[[#This Row],[Customer_ID]],tbl_clint[Customer_ID],tbl_clint[Country])</f>
        <v/>
      </c>
      <c r="K76">
        <f>_xlfn.XLOOKUP(tbl_subscription[[#This Row],[Customer_ID]],tbl_clint[[#This Row],[Customer_ID]],tbl_clint[[#This Row],[Industry]])</f>
        <v/>
      </c>
      <c r="L76">
        <f>_xlfn.XLOOKUP(tbl_subscription[[#This Row],[Customer_ID]],tbl_clint[[#This Row],[Customer_ID]],tbl_clint[[#This Row],[Company_Size]])</f>
        <v/>
      </c>
      <c r="M76">
        <f>YEAR(tbl_subscription[[#This Row],[Start_Date]])</f>
        <v/>
      </c>
    </row>
    <row r="77">
      <c r="A77" t="inlineStr">
        <is>
          <t>C0076</t>
        </is>
      </c>
      <c r="B77" t="inlineStr">
        <is>
          <t>Standard</t>
        </is>
      </c>
      <c r="C77" s="4" t="n">
        <v>44357</v>
      </c>
      <c r="D77" s="4" t="n">
        <v>45657</v>
      </c>
      <c r="E77" t="n">
        <v>25</v>
      </c>
      <c r="F77" t="inlineStr">
        <is>
          <t>Active</t>
        </is>
      </c>
      <c r="G77" t="inlineStr">
        <is>
          <t>Google</t>
        </is>
      </c>
      <c r="H77">
        <f>TEXT(C77,"mmm-yyyy")</f>
        <v/>
      </c>
      <c r="I77">
        <f>TEXT(D77,"mmm-yyyy")</f>
        <v/>
      </c>
      <c r="J77">
        <f>_xlfn.XLOOKUP(tbl_subscription[[#This Row],[Customer_ID]],tbl_clint[Customer_ID],tbl_clint[Country])</f>
        <v/>
      </c>
      <c r="K77">
        <f>_xlfn.XLOOKUP(tbl_subscription[[#This Row],[Customer_ID]],tbl_clint[[#This Row],[Customer_ID]],tbl_clint[[#This Row],[Industry]])</f>
        <v/>
      </c>
      <c r="L77">
        <f>_xlfn.XLOOKUP(tbl_subscription[[#This Row],[Customer_ID]],tbl_clint[[#This Row],[Customer_ID]],tbl_clint[[#This Row],[Company_Size]])</f>
        <v/>
      </c>
      <c r="M77">
        <f>YEAR(tbl_subscription[[#This Row],[Start_Date]])</f>
        <v/>
      </c>
    </row>
    <row r="78">
      <c r="A78" t="inlineStr">
        <is>
          <t>C0077</t>
        </is>
      </c>
      <c r="B78" t="inlineStr">
        <is>
          <t>Premium</t>
        </is>
      </c>
      <c r="C78" s="4" t="n">
        <v>44180</v>
      </c>
      <c r="D78" s="4" t="n">
        <v>45657</v>
      </c>
      <c r="E78" t="n">
        <v>40</v>
      </c>
      <c r="F78" t="inlineStr">
        <is>
          <t>Active</t>
        </is>
      </c>
      <c r="G78" t="inlineStr">
        <is>
          <t>Referral</t>
        </is>
      </c>
      <c r="H78">
        <f>TEXT(C78,"mmm-yyyy")</f>
        <v/>
      </c>
      <c r="I78">
        <f>TEXT(D78,"mmm-yyyy")</f>
        <v/>
      </c>
      <c r="J78">
        <f>_xlfn.XLOOKUP(tbl_subscription[[#This Row],[Customer_ID]],tbl_clint[Customer_ID],tbl_clint[Country])</f>
        <v/>
      </c>
      <c r="K78">
        <f>_xlfn.XLOOKUP(tbl_subscription[[#This Row],[Customer_ID]],tbl_clint[[#This Row],[Customer_ID]],tbl_clint[[#This Row],[Industry]])</f>
        <v/>
      </c>
      <c r="L78">
        <f>_xlfn.XLOOKUP(tbl_subscription[[#This Row],[Customer_ID]],tbl_clint[[#This Row],[Customer_ID]],tbl_clint[[#This Row],[Company_Size]])</f>
        <v/>
      </c>
      <c r="M78">
        <f>YEAR(tbl_subscription[[#This Row],[Start_Date]])</f>
        <v/>
      </c>
    </row>
    <row r="79">
      <c r="A79" t="inlineStr">
        <is>
          <t>C0078</t>
        </is>
      </c>
      <c r="B79" t="inlineStr">
        <is>
          <t>Premium</t>
        </is>
      </c>
      <c r="C79" s="4" t="n">
        <v>44522</v>
      </c>
      <c r="D79" s="4" t="n">
        <v>45034</v>
      </c>
      <c r="E79" t="n">
        <v>40</v>
      </c>
      <c r="F79" t="inlineStr">
        <is>
          <t>Churned</t>
        </is>
      </c>
      <c r="G79" t="inlineStr">
        <is>
          <t>Facebook</t>
        </is>
      </c>
      <c r="H79">
        <f>TEXT(C79,"mmm-yyyy")</f>
        <v/>
      </c>
      <c r="I79">
        <f>TEXT(D79,"mmm-yyyy")</f>
        <v/>
      </c>
      <c r="J79">
        <f>_xlfn.XLOOKUP(tbl_subscription[[#This Row],[Customer_ID]],tbl_clint[Customer_ID],tbl_clint[Country])</f>
        <v/>
      </c>
      <c r="K79">
        <f>_xlfn.XLOOKUP(tbl_subscription[[#This Row],[Customer_ID]],tbl_clint[[#This Row],[Customer_ID]],tbl_clint[[#This Row],[Industry]])</f>
        <v/>
      </c>
      <c r="L79">
        <f>_xlfn.XLOOKUP(tbl_subscription[[#This Row],[Customer_ID]],tbl_clint[[#This Row],[Customer_ID]],tbl_clint[[#This Row],[Company_Size]])</f>
        <v/>
      </c>
      <c r="M79">
        <f>YEAR(tbl_subscription[[#This Row],[Start_Date]])</f>
        <v/>
      </c>
    </row>
    <row r="80">
      <c r="A80" t="inlineStr">
        <is>
          <t>C0079</t>
        </is>
      </c>
      <c r="B80" t="inlineStr">
        <is>
          <t>Basic</t>
        </is>
      </c>
      <c r="C80" s="4" t="n">
        <v>43855</v>
      </c>
      <c r="D80" s="4" t="n">
        <v>45657</v>
      </c>
      <c r="E80" t="n">
        <v>15</v>
      </c>
      <c r="F80" t="inlineStr">
        <is>
          <t>Active</t>
        </is>
      </c>
      <c r="G80" t="inlineStr">
        <is>
          <t>Instagram</t>
        </is>
      </c>
      <c r="H80">
        <f>TEXT(C80,"mmm-yyyy")</f>
        <v/>
      </c>
      <c r="I80">
        <f>TEXT(D80,"mmm-yyyy")</f>
        <v/>
      </c>
      <c r="J80">
        <f>_xlfn.XLOOKUP(tbl_subscription[[#This Row],[Customer_ID]],tbl_clint[Customer_ID],tbl_clint[Country])</f>
        <v/>
      </c>
      <c r="K80">
        <f>_xlfn.XLOOKUP(tbl_subscription[[#This Row],[Customer_ID]],tbl_clint[[#This Row],[Customer_ID]],tbl_clint[[#This Row],[Industry]])</f>
        <v/>
      </c>
      <c r="L80">
        <f>_xlfn.XLOOKUP(tbl_subscription[[#This Row],[Customer_ID]],tbl_clint[[#This Row],[Customer_ID]],tbl_clint[[#This Row],[Company_Size]])</f>
        <v/>
      </c>
      <c r="M80">
        <f>YEAR(tbl_subscription[[#This Row],[Start_Date]])</f>
        <v/>
      </c>
    </row>
    <row r="81">
      <c r="A81" t="inlineStr">
        <is>
          <t>C0080</t>
        </is>
      </c>
      <c r="B81" t="inlineStr">
        <is>
          <t>Basic</t>
        </is>
      </c>
      <c r="C81" s="4" t="n">
        <v>45293</v>
      </c>
      <c r="D81" s="4" t="n">
        <v>45657</v>
      </c>
      <c r="E81" t="n">
        <v>15</v>
      </c>
      <c r="F81" t="inlineStr">
        <is>
          <t>Active</t>
        </is>
      </c>
      <c r="G81" t="inlineStr">
        <is>
          <t>Google</t>
        </is>
      </c>
      <c r="H81">
        <f>TEXT(C81,"mmm-yyyy")</f>
        <v/>
      </c>
      <c r="I81">
        <f>TEXT(D81,"mmm-yyyy")</f>
        <v/>
      </c>
      <c r="J81">
        <f>_xlfn.XLOOKUP(tbl_subscription[[#This Row],[Customer_ID]],tbl_clint[Customer_ID],tbl_clint[Country])</f>
        <v/>
      </c>
      <c r="K81">
        <f>_xlfn.XLOOKUP(tbl_subscription[[#This Row],[Customer_ID]],tbl_clint[[#This Row],[Customer_ID]],tbl_clint[[#This Row],[Industry]])</f>
        <v/>
      </c>
      <c r="L81">
        <f>_xlfn.XLOOKUP(tbl_subscription[[#This Row],[Customer_ID]],tbl_clint[[#This Row],[Customer_ID]],tbl_clint[[#This Row],[Company_Size]])</f>
        <v/>
      </c>
      <c r="M81">
        <f>YEAR(tbl_subscription[[#This Row],[Start_Date]])</f>
        <v/>
      </c>
    </row>
    <row r="82">
      <c r="A82" t="inlineStr">
        <is>
          <t>C0081</t>
        </is>
      </c>
      <c r="B82" t="inlineStr">
        <is>
          <t>Premium</t>
        </is>
      </c>
      <c r="C82" s="4" t="n">
        <v>44658</v>
      </c>
      <c r="D82" s="4" t="n">
        <v>45657</v>
      </c>
      <c r="E82" t="n">
        <v>40</v>
      </c>
      <c r="F82" t="inlineStr">
        <is>
          <t>Active</t>
        </is>
      </c>
      <c r="G82" t="inlineStr">
        <is>
          <t>Referral</t>
        </is>
      </c>
      <c r="H82">
        <f>TEXT(C82,"mmm-yyyy")</f>
        <v/>
      </c>
      <c r="I82">
        <f>TEXT(D82,"mmm-yyyy")</f>
        <v/>
      </c>
      <c r="J82">
        <f>_xlfn.XLOOKUP(tbl_subscription[[#This Row],[Customer_ID]],tbl_clint[Customer_ID],tbl_clint[Country])</f>
        <v/>
      </c>
      <c r="K82">
        <f>_xlfn.XLOOKUP(tbl_subscription[[#This Row],[Customer_ID]],tbl_clint[[#This Row],[Customer_ID]],tbl_clint[[#This Row],[Industry]])</f>
        <v/>
      </c>
      <c r="L82">
        <f>_xlfn.XLOOKUP(tbl_subscription[[#This Row],[Customer_ID]],tbl_clint[[#This Row],[Customer_ID]],tbl_clint[[#This Row],[Company_Size]])</f>
        <v/>
      </c>
      <c r="M82">
        <f>YEAR(tbl_subscription[[#This Row],[Start_Date]])</f>
        <v/>
      </c>
    </row>
    <row r="83">
      <c r="A83" t="inlineStr">
        <is>
          <t>C0082</t>
        </is>
      </c>
      <c r="B83" t="inlineStr">
        <is>
          <t>Basic</t>
        </is>
      </c>
      <c r="C83" s="4" t="n">
        <v>44023</v>
      </c>
      <c r="D83" s="4" t="n">
        <v>44268</v>
      </c>
      <c r="E83" t="n">
        <v>15</v>
      </c>
      <c r="F83" t="inlineStr">
        <is>
          <t>Churned</t>
        </is>
      </c>
      <c r="G83" t="inlineStr">
        <is>
          <t>LinkedIn</t>
        </is>
      </c>
      <c r="H83">
        <f>TEXT(C83,"mmm-yyyy")</f>
        <v/>
      </c>
      <c r="I83">
        <f>TEXT(D83,"mmm-yyyy")</f>
        <v/>
      </c>
      <c r="J83">
        <f>_xlfn.XLOOKUP(tbl_subscription[[#This Row],[Customer_ID]],tbl_clint[Customer_ID],tbl_clint[Country])</f>
        <v/>
      </c>
      <c r="K83">
        <f>_xlfn.XLOOKUP(tbl_subscription[[#This Row],[Customer_ID]],tbl_clint[[#This Row],[Customer_ID]],tbl_clint[[#This Row],[Industry]])</f>
        <v/>
      </c>
      <c r="L83">
        <f>_xlfn.XLOOKUP(tbl_subscription[[#This Row],[Customer_ID]],tbl_clint[[#This Row],[Customer_ID]],tbl_clint[[#This Row],[Company_Size]])</f>
        <v/>
      </c>
      <c r="M83">
        <f>YEAR(tbl_subscription[[#This Row],[Start_Date]])</f>
        <v/>
      </c>
    </row>
    <row r="84">
      <c r="A84" t="inlineStr">
        <is>
          <t>C0083</t>
        </is>
      </c>
      <c r="B84" t="inlineStr">
        <is>
          <t>Basic</t>
        </is>
      </c>
      <c r="C84" s="4" t="n">
        <v>44622</v>
      </c>
      <c r="D84" s="4" t="n">
        <v>45657</v>
      </c>
      <c r="E84" t="n">
        <v>15</v>
      </c>
      <c r="F84" t="inlineStr">
        <is>
          <t>Active</t>
        </is>
      </c>
      <c r="G84" t="inlineStr">
        <is>
          <t>Referral</t>
        </is>
      </c>
      <c r="H84">
        <f>TEXT(C84,"mmm-yyyy")</f>
        <v/>
      </c>
      <c r="I84">
        <f>TEXT(D84,"mmm-yyyy")</f>
        <v/>
      </c>
      <c r="J84">
        <f>_xlfn.XLOOKUP(tbl_subscription[[#This Row],[Customer_ID]],tbl_clint[Customer_ID],tbl_clint[Country])</f>
        <v/>
      </c>
      <c r="K84">
        <f>_xlfn.XLOOKUP(tbl_subscription[[#This Row],[Customer_ID]],tbl_clint[[#This Row],[Customer_ID]],tbl_clint[[#This Row],[Industry]])</f>
        <v/>
      </c>
      <c r="L84">
        <f>_xlfn.XLOOKUP(tbl_subscription[[#This Row],[Customer_ID]],tbl_clint[[#This Row],[Customer_ID]],tbl_clint[[#This Row],[Company_Size]])</f>
        <v/>
      </c>
      <c r="M84">
        <f>YEAR(tbl_subscription[[#This Row],[Start_Date]])</f>
        <v/>
      </c>
    </row>
    <row r="85">
      <c r="A85" t="inlineStr">
        <is>
          <t>C0084</t>
        </is>
      </c>
      <c r="B85" t="inlineStr">
        <is>
          <t>Basic</t>
        </is>
      </c>
      <c r="C85" s="4" t="n">
        <v>44340</v>
      </c>
      <c r="D85" s="4" t="n">
        <v>44448</v>
      </c>
      <c r="E85" t="n">
        <v>15</v>
      </c>
      <c r="F85" t="inlineStr">
        <is>
          <t>Churned</t>
        </is>
      </c>
      <c r="G85" t="inlineStr">
        <is>
          <t>Facebook</t>
        </is>
      </c>
      <c r="H85">
        <f>TEXT(C85,"mmm-yyyy")</f>
        <v/>
      </c>
      <c r="I85">
        <f>TEXT(D85,"mmm-yyyy")</f>
        <v/>
      </c>
      <c r="J85">
        <f>_xlfn.XLOOKUP(tbl_subscription[[#This Row],[Customer_ID]],tbl_clint[Customer_ID],tbl_clint[Country])</f>
        <v/>
      </c>
      <c r="K85">
        <f>_xlfn.XLOOKUP(tbl_subscription[[#This Row],[Customer_ID]],tbl_clint[[#This Row],[Customer_ID]],tbl_clint[[#This Row],[Industry]])</f>
        <v/>
      </c>
      <c r="L85">
        <f>_xlfn.XLOOKUP(tbl_subscription[[#This Row],[Customer_ID]],tbl_clint[[#This Row],[Customer_ID]],tbl_clint[[#This Row],[Company_Size]])</f>
        <v/>
      </c>
      <c r="M85">
        <f>YEAR(tbl_subscription[[#This Row],[Start_Date]])</f>
        <v/>
      </c>
    </row>
    <row r="86">
      <c r="A86" t="inlineStr">
        <is>
          <t>C0085</t>
        </is>
      </c>
      <c r="B86" t="inlineStr">
        <is>
          <t>Premium</t>
        </is>
      </c>
      <c r="C86" s="4" t="n">
        <v>44378</v>
      </c>
      <c r="D86" s="4" t="n">
        <v>45657</v>
      </c>
      <c r="E86" t="n">
        <v>40</v>
      </c>
      <c r="F86" t="inlineStr">
        <is>
          <t>Active</t>
        </is>
      </c>
      <c r="G86" t="inlineStr">
        <is>
          <t>Instagram</t>
        </is>
      </c>
      <c r="H86">
        <f>TEXT(C86,"mmm-yyyy")</f>
        <v/>
      </c>
      <c r="I86">
        <f>TEXT(D86,"mmm-yyyy")</f>
        <v/>
      </c>
      <c r="J86">
        <f>_xlfn.XLOOKUP(tbl_subscription[[#This Row],[Customer_ID]],tbl_clint[Customer_ID],tbl_clint[Country])</f>
        <v/>
      </c>
      <c r="K86">
        <f>_xlfn.XLOOKUP(tbl_subscription[[#This Row],[Customer_ID]],tbl_clint[[#This Row],[Customer_ID]],tbl_clint[[#This Row],[Industry]])</f>
        <v/>
      </c>
      <c r="L86">
        <f>_xlfn.XLOOKUP(tbl_subscription[[#This Row],[Customer_ID]],tbl_clint[[#This Row],[Customer_ID]],tbl_clint[[#This Row],[Company_Size]])</f>
        <v/>
      </c>
      <c r="M86">
        <f>YEAR(tbl_subscription[[#This Row],[Start_Date]])</f>
        <v/>
      </c>
    </row>
    <row r="87">
      <c r="A87" t="inlineStr">
        <is>
          <t>C0086</t>
        </is>
      </c>
      <c r="B87" t="inlineStr">
        <is>
          <t>Standard</t>
        </is>
      </c>
      <c r="C87" s="4" t="n">
        <v>44487</v>
      </c>
      <c r="D87" s="4" t="n">
        <v>44899</v>
      </c>
      <c r="E87" t="n">
        <v>25</v>
      </c>
      <c r="F87" t="inlineStr">
        <is>
          <t>Churned</t>
        </is>
      </c>
      <c r="G87" t="inlineStr">
        <is>
          <t>Google</t>
        </is>
      </c>
      <c r="H87">
        <f>TEXT(C87,"mmm-yyyy")</f>
        <v/>
      </c>
      <c r="I87">
        <f>TEXT(D87,"mmm-yyyy")</f>
        <v/>
      </c>
      <c r="J87">
        <f>_xlfn.XLOOKUP(tbl_subscription[[#This Row],[Customer_ID]],tbl_clint[Customer_ID],tbl_clint[Country])</f>
        <v/>
      </c>
      <c r="K87">
        <f>_xlfn.XLOOKUP(tbl_subscription[[#This Row],[Customer_ID]],tbl_clint[[#This Row],[Customer_ID]],tbl_clint[[#This Row],[Industry]])</f>
        <v/>
      </c>
      <c r="L87">
        <f>_xlfn.XLOOKUP(tbl_subscription[[#This Row],[Customer_ID]],tbl_clint[[#This Row],[Customer_ID]],tbl_clint[[#This Row],[Company_Size]])</f>
        <v/>
      </c>
      <c r="M87">
        <f>YEAR(tbl_subscription[[#This Row],[Start_Date]])</f>
        <v/>
      </c>
    </row>
    <row r="88">
      <c r="A88" t="inlineStr">
        <is>
          <t>C0087</t>
        </is>
      </c>
      <c r="B88" t="inlineStr">
        <is>
          <t>Premium</t>
        </is>
      </c>
      <c r="C88" s="4" t="n">
        <v>45187</v>
      </c>
      <c r="D88" s="4" t="n">
        <v>45657</v>
      </c>
      <c r="E88" t="n">
        <v>40</v>
      </c>
      <c r="F88" t="inlineStr">
        <is>
          <t>Active</t>
        </is>
      </c>
      <c r="G88" t="inlineStr">
        <is>
          <t>Google</t>
        </is>
      </c>
      <c r="H88">
        <f>TEXT(C88,"mmm-yyyy")</f>
        <v/>
      </c>
      <c r="I88">
        <f>TEXT(D88,"mmm-yyyy")</f>
        <v/>
      </c>
      <c r="J88">
        <f>_xlfn.XLOOKUP(tbl_subscription[[#This Row],[Customer_ID]],tbl_clint[Customer_ID],tbl_clint[Country])</f>
        <v/>
      </c>
      <c r="K88">
        <f>_xlfn.XLOOKUP(tbl_subscription[[#This Row],[Customer_ID]],tbl_clint[[#This Row],[Customer_ID]],tbl_clint[[#This Row],[Industry]])</f>
        <v/>
      </c>
      <c r="L88">
        <f>_xlfn.XLOOKUP(tbl_subscription[[#This Row],[Customer_ID]],tbl_clint[[#This Row],[Customer_ID]],tbl_clint[[#This Row],[Company_Size]])</f>
        <v/>
      </c>
      <c r="M88">
        <f>YEAR(tbl_subscription[[#This Row],[Start_Date]])</f>
        <v/>
      </c>
    </row>
    <row r="89">
      <c r="A89" t="inlineStr">
        <is>
          <t>C0088</t>
        </is>
      </c>
      <c r="B89" t="inlineStr">
        <is>
          <t>Premium</t>
        </is>
      </c>
      <c r="C89" s="4" t="n">
        <v>44691</v>
      </c>
      <c r="D89" s="4" t="n">
        <v>45452</v>
      </c>
      <c r="E89" t="n">
        <v>40</v>
      </c>
      <c r="F89" t="inlineStr">
        <is>
          <t>Churned</t>
        </is>
      </c>
      <c r="G89" t="inlineStr">
        <is>
          <t>Referral</t>
        </is>
      </c>
      <c r="H89">
        <f>TEXT(C89,"mmm-yyyy")</f>
        <v/>
      </c>
      <c r="I89">
        <f>TEXT(D89,"mmm-yyyy")</f>
        <v/>
      </c>
      <c r="J89">
        <f>_xlfn.XLOOKUP(tbl_subscription[[#This Row],[Customer_ID]],tbl_clint[Customer_ID],tbl_clint[Country])</f>
        <v/>
      </c>
      <c r="K89">
        <f>_xlfn.XLOOKUP(tbl_subscription[[#This Row],[Customer_ID]],tbl_clint[[#This Row],[Customer_ID]],tbl_clint[[#This Row],[Industry]])</f>
        <v/>
      </c>
      <c r="L89">
        <f>_xlfn.XLOOKUP(tbl_subscription[[#This Row],[Customer_ID]],tbl_clint[[#This Row],[Customer_ID]],tbl_clint[[#This Row],[Company_Size]])</f>
        <v/>
      </c>
      <c r="M89">
        <f>YEAR(tbl_subscription[[#This Row],[Start_Date]])</f>
        <v/>
      </c>
    </row>
    <row r="90">
      <c r="A90" t="inlineStr">
        <is>
          <t>C0089</t>
        </is>
      </c>
      <c r="B90" t="inlineStr">
        <is>
          <t>Standard</t>
        </is>
      </c>
      <c r="C90" s="4" t="n">
        <v>44143</v>
      </c>
      <c r="D90" s="4" t="n">
        <v>45657</v>
      </c>
      <c r="E90" t="n">
        <v>25</v>
      </c>
      <c r="F90" t="inlineStr">
        <is>
          <t>Active</t>
        </is>
      </c>
      <c r="G90" t="inlineStr">
        <is>
          <t>Google</t>
        </is>
      </c>
      <c r="H90">
        <f>TEXT(C90,"mmm-yyyy")</f>
        <v/>
      </c>
      <c r="I90">
        <f>TEXT(D90,"mmm-yyyy")</f>
        <v/>
      </c>
      <c r="J90">
        <f>_xlfn.XLOOKUP(tbl_subscription[[#This Row],[Customer_ID]],tbl_clint[Customer_ID],tbl_clint[Country])</f>
        <v/>
      </c>
      <c r="K90">
        <f>_xlfn.XLOOKUP(tbl_subscription[[#This Row],[Customer_ID]],tbl_clint[[#This Row],[Customer_ID]],tbl_clint[[#This Row],[Industry]])</f>
        <v/>
      </c>
      <c r="L90">
        <f>_xlfn.XLOOKUP(tbl_subscription[[#This Row],[Customer_ID]],tbl_clint[[#This Row],[Customer_ID]],tbl_clint[[#This Row],[Company_Size]])</f>
        <v/>
      </c>
      <c r="M90">
        <f>YEAR(tbl_subscription[[#This Row],[Start_Date]])</f>
        <v/>
      </c>
    </row>
    <row r="91">
      <c r="A91" t="inlineStr">
        <is>
          <t>C0090</t>
        </is>
      </c>
      <c r="B91" t="inlineStr">
        <is>
          <t>Standard</t>
        </is>
      </c>
      <c r="C91" s="4" t="n">
        <v>44248</v>
      </c>
      <c r="D91" s="4" t="n">
        <v>44506</v>
      </c>
      <c r="E91" t="n">
        <v>25</v>
      </c>
      <c r="F91" t="inlineStr">
        <is>
          <t>Churned</t>
        </is>
      </c>
      <c r="G91" t="inlineStr">
        <is>
          <t>Facebook</t>
        </is>
      </c>
      <c r="H91">
        <f>TEXT(C91,"mmm-yyyy")</f>
        <v/>
      </c>
      <c r="I91">
        <f>TEXT(D91,"mmm-yyyy")</f>
        <v/>
      </c>
      <c r="J91">
        <f>_xlfn.XLOOKUP(tbl_subscription[[#This Row],[Customer_ID]],tbl_clint[Customer_ID],tbl_clint[Country])</f>
        <v/>
      </c>
      <c r="K91">
        <f>_xlfn.XLOOKUP(tbl_subscription[[#This Row],[Customer_ID]],tbl_clint[[#This Row],[Customer_ID]],tbl_clint[[#This Row],[Industry]])</f>
        <v/>
      </c>
      <c r="L91">
        <f>_xlfn.XLOOKUP(tbl_subscription[[#This Row],[Customer_ID]],tbl_clint[[#This Row],[Customer_ID]],tbl_clint[[#This Row],[Company_Size]])</f>
        <v/>
      </c>
      <c r="M91">
        <f>YEAR(tbl_subscription[[#This Row],[Start_Date]])</f>
        <v/>
      </c>
    </row>
    <row r="92">
      <c r="A92" t="inlineStr">
        <is>
          <t>C0091</t>
        </is>
      </c>
      <c r="B92" t="inlineStr">
        <is>
          <t>Basic</t>
        </is>
      </c>
      <c r="C92" s="4" t="n">
        <v>44643</v>
      </c>
      <c r="D92" s="4" t="n">
        <v>45435</v>
      </c>
      <c r="E92" t="n">
        <v>15</v>
      </c>
      <c r="F92" t="inlineStr">
        <is>
          <t>Churned</t>
        </is>
      </c>
      <c r="G92" t="inlineStr">
        <is>
          <t>Facebook</t>
        </is>
      </c>
      <c r="H92">
        <f>TEXT(C92,"mmm-yyyy")</f>
        <v/>
      </c>
      <c r="I92">
        <f>TEXT(D92,"mmm-yyyy")</f>
        <v/>
      </c>
      <c r="J92">
        <f>_xlfn.XLOOKUP(tbl_subscription[[#This Row],[Customer_ID]],tbl_clint[Customer_ID],tbl_clint[Country])</f>
        <v/>
      </c>
      <c r="K92">
        <f>_xlfn.XLOOKUP(tbl_subscription[[#This Row],[Customer_ID]],tbl_clint[[#This Row],[Customer_ID]],tbl_clint[[#This Row],[Industry]])</f>
        <v/>
      </c>
      <c r="L92">
        <f>_xlfn.XLOOKUP(tbl_subscription[[#This Row],[Customer_ID]],tbl_clint[[#This Row],[Customer_ID]],tbl_clint[[#This Row],[Company_Size]])</f>
        <v/>
      </c>
      <c r="M92">
        <f>YEAR(tbl_subscription[[#This Row],[Start_Date]])</f>
        <v/>
      </c>
    </row>
    <row r="93">
      <c r="A93" t="inlineStr">
        <is>
          <t>C0092</t>
        </is>
      </c>
      <c r="B93" t="inlineStr">
        <is>
          <t>Standard</t>
        </is>
      </c>
      <c r="C93" s="4" t="n">
        <v>45304</v>
      </c>
      <c r="D93" s="4" t="n">
        <v>45657</v>
      </c>
      <c r="E93" t="n">
        <v>25</v>
      </c>
      <c r="F93" t="inlineStr">
        <is>
          <t>Active</t>
        </is>
      </c>
      <c r="G93" t="inlineStr">
        <is>
          <t>Facebook</t>
        </is>
      </c>
      <c r="H93">
        <f>TEXT(C93,"mmm-yyyy")</f>
        <v/>
      </c>
      <c r="I93">
        <f>TEXT(D93,"mmm-yyyy")</f>
        <v/>
      </c>
      <c r="J93">
        <f>_xlfn.XLOOKUP(tbl_subscription[[#This Row],[Customer_ID]],tbl_clint[Customer_ID],tbl_clint[Country])</f>
        <v/>
      </c>
      <c r="K93">
        <f>_xlfn.XLOOKUP(tbl_subscription[[#This Row],[Customer_ID]],tbl_clint[[#This Row],[Customer_ID]],tbl_clint[[#This Row],[Industry]])</f>
        <v/>
      </c>
      <c r="L93">
        <f>_xlfn.XLOOKUP(tbl_subscription[[#This Row],[Customer_ID]],tbl_clint[[#This Row],[Customer_ID]],tbl_clint[[#This Row],[Company_Size]])</f>
        <v/>
      </c>
      <c r="M93">
        <f>YEAR(tbl_subscription[[#This Row],[Start_Date]])</f>
        <v/>
      </c>
    </row>
    <row r="94">
      <c r="A94" t="inlineStr">
        <is>
          <t>C0093</t>
        </is>
      </c>
      <c r="B94" t="inlineStr">
        <is>
          <t>Premium</t>
        </is>
      </c>
      <c r="C94" s="4" t="n">
        <v>45194</v>
      </c>
      <c r="D94" s="4" t="n">
        <v>45657</v>
      </c>
      <c r="E94" t="n">
        <v>40</v>
      </c>
      <c r="F94" t="inlineStr">
        <is>
          <t>Active</t>
        </is>
      </c>
      <c r="G94" t="inlineStr">
        <is>
          <t>Referral</t>
        </is>
      </c>
      <c r="H94">
        <f>TEXT(C94,"mmm-yyyy")</f>
        <v/>
      </c>
      <c r="I94">
        <f>TEXT(D94,"mmm-yyyy")</f>
        <v/>
      </c>
      <c r="J94">
        <f>_xlfn.XLOOKUP(tbl_subscription[[#This Row],[Customer_ID]],tbl_clint[Customer_ID],tbl_clint[Country])</f>
        <v/>
      </c>
      <c r="K94">
        <f>_xlfn.XLOOKUP(tbl_subscription[[#This Row],[Customer_ID]],tbl_clint[[#This Row],[Customer_ID]],tbl_clint[[#This Row],[Industry]])</f>
        <v/>
      </c>
      <c r="L94">
        <f>_xlfn.XLOOKUP(tbl_subscription[[#This Row],[Customer_ID]],tbl_clint[[#This Row],[Customer_ID]],tbl_clint[[#This Row],[Company_Size]])</f>
        <v/>
      </c>
      <c r="M94">
        <f>YEAR(tbl_subscription[[#This Row],[Start_Date]])</f>
        <v/>
      </c>
    </row>
    <row r="95">
      <c r="A95" t="inlineStr">
        <is>
          <t>C0094</t>
        </is>
      </c>
      <c r="B95" t="inlineStr">
        <is>
          <t>Standard</t>
        </is>
      </c>
      <c r="C95" s="4" t="n">
        <v>44057</v>
      </c>
      <c r="D95" s="4" t="n">
        <v>45657</v>
      </c>
      <c r="E95" t="n">
        <v>25</v>
      </c>
      <c r="F95" t="inlineStr">
        <is>
          <t>Active</t>
        </is>
      </c>
      <c r="G95" t="inlineStr">
        <is>
          <t>LinkedIn</t>
        </is>
      </c>
      <c r="H95">
        <f>TEXT(C95,"mmm-yyyy")</f>
        <v/>
      </c>
      <c r="I95">
        <f>TEXT(D95,"mmm-yyyy")</f>
        <v/>
      </c>
      <c r="J95">
        <f>_xlfn.XLOOKUP(tbl_subscription[[#This Row],[Customer_ID]],tbl_clint[Customer_ID],tbl_clint[Country])</f>
        <v/>
      </c>
      <c r="K95">
        <f>_xlfn.XLOOKUP(tbl_subscription[[#This Row],[Customer_ID]],tbl_clint[[#This Row],[Customer_ID]],tbl_clint[[#This Row],[Industry]])</f>
        <v/>
      </c>
      <c r="L95">
        <f>_xlfn.XLOOKUP(tbl_subscription[[#This Row],[Customer_ID]],tbl_clint[[#This Row],[Customer_ID]],tbl_clint[[#This Row],[Company_Size]])</f>
        <v/>
      </c>
      <c r="M95">
        <f>YEAR(tbl_subscription[[#This Row],[Start_Date]])</f>
        <v/>
      </c>
    </row>
    <row r="96">
      <c r="A96" t="inlineStr">
        <is>
          <t>C0095</t>
        </is>
      </c>
      <c r="B96" t="inlineStr">
        <is>
          <t>Standard</t>
        </is>
      </c>
      <c r="C96" s="4" t="n">
        <v>43904</v>
      </c>
      <c r="D96" s="4" t="n">
        <v>45657</v>
      </c>
      <c r="E96" t="n">
        <v>25</v>
      </c>
      <c r="F96" t="inlineStr">
        <is>
          <t>Active</t>
        </is>
      </c>
      <c r="G96" t="inlineStr">
        <is>
          <t>Instagram</t>
        </is>
      </c>
      <c r="H96">
        <f>TEXT(C96,"mmm-yyyy")</f>
        <v/>
      </c>
      <c r="I96">
        <f>TEXT(D96,"mmm-yyyy")</f>
        <v/>
      </c>
      <c r="J96">
        <f>_xlfn.XLOOKUP(tbl_subscription[[#This Row],[Customer_ID]],tbl_clint[Customer_ID],tbl_clint[Country])</f>
        <v/>
      </c>
      <c r="K96">
        <f>_xlfn.XLOOKUP(tbl_subscription[[#This Row],[Customer_ID]],tbl_clint[[#This Row],[Customer_ID]],tbl_clint[[#This Row],[Industry]])</f>
        <v/>
      </c>
      <c r="L96">
        <f>_xlfn.XLOOKUP(tbl_subscription[[#This Row],[Customer_ID]],tbl_clint[[#This Row],[Customer_ID]],tbl_clint[[#This Row],[Company_Size]])</f>
        <v/>
      </c>
      <c r="M96">
        <f>YEAR(tbl_subscription[[#This Row],[Start_Date]])</f>
        <v/>
      </c>
    </row>
    <row r="97">
      <c r="A97" t="inlineStr">
        <is>
          <t>C0096</t>
        </is>
      </c>
      <c r="B97" t="inlineStr">
        <is>
          <t>Basic</t>
        </is>
      </c>
      <c r="C97" s="4" t="n">
        <v>44250</v>
      </c>
      <c r="D97" s="4" t="n">
        <v>45657</v>
      </c>
      <c r="E97" t="n">
        <v>15</v>
      </c>
      <c r="F97" t="inlineStr">
        <is>
          <t>Active</t>
        </is>
      </c>
      <c r="G97" t="inlineStr">
        <is>
          <t>Facebook</t>
        </is>
      </c>
      <c r="H97">
        <f>TEXT(C97,"mmm-yyyy")</f>
        <v/>
      </c>
      <c r="I97">
        <f>TEXT(D97,"mmm-yyyy")</f>
        <v/>
      </c>
      <c r="J97">
        <f>_xlfn.XLOOKUP(tbl_subscription[[#This Row],[Customer_ID]],tbl_clint[Customer_ID],tbl_clint[Country])</f>
        <v/>
      </c>
      <c r="K97">
        <f>_xlfn.XLOOKUP(tbl_subscription[[#This Row],[Customer_ID]],tbl_clint[[#This Row],[Customer_ID]],tbl_clint[[#This Row],[Industry]])</f>
        <v/>
      </c>
      <c r="L97">
        <f>_xlfn.XLOOKUP(tbl_subscription[[#This Row],[Customer_ID]],tbl_clint[[#This Row],[Customer_ID]],tbl_clint[[#This Row],[Company_Size]])</f>
        <v/>
      </c>
      <c r="M97">
        <f>YEAR(tbl_subscription[[#This Row],[Start_Date]])</f>
        <v/>
      </c>
    </row>
    <row r="98">
      <c r="A98" t="inlineStr">
        <is>
          <t>C0097</t>
        </is>
      </c>
      <c r="B98" t="inlineStr">
        <is>
          <t>Standard</t>
        </is>
      </c>
      <c r="C98" s="4" t="n">
        <v>44068</v>
      </c>
      <c r="D98" s="4" t="n">
        <v>45657</v>
      </c>
      <c r="E98" t="n">
        <v>25</v>
      </c>
      <c r="F98" t="inlineStr">
        <is>
          <t>Active</t>
        </is>
      </c>
      <c r="G98" t="inlineStr">
        <is>
          <t>Facebook</t>
        </is>
      </c>
      <c r="H98">
        <f>TEXT(C98,"mmm-yyyy")</f>
        <v/>
      </c>
      <c r="I98">
        <f>TEXT(D98,"mmm-yyyy")</f>
        <v/>
      </c>
      <c r="J98">
        <f>_xlfn.XLOOKUP(tbl_subscription[[#This Row],[Customer_ID]],tbl_clint[Customer_ID],tbl_clint[Country])</f>
        <v/>
      </c>
      <c r="K98">
        <f>_xlfn.XLOOKUP(tbl_subscription[[#This Row],[Customer_ID]],tbl_clint[[#This Row],[Customer_ID]],tbl_clint[[#This Row],[Industry]])</f>
        <v/>
      </c>
      <c r="L98">
        <f>_xlfn.XLOOKUP(tbl_subscription[[#This Row],[Customer_ID]],tbl_clint[[#This Row],[Customer_ID]],tbl_clint[[#This Row],[Company_Size]])</f>
        <v/>
      </c>
      <c r="M98">
        <f>YEAR(tbl_subscription[[#This Row],[Start_Date]])</f>
        <v/>
      </c>
    </row>
    <row r="99">
      <c r="A99" t="inlineStr">
        <is>
          <t>C0098</t>
        </is>
      </c>
      <c r="B99" t="inlineStr">
        <is>
          <t>Standard</t>
        </is>
      </c>
      <c r="C99" s="4" t="n">
        <v>45415</v>
      </c>
      <c r="D99" s="4" t="n">
        <v>45657</v>
      </c>
      <c r="E99" t="n">
        <v>25</v>
      </c>
      <c r="F99" t="inlineStr">
        <is>
          <t>Churned</t>
        </is>
      </c>
      <c r="G99" t="inlineStr">
        <is>
          <t>Facebook</t>
        </is>
      </c>
      <c r="H99">
        <f>TEXT(C99,"mmm-yyyy")</f>
        <v/>
      </c>
      <c r="I99">
        <f>TEXT(D99,"mmm-yyyy")</f>
        <v/>
      </c>
      <c r="J99">
        <f>_xlfn.XLOOKUP(tbl_subscription[[#This Row],[Customer_ID]],tbl_clint[Customer_ID],tbl_clint[Country])</f>
        <v/>
      </c>
      <c r="K99">
        <f>_xlfn.XLOOKUP(tbl_subscription[[#This Row],[Customer_ID]],tbl_clint[[#This Row],[Customer_ID]],tbl_clint[[#This Row],[Industry]])</f>
        <v/>
      </c>
      <c r="L99">
        <f>_xlfn.XLOOKUP(tbl_subscription[[#This Row],[Customer_ID]],tbl_clint[[#This Row],[Customer_ID]],tbl_clint[[#This Row],[Company_Size]])</f>
        <v/>
      </c>
      <c r="M99">
        <f>YEAR(tbl_subscription[[#This Row],[Start_Date]])</f>
        <v/>
      </c>
    </row>
    <row r="100">
      <c r="A100" t="inlineStr">
        <is>
          <t>C0099</t>
        </is>
      </c>
      <c r="B100" t="inlineStr">
        <is>
          <t>Basic</t>
        </is>
      </c>
      <c r="C100" s="4" t="n">
        <v>44816</v>
      </c>
      <c r="D100" s="4" t="n">
        <v>45657</v>
      </c>
      <c r="E100" t="n">
        <v>15</v>
      </c>
      <c r="F100" t="inlineStr">
        <is>
          <t>Active</t>
        </is>
      </c>
      <c r="G100" t="inlineStr">
        <is>
          <t>Google</t>
        </is>
      </c>
      <c r="H100">
        <f>TEXT(C100,"mmm-yyyy")</f>
        <v/>
      </c>
      <c r="I100">
        <f>TEXT(D100,"mmm-yyyy")</f>
        <v/>
      </c>
      <c r="J100">
        <f>_xlfn.XLOOKUP(tbl_subscription[[#This Row],[Customer_ID]],tbl_clint[Customer_ID],tbl_clint[Country])</f>
        <v/>
      </c>
      <c r="K100">
        <f>_xlfn.XLOOKUP(tbl_subscription[[#This Row],[Customer_ID]],tbl_clint[[#This Row],[Customer_ID]],tbl_clint[[#This Row],[Industry]])</f>
        <v/>
      </c>
      <c r="L100">
        <f>_xlfn.XLOOKUP(tbl_subscription[[#This Row],[Customer_ID]],tbl_clint[[#This Row],[Customer_ID]],tbl_clint[[#This Row],[Company_Size]])</f>
        <v/>
      </c>
      <c r="M100">
        <f>YEAR(tbl_subscription[[#This Row],[Start_Date]])</f>
        <v/>
      </c>
    </row>
    <row r="101">
      <c r="A101" t="inlineStr">
        <is>
          <t>C0100</t>
        </is>
      </c>
      <c r="B101" t="inlineStr">
        <is>
          <t>Standard</t>
        </is>
      </c>
      <c r="C101" s="4" t="n">
        <v>44057</v>
      </c>
      <c r="D101" s="4" t="n">
        <v>45657</v>
      </c>
      <c r="E101" t="n">
        <v>25</v>
      </c>
      <c r="F101" t="inlineStr">
        <is>
          <t>Active</t>
        </is>
      </c>
      <c r="G101" t="inlineStr">
        <is>
          <t>Instagram</t>
        </is>
      </c>
      <c r="H101">
        <f>TEXT(C101,"mmm-yyyy")</f>
        <v/>
      </c>
      <c r="I101">
        <f>TEXT(D101,"mmm-yyyy")</f>
        <v/>
      </c>
      <c r="J101">
        <f>_xlfn.XLOOKUP(tbl_subscription[[#This Row],[Customer_ID]],tbl_clint[Customer_ID],tbl_clint[Country])</f>
        <v/>
      </c>
      <c r="K101">
        <f>_xlfn.XLOOKUP(tbl_subscription[[#This Row],[Customer_ID]],tbl_clint[[#This Row],[Customer_ID]],tbl_clint[[#This Row],[Industry]])</f>
        <v/>
      </c>
      <c r="L101">
        <f>_xlfn.XLOOKUP(tbl_subscription[[#This Row],[Customer_ID]],tbl_clint[[#This Row],[Customer_ID]],tbl_clint[[#This Row],[Company_Size]])</f>
        <v/>
      </c>
      <c r="M101">
        <f>YEAR(tbl_subscription[[#This Row],[Start_Date]])</f>
        <v/>
      </c>
    </row>
    <row r="102">
      <c r="A102" t="inlineStr">
        <is>
          <t>C0101</t>
        </is>
      </c>
      <c r="B102" t="inlineStr">
        <is>
          <t>Premium</t>
        </is>
      </c>
      <c r="C102" s="4" t="n">
        <v>44048</v>
      </c>
      <c r="D102" s="4" t="n">
        <v>45657</v>
      </c>
      <c r="E102" t="n">
        <v>40</v>
      </c>
      <c r="F102" t="inlineStr">
        <is>
          <t>Active</t>
        </is>
      </c>
      <c r="G102" t="inlineStr">
        <is>
          <t>Facebook</t>
        </is>
      </c>
      <c r="H102">
        <f>TEXT(C102,"mmm-yyyy")</f>
        <v/>
      </c>
      <c r="I102">
        <f>TEXT(D102,"mmm-yyyy")</f>
        <v/>
      </c>
      <c r="J102">
        <f>_xlfn.XLOOKUP(tbl_subscription[[#This Row],[Customer_ID]],tbl_clint[Customer_ID],tbl_clint[Country])</f>
        <v/>
      </c>
      <c r="K102">
        <f>_xlfn.XLOOKUP(tbl_subscription[[#This Row],[Customer_ID]],tbl_clint[[#This Row],[Customer_ID]],tbl_clint[[#This Row],[Industry]])</f>
        <v/>
      </c>
      <c r="L102">
        <f>_xlfn.XLOOKUP(tbl_subscription[[#This Row],[Customer_ID]],tbl_clint[[#This Row],[Customer_ID]],tbl_clint[[#This Row],[Company_Size]])</f>
        <v/>
      </c>
      <c r="M102">
        <f>YEAR(tbl_subscription[[#This Row],[Start_Date]])</f>
        <v/>
      </c>
    </row>
    <row r="103">
      <c r="A103" t="inlineStr">
        <is>
          <t>C0102</t>
        </is>
      </c>
      <c r="B103" t="inlineStr">
        <is>
          <t>Premium</t>
        </is>
      </c>
      <c r="C103" s="4" t="n">
        <v>45278</v>
      </c>
      <c r="D103" s="4" t="n">
        <v>45657</v>
      </c>
      <c r="E103" t="n">
        <v>40</v>
      </c>
      <c r="F103" t="inlineStr">
        <is>
          <t>Active</t>
        </is>
      </c>
      <c r="G103" t="inlineStr">
        <is>
          <t>Referral</t>
        </is>
      </c>
      <c r="H103">
        <f>TEXT(C103,"mmm-yyyy")</f>
        <v/>
      </c>
      <c r="I103">
        <f>TEXT(D103,"mmm-yyyy")</f>
        <v/>
      </c>
      <c r="J103">
        <f>_xlfn.XLOOKUP(tbl_subscription[[#This Row],[Customer_ID]],tbl_clint[Customer_ID],tbl_clint[Country])</f>
        <v/>
      </c>
      <c r="K103">
        <f>_xlfn.XLOOKUP(tbl_subscription[[#This Row],[Customer_ID]],tbl_clint[[#This Row],[Customer_ID]],tbl_clint[[#This Row],[Industry]])</f>
        <v/>
      </c>
      <c r="L103">
        <f>_xlfn.XLOOKUP(tbl_subscription[[#This Row],[Customer_ID]],tbl_clint[[#This Row],[Customer_ID]],tbl_clint[[#This Row],[Company_Size]])</f>
        <v/>
      </c>
      <c r="M103">
        <f>YEAR(tbl_subscription[[#This Row],[Start_Date]])</f>
        <v/>
      </c>
    </row>
    <row r="104">
      <c r="A104" t="inlineStr">
        <is>
          <t>C0103</t>
        </is>
      </c>
      <c r="B104" t="inlineStr">
        <is>
          <t>Standard</t>
        </is>
      </c>
      <c r="C104" s="4" t="n">
        <v>44265</v>
      </c>
      <c r="D104" s="4" t="n">
        <v>44455</v>
      </c>
      <c r="E104" t="n">
        <v>25</v>
      </c>
      <c r="F104" t="inlineStr">
        <is>
          <t>Churned</t>
        </is>
      </c>
      <c r="G104" t="inlineStr">
        <is>
          <t>Google</t>
        </is>
      </c>
      <c r="H104">
        <f>TEXT(C104,"mmm-yyyy")</f>
        <v/>
      </c>
      <c r="I104">
        <f>TEXT(D104,"mmm-yyyy")</f>
        <v/>
      </c>
      <c r="J104">
        <f>_xlfn.XLOOKUP(tbl_subscription[[#This Row],[Customer_ID]],tbl_clint[Customer_ID],tbl_clint[Country])</f>
        <v/>
      </c>
      <c r="K104">
        <f>_xlfn.XLOOKUP(tbl_subscription[[#This Row],[Customer_ID]],tbl_clint[[#This Row],[Customer_ID]],tbl_clint[[#This Row],[Industry]])</f>
        <v/>
      </c>
      <c r="L104">
        <f>_xlfn.XLOOKUP(tbl_subscription[[#This Row],[Customer_ID]],tbl_clint[[#This Row],[Customer_ID]],tbl_clint[[#This Row],[Company_Size]])</f>
        <v/>
      </c>
      <c r="M104">
        <f>YEAR(tbl_subscription[[#This Row],[Start_Date]])</f>
        <v/>
      </c>
    </row>
    <row r="105">
      <c r="A105" t="inlineStr">
        <is>
          <t>C0104</t>
        </is>
      </c>
      <c r="B105" t="inlineStr">
        <is>
          <t>Premium</t>
        </is>
      </c>
      <c r="C105" s="4" t="n">
        <v>45371</v>
      </c>
      <c r="D105" s="4" t="n">
        <v>45657</v>
      </c>
      <c r="E105" t="n">
        <v>40</v>
      </c>
      <c r="F105" t="inlineStr">
        <is>
          <t>Active</t>
        </is>
      </c>
      <c r="G105" t="inlineStr">
        <is>
          <t>Facebook</t>
        </is>
      </c>
      <c r="H105">
        <f>TEXT(C105,"mmm-yyyy")</f>
        <v/>
      </c>
      <c r="I105">
        <f>TEXT(D105,"mmm-yyyy")</f>
        <v/>
      </c>
      <c r="J105">
        <f>_xlfn.XLOOKUP(tbl_subscription[[#This Row],[Customer_ID]],tbl_clint[Customer_ID],tbl_clint[Country])</f>
        <v/>
      </c>
      <c r="K105">
        <f>_xlfn.XLOOKUP(tbl_subscription[[#This Row],[Customer_ID]],tbl_clint[[#This Row],[Customer_ID]],tbl_clint[[#This Row],[Industry]])</f>
        <v/>
      </c>
      <c r="L105">
        <f>_xlfn.XLOOKUP(tbl_subscription[[#This Row],[Customer_ID]],tbl_clint[[#This Row],[Customer_ID]],tbl_clint[[#This Row],[Company_Size]])</f>
        <v/>
      </c>
      <c r="M105">
        <f>YEAR(tbl_subscription[[#This Row],[Start_Date]])</f>
        <v/>
      </c>
    </row>
    <row r="106">
      <c r="A106" t="inlineStr">
        <is>
          <t>C0105</t>
        </is>
      </c>
      <c r="B106" t="inlineStr">
        <is>
          <t>Standard</t>
        </is>
      </c>
      <c r="C106" s="4" t="n">
        <v>43955</v>
      </c>
      <c r="D106" s="4" t="n">
        <v>45657</v>
      </c>
      <c r="E106" t="n">
        <v>25</v>
      </c>
      <c r="F106" t="inlineStr">
        <is>
          <t>Active</t>
        </is>
      </c>
      <c r="G106" t="inlineStr">
        <is>
          <t>Facebook</t>
        </is>
      </c>
      <c r="H106">
        <f>TEXT(C106,"mmm-yyyy")</f>
        <v/>
      </c>
      <c r="I106">
        <f>TEXT(D106,"mmm-yyyy")</f>
        <v/>
      </c>
      <c r="J106">
        <f>_xlfn.XLOOKUP(tbl_subscription[[#This Row],[Customer_ID]],tbl_clint[Customer_ID],tbl_clint[Country])</f>
        <v/>
      </c>
      <c r="K106">
        <f>_xlfn.XLOOKUP(tbl_subscription[[#This Row],[Customer_ID]],tbl_clint[[#This Row],[Customer_ID]],tbl_clint[[#This Row],[Industry]])</f>
        <v/>
      </c>
      <c r="L106">
        <f>_xlfn.XLOOKUP(tbl_subscription[[#This Row],[Customer_ID]],tbl_clint[[#This Row],[Customer_ID]],tbl_clint[[#This Row],[Company_Size]])</f>
        <v/>
      </c>
      <c r="M106">
        <f>YEAR(tbl_subscription[[#This Row],[Start_Date]])</f>
        <v/>
      </c>
    </row>
    <row r="107">
      <c r="A107" t="inlineStr">
        <is>
          <t>C0106</t>
        </is>
      </c>
      <c r="B107" t="inlineStr">
        <is>
          <t>Standard</t>
        </is>
      </c>
      <c r="C107" s="4" t="n">
        <v>45460</v>
      </c>
      <c r="D107" s="4" t="n">
        <v>45657</v>
      </c>
      <c r="E107" t="n">
        <v>25</v>
      </c>
      <c r="F107" t="inlineStr">
        <is>
          <t>Churned</t>
        </is>
      </c>
      <c r="G107" t="inlineStr">
        <is>
          <t>Instagram</t>
        </is>
      </c>
      <c r="H107">
        <f>TEXT(C107,"mmm-yyyy")</f>
        <v/>
      </c>
      <c r="I107">
        <f>TEXT(D107,"mmm-yyyy")</f>
        <v/>
      </c>
      <c r="J107">
        <f>_xlfn.XLOOKUP(tbl_subscription[[#This Row],[Customer_ID]],tbl_clint[Customer_ID],tbl_clint[Country])</f>
        <v/>
      </c>
      <c r="K107">
        <f>_xlfn.XLOOKUP(tbl_subscription[[#This Row],[Customer_ID]],tbl_clint[[#This Row],[Customer_ID]],tbl_clint[[#This Row],[Industry]])</f>
        <v/>
      </c>
      <c r="L107">
        <f>_xlfn.XLOOKUP(tbl_subscription[[#This Row],[Customer_ID]],tbl_clint[[#This Row],[Customer_ID]],tbl_clint[[#This Row],[Company_Size]])</f>
        <v/>
      </c>
      <c r="M107">
        <f>YEAR(tbl_subscription[[#This Row],[Start_Date]])</f>
        <v/>
      </c>
    </row>
    <row r="108">
      <c r="A108" t="inlineStr">
        <is>
          <t>C0107</t>
        </is>
      </c>
      <c r="B108" t="inlineStr">
        <is>
          <t>Premium</t>
        </is>
      </c>
      <c r="C108" s="4" t="n">
        <v>44146</v>
      </c>
      <c r="D108" s="4" t="n">
        <v>44239</v>
      </c>
      <c r="E108" t="n">
        <v>40</v>
      </c>
      <c r="F108" t="inlineStr">
        <is>
          <t>Churned</t>
        </is>
      </c>
      <c r="G108" t="inlineStr">
        <is>
          <t>Google</t>
        </is>
      </c>
      <c r="H108">
        <f>TEXT(C108,"mmm-yyyy")</f>
        <v/>
      </c>
      <c r="I108">
        <f>TEXT(D108,"mmm-yyyy")</f>
        <v/>
      </c>
      <c r="J108">
        <f>_xlfn.XLOOKUP(tbl_subscription[[#This Row],[Customer_ID]],tbl_clint[Customer_ID],tbl_clint[Country])</f>
        <v/>
      </c>
      <c r="K108">
        <f>_xlfn.XLOOKUP(tbl_subscription[[#This Row],[Customer_ID]],tbl_clint[[#This Row],[Customer_ID]],tbl_clint[[#This Row],[Industry]])</f>
        <v/>
      </c>
      <c r="L108">
        <f>_xlfn.XLOOKUP(tbl_subscription[[#This Row],[Customer_ID]],tbl_clint[[#This Row],[Customer_ID]],tbl_clint[[#This Row],[Company_Size]])</f>
        <v/>
      </c>
      <c r="M108">
        <f>YEAR(tbl_subscription[[#This Row],[Start_Date]])</f>
        <v/>
      </c>
    </row>
    <row r="109">
      <c r="A109" t="inlineStr">
        <is>
          <t>C0108</t>
        </is>
      </c>
      <c r="B109" t="inlineStr">
        <is>
          <t>Premium</t>
        </is>
      </c>
      <c r="C109" s="4" t="n">
        <v>44586</v>
      </c>
      <c r="D109" s="4" t="n">
        <v>45657</v>
      </c>
      <c r="E109" t="n">
        <v>40</v>
      </c>
      <c r="F109" t="inlineStr">
        <is>
          <t>Active</t>
        </is>
      </c>
      <c r="G109" t="inlineStr">
        <is>
          <t>Referral</t>
        </is>
      </c>
      <c r="H109">
        <f>TEXT(C109,"mmm-yyyy")</f>
        <v/>
      </c>
      <c r="I109">
        <f>TEXT(D109,"mmm-yyyy")</f>
        <v/>
      </c>
      <c r="J109">
        <f>_xlfn.XLOOKUP(tbl_subscription[[#This Row],[Customer_ID]],tbl_clint[Customer_ID],tbl_clint[Country])</f>
        <v/>
      </c>
      <c r="K109">
        <f>_xlfn.XLOOKUP(tbl_subscription[[#This Row],[Customer_ID]],tbl_clint[[#This Row],[Customer_ID]],tbl_clint[[#This Row],[Industry]])</f>
        <v/>
      </c>
      <c r="L109">
        <f>_xlfn.XLOOKUP(tbl_subscription[[#This Row],[Customer_ID]],tbl_clint[[#This Row],[Customer_ID]],tbl_clint[[#This Row],[Company_Size]])</f>
        <v/>
      </c>
      <c r="M109">
        <f>YEAR(tbl_subscription[[#This Row],[Start_Date]])</f>
        <v/>
      </c>
    </row>
    <row r="110">
      <c r="A110" t="inlineStr">
        <is>
          <t>C0109</t>
        </is>
      </c>
      <c r="B110" t="inlineStr">
        <is>
          <t>Basic</t>
        </is>
      </c>
      <c r="C110" s="4" t="n">
        <v>44521</v>
      </c>
      <c r="D110" s="4" t="n">
        <v>45657</v>
      </c>
      <c r="E110" t="n">
        <v>15</v>
      </c>
      <c r="F110" t="inlineStr">
        <is>
          <t>Active</t>
        </is>
      </c>
      <c r="G110" t="inlineStr">
        <is>
          <t>Facebook</t>
        </is>
      </c>
      <c r="H110">
        <f>TEXT(C110,"mmm-yyyy")</f>
        <v/>
      </c>
      <c r="I110">
        <f>TEXT(D110,"mmm-yyyy")</f>
        <v/>
      </c>
      <c r="J110">
        <f>_xlfn.XLOOKUP(tbl_subscription[[#This Row],[Customer_ID]],tbl_clint[Customer_ID],tbl_clint[Country])</f>
        <v/>
      </c>
      <c r="K110">
        <f>_xlfn.XLOOKUP(tbl_subscription[[#This Row],[Customer_ID]],tbl_clint[[#This Row],[Customer_ID]],tbl_clint[[#This Row],[Industry]])</f>
        <v/>
      </c>
      <c r="L110">
        <f>_xlfn.XLOOKUP(tbl_subscription[[#This Row],[Customer_ID]],tbl_clint[[#This Row],[Customer_ID]],tbl_clint[[#This Row],[Company_Size]])</f>
        <v/>
      </c>
      <c r="M110">
        <f>YEAR(tbl_subscription[[#This Row],[Start_Date]])</f>
        <v/>
      </c>
    </row>
    <row r="111">
      <c r="A111" t="inlineStr">
        <is>
          <t>C0110</t>
        </is>
      </c>
      <c r="B111" t="inlineStr">
        <is>
          <t>Premium</t>
        </is>
      </c>
      <c r="C111" s="4" t="n">
        <v>45031</v>
      </c>
      <c r="D111" s="4" t="n">
        <v>45657</v>
      </c>
      <c r="E111" t="n">
        <v>40</v>
      </c>
      <c r="F111" t="inlineStr">
        <is>
          <t>Active</t>
        </is>
      </c>
      <c r="G111" t="inlineStr">
        <is>
          <t>Instagram</t>
        </is>
      </c>
      <c r="H111">
        <f>TEXT(C111,"mmm-yyyy")</f>
        <v/>
      </c>
      <c r="I111">
        <f>TEXT(D111,"mmm-yyyy")</f>
        <v/>
      </c>
      <c r="J111">
        <f>_xlfn.XLOOKUP(tbl_subscription[[#This Row],[Customer_ID]],tbl_clint[Customer_ID],tbl_clint[Country])</f>
        <v/>
      </c>
      <c r="K111">
        <f>_xlfn.XLOOKUP(tbl_subscription[[#This Row],[Customer_ID]],tbl_clint[[#This Row],[Customer_ID]],tbl_clint[[#This Row],[Industry]])</f>
        <v/>
      </c>
      <c r="L111">
        <f>_xlfn.XLOOKUP(tbl_subscription[[#This Row],[Customer_ID]],tbl_clint[[#This Row],[Customer_ID]],tbl_clint[[#This Row],[Company_Size]])</f>
        <v/>
      </c>
      <c r="M111">
        <f>YEAR(tbl_subscription[[#This Row],[Start_Date]])</f>
        <v/>
      </c>
    </row>
    <row r="112">
      <c r="A112" t="inlineStr">
        <is>
          <t>C0111</t>
        </is>
      </c>
      <c r="B112" t="inlineStr">
        <is>
          <t>Standard</t>
        </is>
      </c>
      <c r="C112" s="4" t="n">
        <v>44906</v>
      </c>
      <c r="D112" s="4" t="n">
        <v>45169</v>
      </c>
      <c r="E112" t="n">
        <v>25</v>
      </c>
      <c r="F112" t="inlineStr">
        <is>
          <t>Churned</t>
        </is>
      </c>
      <c r="G112" t="inlineStr">
        <is>
          <t>Instagram</t>
        </is>
      </c>
      <c r="H112">
        <f>TEXT(C112,"mmm-yyyy")</f>
        <v/>
      </c>
      <c r="I112">
        <f>TEXT(D112,"mmm-yyyy")</f>
        <v/>
      </c>
      <c r="J112">
        <f>_xlfn.XLOOKUP(tbl_subscription[[#This Row],[Customer_ID]],tbl_clint[Customer_ID],tbl_clint[Country])</f>
        <v/>
      </c>
      <c r="K112">
        <f>_xlfn.XLOOKUP(tbl_subscription[[#This Row],[Customer_ID]],tbl_clint[[#This Row],[Customer_ID]],tbl_clint[[#This Row],[Industry]])</f>
        <v/>
      </c>
      <c r="L112">
        <f>_xlfn.XLOOKUP(tbl_subscription[[#This Row],[Customer_ID]],tbl_clint[[#This Row],[Customer_ID]],tbl_clint[[#This Row],[Company_Size]])</f>
        <v/>
      </c>
      <c r="M112">
        <f>YEAR(tbl_subscription[[#This Row],[Start_Date]])</f>
        <v/>
      </c>
    </row>
    <row r="113">
      <c r="A113" t="inlineStr">
        <is>
          <t>C0112</t>
        </is>
      </c>
      <c r="B113" t="inlineStr">
        <is>
          <t>Basic</t>
        </is>
      </c>
      <c r="C113" s="4" t="n">
        <v>45163</v>
      </c>
      <c r="D113" s="4" t="n">
        <v>45553</v>
      </c>
      <c r="E113" t="n">
        <v>15</v>
      </c>
      <c r="F113" t="inlineStr">
        <is>
          <t>Churned</t>
        </is>
      </c>
      <c r="G113" t="inlineStr">
        <is>
          <t>Referral</t>
        </is>
      </c>
      <c r="H113">
        <f>TEXT(C113,"mmm-yyyy")</f>
        <v/>
      </c>
      <c r="I113">
        <f>TEXT(D113,"mmm-yyyy")</f>
        <v/>
      </c>
      <c r="J113">
        <f>_xlfn.XLOOKUP(tbl_subscription[[#This Row],[Customer_ID]],tbl_clint[Customer_ID],tbl_clint[Country])</f>
        <v/>
      </c>
      <c r="K113">
        <f>_xlfn.XLOOKUP(tbl_subscription[[#This Row],[Customer_ID]],tbl_clint[[#This Row],[Customer_ID]],tbl_clint[[#This Row],[Industry]])</f>
        <v/>
      </c>
      <c r="L113">
        <f>_xlfn.XLOOKUP(tbl_subscription[[#This Row],[Customer_ID]],tbl_clint[[#This Row],[Customer_ID]],tbl_clint[[#This Row],[Company_Size]])</f>
        <v/>
      </c>
      <c r="M113">
        <f>YEAR(tbl_subscription[[#This Row],[Start_Date]])</f>
        <v/>
      </c>
    </row>
    <row r="114">
      <c r="A114" t="inlineStr">
        <is>
          <t>C0113</t>
        </is>
      </c>
      <c r="B114" t="inlineStr">
        <is>
          <t>Standard</t>
        </is>
      </c>
      <c r="C114" s="4" t="n">
        <v>45390</v>
      </c>
      <c r="D114" s="4" t="n">
        <v>45657</v>
      </c>
      <c r="E114" t="n">
        <v>25</v>
      </c>
      <c r="F114" t="inlineStr">
        <is>
          <t>Churned</t>
        </is>
      </c>
      <c r="G114" t="inlineStr">
        <is>
          <t>Google</t>
        </is>
      </c>
      <c r="H114">
        <f>TEXT(C114,"mmm-yyyy")</f>
        <v/>
      </c>
      <c r="I114">
        <f>TEXT(D114,"mmm-yyyy")</f>
        <v/>
      </c>
      <c r="J114">
        <f>_xlfn.XLOOKUP(tbl_subscription[[#This Row],[Customer_ID]],tbl_clint[Customer_ID],tbl_clint[Country])</f>
        <v/>
      </c>
      <c r="K114">
        <f>_xlfn.XLOOKUP(tbl_subscription[[#This Row],[Customer_ID]],tbl_clint[[#This Row],[Customer_ID]],tbl_clint[[#This Row],[Industry]])</f>
        <v/>
      </c>
      <c r="L114">
        <f>_xlfn.XLOOKUP(tbl_subscription[[#This Row],[Customer_ID]],tbl_clint[[#This Row],[Customer_ID]],tbl_clint[[#This Row],[Company_Size]])</f>
        <v/>
      </c>
      <c r="M114">
        <f>YEAR(tbl_subscription[[#This Row],[Start_Date]])</f>
        <v/>
      </c>
    </row>
    <row r="115">
      <c r="A115" t="inlineStr">
        <is>
          <t>C0114</t>
        </is>
      </c>
      <c r="B115" t="inlineStr">
        <is>
          <t>Standard</t>
        </is>
      </c>
      <c r="C115" s="4" t="n">
        <v>43931</v>
      </c>
      <c r="D115" s="4" t="n">
        <v>45657</v>
      </c>
      <c r="E115" t="n">
        <v>25</v>
      </c>
      <c r="F115" t="inlineStr">
        <is>
          <t>Active</t>
        </is>
      </c>
      <c r="G115" t="inlineStr">
        <is>
          <t>Facebook</t>
        </is>
      </c>
      <c r="H115">
        <f>TEXT(C115,"mmm-yyyy")</f>
        <v/>
      </c>
      <c r="I115">
        <f>TEXT(D115,"mmm-yyyy")</f>
        <v/>
      </c>
      <c r="J115">
        <f>_xlfn.XLOOKUP(tbl_subscription[[#This Row],[Customer_ID]],tbl_clint[Customer_ID],tbl_clint[Country])</f>
        <v/>
      </c>
      <c r="K115">
        <f>_xlfn.XLOOKUP(tbl_subscription[[#This Row],[Customer_ID]],tbl_clint[[#This Row],[Customer_ID]],tbl_clint[[#This Row],[Industry]])</f>
        <v/>
      </c>
      <c r="L115">
        <f>_xlfn.XLOOKUP(tbl_subscription[[#This Row],[Customer_ID]],tbl_clint[[#This Row],[Customer_ID]],tbl_clint[[#This Row],[Company_Size]])</f>
        <v/>
      </c>
      <c r="M115">
        <f>YEAR(tbl_subscription[[#This Row],[Start_Date]])</f>
        <v/>
      </c>
    </row>
    <row r="116">
      <c r="A116" t="inlineStr">
        <is>
          <t>C0115</t>
        </is>
      </c>
      <c r="B116" t="inlineStr">
        <is>
          <t>Premium</t>
        </is>
      </c>
      <c r="C116" s="4" t="n">
        <v>44141</v>
      </c>
      <c r="D116" s="4" t="n">
        <v>45657</v>
      </c>
      <c r="E116" t="n">
        <v>40</v>
      </c>
      <c r="F116" t="inlineStr">
        <is>
          <t>Active</t>
        </is>
      </c>
      <c r="G116" t="inlineStr">
        <is>
          <t>Referral</t>
        </is>
      </c>
      <c r="H116">
        <f>TEXT(C116,"mmm-yyyy")</f>
        <v/>
      </c>
      <c r="I116">
        <f>TEXT(D116,"mmm-yyyy")</f>
        <v/>
      </c>
      <c r="J116">
        <f>_xlfn.XLOOKUP(tbl_subscription[[#This Row],[Customer_ID]],tbl_clint[Customer_ID],tbl_clint[Country])</f>
        <v/>
      </c>
      <c r="K116">
        <f>_xlfn.XLOOKUP(tbl_subscription[[#This Row],[Customer_ID]],tbl_clint[[#This Row],[Customer_ID]],tbl_clint[[#This Row],[Industry]])</f>
        <v/>
      </c>
      <c r="L116">
        <f>_xlfn.XLOOKUP(tbl_subscription[[#This Row],[Customer_ID]],tbl_clint[[#This Row],[Customer_ID]],tbl_clint[[#This Row],[Company_Size]])</f>
        <v/>
      </c>
      <c r="M116">
        <f>YEAR(tbl_subscription[[#This Row],[Start_Date]])</f>
        <v/>
      </c>
    </row>
    <row r="117">
      <c r="A117" t="inlineStr">
        <is>
          <t>C0116</t>
        </is>
      </c>
      <c r="B117" t="inlineStr">
        <is>
          <t>Premium</t>
        </is>
      </c>
      <c r="C117" s="4" t="n">
        <v>44413</v>
      </c>
      <c r="D117" s="4" t="n">
        <v>45657</v>
      </c>
      <c r="E117" t="n">
        <v>40</v>
      </c>
      <c r="F117" t="inlineStr">
        <is>
          <t>Active</t>
        </is>
      </c>
      <c r="G117" t="inlineStr">
        <is>
          <t>Facebook</t>
        </is>
      </c>
      <c r="H117">
        <f>TEXT(C117,"mmm-yyyy")</f>
        <v/>
      </c>
      <c r="I117">
        <f>TEXT(D117,"mmm-yyyy")</f>
        <v/>
      </c>
      <c r="J117">
        <f>_xlfn.XLOOKUP(tbl_subscription[[#This Row],[Customer_ID]],tbl_clint[Customer_ID],tbl_clint[Country])</f>
        <v/>
      </c>
      <c r="K117">
        <f>_xlfn.XLOOKUP(tbl_subscription[[#This Row],[Customer_ID]],tbl_clint[[#This Row],[Customer_ID]],tbl_clint[[#This Row],[Industry]])</f>
        <v/>
      </c>
      <c r="L117">
        <f>_xlfn.XLOOKUP(tbl_subscription[[#This Row],[Customer_ID]],tbl_clint[[#This Row],[Customer_ID]],tbl_clint[[#This Row],[Company_Size]])</f>
        <v/>
      </c>
      <c r="M117">
        <f>YEAR(tbl_subscription[[#This Row],[Start_Date]])</f>
        <v/>
      </c>
    </row>
    <row r="118">
      <c r="A118" t="inlineStr">
        <is>
          <t>C0117</t>
        </is>
      </c>
      <c r="B118" t="inlineStr">
        <is>
          <t>Standard</t>
        </is>
      </c>
      <c r="C118" s="4" t="n">
        <v>45370</v>
      </c>
      <c r="D118" s="4" t="n">
        <v>45657</v>
      </c>
      <c r="E118" t="n">
        <v>25</v>
      </c>
      <c r="F118" t="inlineStr">
        <is>
          <t>Churned</t>
        </is>
      </c>
      <c r="G118" t="inlineStr">
        <is>
          <t>Google</t>
        </is>
      </c>
      <c r="H118">
        <f>TEXT(C118,"mmm-yyyy")</f>
        <v/>
      </c>
      <c r="I118">
        <f>TEXT(D118,"mmm-yyyy")</f>
        <v/>
      </c>
      <c r="J118">
        <f>_xlfn.XLOOKUP(tbl_subscription[[#This Row],[Customer_ID]],tbl_clint[Customer_ID],tbl_clint[Country])</f>
        <v/>
      </c>
      <c r="K118">
        <f>_xlfn.XLOOKUP(tbl_subscription[[#This Row],[Customer_ID]],tbl_clint[[#This Row],[Customer_ID]],tbl_clint[[#This Row],[Industry]])</f>
        <v/>
      </c>
      <c r="L118">
        <f>_xlfn.XLOOKUP(tbl_subscription[[#This Row],[Customer_ID]],tbl_clint[[#This Row],[Customer_ID]],tbl_clint[[#This Row],[Company_Size]])</f>
        <v/>
      </c>
      <c r="M118">
        <f>YEAR(tbl_subscription[[#This Row],[Start_Date]])</f>
        <v/>
      </c>
    </row>
    <row r="119">
      <c r="A119" t="inlineStr">
        <is>
          <t>C0118</t>
        </is>
      </c>
      <c r="B119" t="inlineStr">
        <is>
          <t>Standard</t>
        </is>
      </c>
      <c r="C119" s="4" t="n">
        <v>45395</v>
      </c>
      <c r="D119" s="4" t="n">
        <v>45657</v>
      </c>
      <c r="E119" t="n">
        <v>25</v>
      </c>
      <c r="F119" t="inlineStr">
        <is>
          <t>Churned</t>
        </is>
      </c>
      <c r="G119" t="inlineStr">
        <is>
          <t>Instagram</t>
        </is>
      </c>
      <c r="H119">
        <f>TEXT(C119,"mmm-yyyy")</f>
        <v/>
      </c>
      <c r="I119">
        <f>TEXT(D119,"mmm-yyyy")</f>
        <v/>
      </c>
      <c r="J119">
        <f>_xlfn.XLOOKUP(tbl_subscription[[#This Row],[Customer_ID]],tbl_clint[Customer_ID],tbl_clint[Country])</f>
        <v/>
      </c>
      <c r="K119">
        <f>_xlfn.XLOOKUP(tbl_subscription[[#This Row],[Customer_ID]],tbl_clint[[#This Row],[Customer_ID]],tbl_clint[[#This Row],[Industry]])</f>
        <v/>
      </c>
      <c r="L119">
        <f>_xlfn.XLOOKUP(tbl_subscription[[#This Row],[Customer_ID]],tbl_clint[[#This Row],[Customer_ID]],tbl_clint[[#This Row],[Company_Size]])</f>
        <v/>
      </c>
      <c r="M119">
        <f>YEAR(tbl_subscription[[#This Row],[Start_Date]])</f>
        <v/>
      </c>
    </row>
    <row r="120">
      <c r="A120" t="inlineStr">
        <is>
          <t>C0119</t>
        </is>
      </c>
      <c r="B120" t="inlineStr">
        <is>
          <t>Standard</t>
        </is>
      </c>
      <c r="C120" s="4" t="n">
        <v>45263</v>
      </c>
      <c r="D120" s="4" t="n">
        <v>45657</v>
      </c>
      <c r="E120" t="n">
        <v>25</v>
      </c>
      <c r="F120" t="inlineStr">
        <is>
          <t>Active</t>
        </is>
      </c>
      <c r="G120" t="inlineStr">
        <is>
          <t>Instagram</t>
        </is>
      </c>
      <c r="H120">
        <f>TEXT(C120,"mmm-yyyy")</f>
        <v/>
      </c>
      <c r="I120">
        <f>TEXT(D120,"mmm-yyyy")</f>
        <v/>
      </c>
      <c r="J120">
        <f>_xlfn.XLOOKUP(tbl_subscription[[#This Row],[Customer_ID]],tbl_clint[Customer_ID],tbl_clint[Country])</f>
        <v/>
      </c>
      <c r="K120">
        <f>_xlfn.XLOOKUP(tbl_subscription[[#This Row],[Customer_ID]],tbl_clint[[#This Row],[Customer_ID]],tbl_clint[[#This Row],[Industry]])</f>
        <v/>
      </c>
      <c r="L120">
        <f>_xlfn.XLOOKUP(tbl_subscription[[#This Row],[Customer_ID]],tbl_clint[[#This Row],[Customer_ID]],tbl_clint[[#This Row],[Company_Size]])</f>
        <v/>
      </c>
      <c r="M120">
        <f>YEAR(tbl_subscription[[#This Row],[Start_Date]])</f>
        <v/>
      </c>
    </row>
    <row r="121">
      <c r="A121" t="inlineStr">
        <is>
          <t>C0120</t>
        </is>
      </c>
      <c r="B121" t="inlineStr">
        <is>
          <t>Standard</t>
        </is>
      </c>
      <c r="C121" s="4" t="n">
        <v>44971</v>
      </c>
      <c r="D121" s="4" t="n">
        <v>45657</v>
      </c>
      <c r="E121" t="n">
        <v>25</v>
      </c>
      <c r="F121" t="inlineStr">
        <is>
          <t>Active</t>
        </is>
      </c>
      <c r="G121" t="inlineStr">
        <is>
          <t>Referral</t>
        </is>
      </c>
      <c r="H121">
        <f>TEXT(C121,"mmm-yyyy")</f>
        <v/>
      </c>
      <c r="I121">
        <f>TEXT(D121,"mmm-yyyy")</f>
        <v/>
      </c>
      <c r="J121">
        <f>_xlfn.XLOOKUP(tbl_subscription[[#This Row],[Customer_ID]],tbl_clint[Customer_ID],tbl_clint[Country])</f>
        <v/>
      </c>
      <c r="K121">
        <f>_xlfn.XLOOKUP(tbl_subscription[[#This Row],[Customer_ID]],tbl_clint[[#This Row],[Customer_ID]],tbl_clint[[#This Row],[Industry]])</f>
        <v/>
      </c>
      <c r="L121">
        <f>_xlfn.XLOOKUP(tbl_subscription[[#This Row],[Customer_ID]],tbl_clint[[#This Row],[Customer_ID]],tbl_clint[[#This Row],[Company_Size]])</f>
        <v/>
      </c>
      <c r="M121">
        <f>YEAR(tbl_subscription[[#This Row],[Start_Date]])</f>
        <v/>
      </c>
    </row>
    <row r="122">
      <c r="A122" t="inlineStr">
        <is>
          <t>C0121</t>
        </is>
      </c>
      <c r="B122" t="inlineStr">
        <is>
          <t>Premium</t>
        </is>
      </c>
      <c r="C122" s="4" t="n">
        <v>44353</v>
      </c>
      <c r="D122" s="4" t="n">
        <v>45657</v>
      </c>
      <c r="E122" t="n">
        <v>40</v>
      </c>
      <c r="F122" t="inlineStr">
        <is>
          <t>Active</t>
        </is>
      </c>
      <c r="G122" t="inlineStr">
        <is>
          <t>Facebook</t>
        </is>
      </c>
      <c r="H122">
        <f>TEXT(C122,"mmm-yyyy")</f>
        <v/>
      </c>
      <c r="I122">
        <f>TEXT(D122,"mmm-yyyy")</f>
        <v/>
      </c>
      <c r="J122">
        <f>_xlfn.XLOOKUP(tbl_subscription[[#This Row],[Customer_ID]],tbl_clint[Customer_ID],tbl_clint[Country])</f>
        <v/>
      </c>
      <c r="K122">
        <f>_xlfn.XLOOKUP(tbl_subscription[[#This Row],[Customer_ID]],tbl_clint[[#This Row],[Customer_ID]],tbl_clint[[#This Row],[Industry]])</f>
        <v/>
      </c>
      <c r="L122">
        <f>_xlfn.XLOOKUP(tbl_subscription[[#This Row],[Customer_ID]],tbl_clint[[#This Row],[Customer_ID]],tbl_clint[[#This Row],[Company_Size]])</f>
        <v/>
      </c>
      <c r="M122">
        <f>YEAR(tbl_subscription[[#This Row],[Start_Date]])</f>
        <v/>
      </c>
    </row>
    <row r="123">
      <c r="A123" t="inlineStr">
        <is>
          <t>C0122</t>
        </is>
      </c>
      <c r="B123" t="inlineStr">
        <is>
          <t>Premium</t>
        </is>
      </c>
      <c r="C123" s="4" t="n">
        <v>45052</v>
      </c>
      <c r="D123" s="4" t="n">
        <v>45657</v>
      </c>
      <c r="E123" t="n">
        <v>40</v>
      </c>
      <c r="F123" t="inlineStr">
        <is>
          <t>Active</t>
        </is>
      </c>
      <c r="G123" t="inlineStr">
        <is>
          <t>Google</t>
        </is>
      </c>
      <c r="H123">
        <f>TEXT(C123,"mmm-yyyy")</f>
        <v/>
      </c>
      <c r="I123">
        <f>TEXT(D123,"mmm-yyyy")</f>
        <v/>
      </c>
      <c r="J123">
        <f>_xlfn.XLOOKUP(tbl_subscription[[#This Row],[Customer_ID]],tbl_clint[Customer_ID],tbl_clint[Country])</f>
        <v/>
      </c>
      <c r="K123">
        <f>_xlfn.XLOOKUP(tbl_subscription[[#This Row],[Customer_ID]],tbl_clint[[#This Row],[Customer_ID]],tbl_clint[[#This Row],[Industry]])</f>
        <v/>
      </c>
      <c r="L123">
        <f>_xlfn.XLOOKUP(tbl_subscription[[#This Row],[Customer_ID]],tbl_clint[[#This Row],[Customer_ID]],tbl_clint[[#This Row],[Company_Size]])</f>
        <v/>
      </c>
      <c r="M123">
        <f>YEAR(tbl_subscription[[#This Row],[Start_Date]])</f>
        <v/>
      </c>
    </row>
    <row r="124">
      <c r="A124" t="inlineStr">
        <is>
          <t>C0123</t>
        </is>
      </c>
      <c r="B124" t="inlineStr">
        <is>
          <t>Premium</t>
        </is>
      </c>
      <c r="C124" s="4" t="n">
        <v>45389</v>
      </c>
      <c r="D124" s="4" t="n">
        <v>45657</v>
      </c>
      <c r="E124" t="n">
        <v>40</v>
      </c>
      <c r="F124" t="inlineStr">
        <is>
          <t>Churned</t>
        </is>
      </c>
      <c r="G124" t="inlineStr">
        <is>
          <t>Google</t>
        </is>
      </c>
      <c r="H124">
        <f>TEXT(C124,"mmm-yyyy")</f>
        <v/>
      </c>
      <c r="I124">
        <f>TEXT(D124,"mmm-yyyy")</f>
        <v/>
      </c>
      <c r="J124">
        <f>_xlfn.XLOOKUP(tbl_subscription[[#This Row],[Customer_ID]],tbl_clint[Customer_ID],tbl_clint[Country])</f>
        <v/>
      </c>
      <c r="K124">
        <f>_xlfn.XLOOKUP(tbl_subscription[[#This Row],[Customer_ID]],tbl_clint[[#This Row],[Customer_ID]],tbl_clint[[#This Row],[Industry]])</f>
        <v/>
      </c>
      <c r="L124">
        <f>_xlfn.XLOOKUP(tbl_subscription[[#This Row],[Customer_ID]],tbl_clint[[#This Row],[Customer_ID]],tbl_clint[[#This Row],[Company_Size]])</f>
        <v/>
      </c>
      <c r="M124">
        <f>YEAR(tbl_subscription[[#This Row],[Start_Date]])</f>
        <v/>
      </c>
    </row>
    <row r="125">
      <c r="A125" t="inlineStr">
        <is>
          <t>C0124</t>
        </is>
      </c>
      <c r="B125" t="inlineStr">
        <is>
          <t>Premium</t>
        </is>
      </c>
      <c r="C125" s="4" t="n">
        <v>45395</v>
      </c>
      <c r="D125" s="4" t="n">
        <v>45657</v>
      </c>
      <c r="E125" t="n">
        <v>40</v>
      </c>
      <c r="F125" t="inlineStr">
        <is>
          <t>Active</t>
        </is>
      </c>
      <c r="G125" t="inlineStr">
        <is>
          <t>Facebook</t>
        </is>
      </c>
      <c r="H125">
        <f>TEXT(C125,"mmm-yyyy")</f>
        <v/>
      </c>
      <c r="I125">
        <f>TEXT(D125,"mmm-yyyy")</f>
        <v/>
      </c>
      <c r="J125">
        <f>_xlfn.XLOOKUP(tbl_subscription[[#This Row],[Customer_ID]],tbl_clint[Customer_ID],tbl_clint[Country])</f>
        <v/>
      </c>
      <c r="K125">
        <f>_xlfn.XLOOKUP(tbl_subscription[[#This Row],[Customer_ID]],tbl_clint[[#This Row],[Customer_ID]],tbl_clint[[#This Row],[Industry]])</f>
        <v/>
      </c>
      <c r="L125">
        <f>_xlfn.XLOOKUP(tbl_subscription[[#This Row],[Customer_ID]],tbl_clint[[#This Row],[Customer_ID]],tbl_clint[[#This Row],[Company_Size]])</f>
        <v/>
      </c>
      <c r="M125">
        <f>YEAR(tbl_subscription[[#This Row],[Start_Date]])</f>
        <v/>
      </c>
    </row>
    <row r="126">
      <c r="A126" t="inlineStr">
        <is>
          <t>C0125</t>
        </is>
      </c>
      <c r="B126" t="inlineStr">
        <is>
          <t>Premium</t>
        </is>
      </c>
      <c r="C126" s="4" t="n">
        <v>45279</v>
      </c>
      <c r="D126" s="4" t="n">
        <v>45657</v>
      </c>
      <c r="E126" t="n">
        <v>40</v>
      </c>
      <c r="F126" t="inlineStr">
        <is>
          <t>Active</t>
        </is>
      </c>
      <c r="G126" t="inlineStr">
        <is>
          <t>Referral</t>
        </is>
      </c>
      <c r="H126">
        <f>TEXT(C126,"mmm-yyyy")</f>
        <v/>
      </c>
      <c r="I126">
        <f>TEXT(D126,"mmm-yyyy")</f>
        <v/>
      </c>
      <c r="J126">
        <f>_xlfn.XLOOKUP(tbl_subscription[[#This Row],[Customer_ID]],tbl_clint[Customer_ID],tbl_clint[Country])</f>
        <v/>
      </c>
      <c r="K126">
        <f>_xlfn.XLOOKUP(tbl_subscription[[#This Row],[Customer_ID]],tbl_clint[[#This Row],[Customer_ID]],tbl_clint[[#This Row],[Industry]])</f>
        <v/>
      </c>
      <c r="L126">
        <f>_xlfn.XLOOKUP(tbl_subscription[[#This Row],[Customer_ID]],tbl_clint[[#This Row],[Customer_ID]],tbl_clint[[#This Row],[Company_Size]])</f>
        <v/>
      </c>
      <c r="M126">
        <f>YEAR(tbl_subscription[[#This Row],[Start_Date]])</f>
        <v/>
      </c>
    </row>
    <row r="127">
      <c r="A127" t="inlineStr">
        <is>
          <t>C0126</t>
        </is>
      </c>
      <c r="B127" t="inlineStr">
        <is>
          <t>Premium</t>
        </is>
      </c>
      <c r="C127" s="4" t="n">
        <v>44646</v>
      </c>
      <c r="D127" s="4" t="n">
        <v>45657</v>
      </c>
      <c r="E127" t="n">
        <v>40</v>
      </c>
      <c r="F127" t="inlineStr">
        <is>
          <t>Active</t>
        </is>
      </c>
      <c r="G127" t="inlineStr">
        <is>
          <t>Instagram</t>
        </is>
      </c>
      <c r="H127">
        <f>TEXT(C127,"mmm-yyyy")</f>
        <v/>
      </c>
      <c r="I127">
        <f>TEXT(D127,"mmm-yyyy")</f>
        <v/>
      </c>
      <c r="J127">
        <f>_xlfn.XLOOKUP(tbl_subscription[[#This Row],[Customer_ID]],tbl_clint[Customer_ID],tbl_clint[Country])</f>
        <v/>
      </c>
      <c r="K127">
        <f>_xlfn.XLOOKUP(tbl_subscription[[#This Row],[Customer_ID]],tbl_clint[[#This Row],[Customer_ID]],tbl_clint[[#This Row],[Industry]])</f>
        <v/>
      </c>
      <c r="L127">
        <f>_xlfn.XLOOKUP(tbl_subscription[[#This Row],[Customer_ID]],tbl_clint[[#This Row],[Customer_ID]],tbl_clint[[#This Row],[Company_Size]])</f>
        <v/>
      </c>
      <c r="M127">
        <f>YEAR(tbl_subscription[[#This Row],[Start_Date]])</f>
        <v/>
      </c>
    </row>
    <row r="128">
      <c r="A128" t="inlineStr">
        <is>
          <t>C0127</t>
        </is>
      </c>
      <c r="B128" t="inlineStr">
        <is>
          <t>Standard</t>
        </is>
      </c>
      <c r="C128" s="4" t="n">
        <v>44271</v>
      </c>
      <c r="D128" s="4" t="n">
        <v>44866</v>
      </c>
      <c r="E128" t="n">
        <v>25</v>
      </c>
      <c r="F128" t="inlineStr">
        <is>
          <t>Churned</t>
        </is>
      </c>
      <c r="G128" t="inlineStr">
        <is>
          <t>Google</t>
        </is>
      </c>
      <c r="H128">
        <f>TEXT(C128,"mmm-yyyy")</f>
        <v/>
      </c>
      <c r="I128">
        <f>TEXT(D128,"mmm-yyyy")</f>
        <v/>
      </c>
      <c r="J128">
        <f>_xlfn.XLOOKUP(tbl_subscription[[#This Row],[Customer_ID]],tbl_clint[Customer_ID],tbl_clint[Country])</f>
        <v/>
      </c>
      <c r="K128">
        <f>_xlfn.XLOOKUP(tbl_subscription[[#This Row],[Customer_ID]],tbl_clint[[#This Row],[Customer_ID]],tbl_clint[[#This Row],[Industry]])</f>
        <v/>
      </c>
      <c r="L128">
        <f>_xlfn.XLOOKUP(tbl_subscription[[#This Row],[Customer_ID]],tbl_clint[[#This Row],[Customer_ID]],tbl_clint[[#This Row],[Company_Size]])</f>
        <v/>
      </c>
      <c r="M128">
        <f>YEAR(tbl_subscription[[#This Row],[Start_Date]])</f>
        <v/>
      </c>
    </row>
    <row r="129">
      <c r="A129" t="inlineStr">
        <is>
          <t>C0128</t>
        </is>
      </c>
      <c r="B129" t="inlineStr">
        <is>
          <t>Basic</t>
        </is>
      </c>
      <c r="C129" s="4" t="n">
        <v>44653</v>
      </c>
      <c r="D129" s="4" t="n">
        <v>45657</v>
      </c>
      <c r="E129" t="n">
        <v>15</v>
      </c>
      <c r="F129" t="inlineStr">
        <is>
          <t>Active</t>
        </is>
      </c>
      <c r="G129" t="inlineStr">
        <is>
          <t>Facebook</t>
        </is>
      </c>
      <c r="H129">
        <f>TEXT(C129,"mmm-yyyy")</f>
        <v/>
      </c>
      <c r="I129">
        <f>TEXT(D129,"mmm-yyyy")</f>
        <v/>
      </c>
      <c r="J129">
        <f>_xlfn.XLOOKUP(tbl_subscription[[#This Row],[Customer_ID]],tbl_clint[Customer_ID],tbl_clint[Country])</f>
        <v/>
      </c>
      <c r="K129">
        <f>_xlfn.XLOOKUP(tbl_subscription[[#This Row],[Customer_ID]],tbl_clint[[#This Row],[Customer_ID]],tbl_clint[[#This Row],[Industry]])</f>
        <v/>
      </c>
      <c r="L129">
        <f>_xlfn.XLOOKUP(tbl_subscription[[#This Row],[Customer_ID]],tbl_clint[[#This Row],[Customer_ID]],tbl_clint[[#This Row],[Company_Size]])</f>
        <v/>
      </c>
      <c r="M129">
        <f>YEAR(tbl_subscription[[#This Row],[Start_Date]])</f>
        <v/>
      </c>
    </row>
    <row r="130">
      <c r="A130" t="inlineStr">
        <is>
          <t>C0129</t>
        </is>
      </c>
      <c r="B130" t="inlineStr">
        <is>
          <t>Standard</t>
        </is>
      </c>
      <c r="C130" s="4" t="n">
        <v>44895</v>
      </c>
      <c r="D130" s="4" t="n">
        <v>45657</v>
      </c>
      <c r="E130" t="n">
        <v>25</v>
      </c>
      <c r="F130" t="inlineStr">
        <is>
          <t>Churned</t>
        </is>
      </c>
      <c r="G130" t="inlineStr">
        <is>
          <t>LinkedIn</t>
        </is>
      </c>
      <c r="H130">
        <f>TEXT(C130,"mmm-yyyy")</f>
        <v/>
      </c>
      <c r="I130">
        <f>TEXT(D130,"mmm-yyyy")</f>
        <v/>
      </c>
      <c r="J130">
        <f>_xlfn.XLOOKUP(tbl_subscription[[#This Row],[Customer_ID]],tbl_clint[Customer_ID],tbl_clint[Country])</f>
        <v/>
      </c>
      <c r="K130">
        <f>_xlfn.XLOOKUP(tbl_subscription[[#This Row],[Customer_ID]],tbl_clint[[#This Row],[Customer_ID]],tbl_clint[[#This Row],[Industry]])</f>
        <v/>
      </c>
      <c r="L130">
        <f>_xlfn.XLOOKUP(tbl_subscription[[#This Row],[Customer_ID]],tbl_clint[[#This Row],[Customer_ID]],tbl_clint[[#This Row],[Company_Size]])</f>
        <v/>
      </c>
      <c r="M130">
        <f>YEAR(tbl_subscription[[#This Row],[Start_Date]])</f>
        <v/>
      </c>
    </row>
    <row r="131">
      <c r="A131" t="inlineStr">
        <is>
          <t>C0130</t>
        </is>
      </c>
      <c r="B131" t="inlineStr">
        <is>
          <t>Premium</t>
        </is>
      </c>
      <c r="C131" s="4" t="n">
        <v>45154</v>
      </c>
      <c r="D131" s="4" t="n">
        <v>45657</v>
      </c>
      <c r="E131" t="n">
        <v>40</v>
      </c>
      <c r="F131" t="inlineStr">
        <is>
          <t>Active</t>
        </is>
      </c>
      <c r="G131" t="inlineStr">
        <is>
          <t>Instagram</t>
        </is>
      </c>
      <c r="H131">
        <f>TEXT(C131,"mmm-yyyy")</f>
        <v/>
      </c>
      <c r="I131">
        <f>TEXT(D131,"mmm-yyyy")</f>
        <v/>
      </c>
      <c r="J131">
        <f>_xlfn.XLOOKUP(tbl_subscription[[#This Row],[Customer_ID]],tbl_clint[Customer_ID],tbl_clint[Country])</f>
        <v/>
      </c>
      <c r="K131">
        <f>_xlfn.XLOOKUP(tbl_subscription[[#This Row],[Customer_ID]],tbl_clint[[#This Row],[Customer_ID]],tbl_clint[[#This Row],[Industry]])</f>
        <v/>
      </c>
      <c r="L131">
        <f>_xlfn.XLOOKUP(tbl_subscription[[#This Row],[Customer_ID]],tbl_clint[[#This Row],[Customer_ID]],tbl_clint[[#This Row],[Company_Size]])</f>
        <v/>
      </c>
      <c r="M131">
        <f>YEAR(tbl_subscription[[#This Row],[Start_Date]])</f>
        <v/>
      </c>
    </row>
    <row r="132">
      <c r="A132" t="inlineStr">
        <is>
          <t>C0131</t>
        </is>
      </c>
      <c r="B132" t="inlineStr">
        <is>
          <t>Premium</t>
        </is>
      </c>
      <c r="C132" s="4" t="n">
        <v>44961</v>
      </c>
      <c r="D132" s="4" t="n">
        <v>45657</v>
      </c>
      <c r="E132" t="n">
        <v>40</v>
      </c>
      <c r="F132" t="inlineStr">
        <is>
          <t>Active</t>
        </is>
      </c>
      <c r="G132" t="inlineStr">
        <is>
          <t>Google</t>
        </is>
      </c>
      <c r="H132">
        <f>TEXT(C132,"mmm-yyyy")</f>
        <v/>
      </c>
      <c r="I132">
        <f>TEXT(D132,"mmm-yyyy")</f>
        <v/>
      </c>
      <c r="J132">
        <f>_xlfn.XLOOKUP(tbl_subscription[[#This Row],[Customer_ID]],tbl_clint[Customer_ID],tbl_clint[Country])</f>
        <v/>
      </c>
      <c r="K132">
        <f>_xlfn.XLOOKUP(tbl_subscription[[#This Row],[Customer_ID]],tbl_clint[[#This Row],[Customer_ID]],tbl_clint[[#This Row],[Industry]])</f>
        <v/>
      </c>
      <c r="L132">
        <f>_xlfn.XLOOKUP(tbl_subscription[[#This Row],[Customer_ID]],tbl_clint[[#This Row],[Customer_ID]],tbl_clint[[#This Row],[Company_Size]])</f>
        <v/>
      </c>
      <c r="M132">
        <f>YEAR(tbl_subscription[[#This Row],[Start_Date]])</f>
        <v/>
      </c>
    </row>
    <row r="133">
      <c r="A133" t="inlineStr">
        <is>
          <t>C0132</t>
        </is>
      </c>
      <c r="B133" t="inlineStr">
        <is>
          <t>Premium</t>
        </is>
      </c>
      <c r="C133" s="4" t="n">
        <v>44338</v>
      </c>
      <c r="D133" s="4" t="n">
        <v>45657</v>
      </c>
      <c r="E133" t="n">
        <v>40</v>
      </c>
      <c r="F133" t="inlineStr">
        <is>
          <t>Active</t>
        </is>
      </c>
      <c r="G133" t="inlineStr">
        <is>
          <t>Google</t>
        </is>
      </c>
      <c r="H133">
        <f>TEXT(C133,"mmm-yyyy")</f>
        <v/>
      </c>
      <c r="I133">
        <f>TEXT(D133,"mmm-yyyy")</f>
        <v/>
      </c>
      <c r="J133">
        <f>_xlfn.XLOOKUP(tbl_subscription[[#This Row],[Customer_ID]],tbl_clint[Customer_ID],tbl_clint[Country])</f>
        <v/>
      </c>
      <c r="K133">
        <f>_xlfn.XLOOKUP(tbl_subscription[[#This Row],[Customer_ID]],tbl_clint[[#This Row],[Customer_ID]],tbl_clint[[#This Row],[Industry]])</f>
        <v/>
      </c>
      <c r="L133">
        <f>_xlfn.XLOOKUP(tbl_subscription[[#This Row],[Customer_ID]],tbl_clint[[#This Row],[Customer_ID]],tbl_clint[[#This Row],[Company_Size]])</f>
        <v/>
      </c>
      <c r="M133">
        <f>YEAR(tbl_subscription[[#This Row],[Start_Date]])</f>
        <v/>
      </c>
    </row>
    <row r="134">
      <c r="A134" t="inlineStr">
        <is>
          <t>C0133</t>
        </is>
      </c>
      <c r="B134" t="inlineStr">
        <is>
          <t>Basic</t>
        </is>
      </c>
      <c r="C134" s="4" t="n">
        <v>44991</v>
      </c>
      <c r="D134" s="4" t="n">
        <v>45657</v>
      </c>
      <c r="E134" t="n">
        <v>15</v>
      </c>
      <c r="F134" t="inlineStr">
        <is>
          <t>Churned</t>
        </is>
      </c>
      <c r="G134" t="inlineStr">
        <is>
          <t>LinkedIn</t>
        </is>
      </c>
      <c r="H134">
        <f>TEXT(C134,"mmm-yyyy")</f>
        <v/>
      </c>
      <c r="I134">
        <f>TEXT(D134,"mmm-yyyy")</f>
        <v/>
      </c>
      <c r="J134">
        <f>_xlfn.XLOOKUP(tbl_subscription[[#This Row],[Customer_ID]],tbl_clint[Customer_ID],tbl_clint[Country])</f>
        <v/>
      </c>
      <c r="K134">
        <f>_xlfn.XLOOKUP(tbl_subscription[[#This Row],[Customer_ID]],tbl_clint[[#This Row],[Customer_ID]],tbl_clint[[#This Row],[Industry]])</f>
        <v/>
      </c>
      <c r="L134">
        <f>_xlfn.XLOOKUP(tbl_subscription[[#This Row],[Customer_ID]],tbl_clint[[#This Row],[Customer_ID]],tbl_clint[[#This Row],[Company_Size]])</f>
        <v/>
      </c>
      <c r="M134">
        <f>YEAR(tbl_subscription[[#This Row],[Start_Date]])</f>
        <v/>
      </c>
    </row>
    <row r="135">
      <c r="A135" t="inlineStr">
        <is>
          <t>C0134</t>
        </is>
      </c>
      <c r="B135" t="inlineStr">
        <is>
          <t>Basic</t>
        </is>
      </c>
      <c r="C135" s="4" t="n">
        <v>45115</v>
      </c>
      <c r="D135" s="4" t="n">
        <v>45657</v>
      </c>
      <c r="E135" t="n">
        <v>15</v>
      </c>
      <c r="F135" t="inlineStr">
        <is>
          <t>Active</t>
        </is>
      </c>
      <c r="G135" t="inlineStr">
        <is>
          <t>Google</t>
        </is>
      </c>
      <c r="H135">
        <f>TEXT(C135,"mmm-yyyy")</f>
        <v/>
      </c>
      <c r="I135">
        <f>TEXT(D135,"mmm-yyyy")</f>
        <v/>
      </c>
      <c r="J135">
        <f>_xlfn.XLOOKUP(tbl_subscription[[#This Row],[Customer_ID]],tbl_clint[Customer_ID],tbl_clint[Country])</f>
        <v/>
      </c>
      <c r="K135">
        <f>_xlfn.XLOOKUP(tbl_subscription[[#This Row],[Customer_ID]],tbl_clint[[#This Row],[Customer_ID]],tbl_clint[[#This Row],[Industry]])</f>
        <v/>
      </c>
      <c r="L135">
        <f>_xlfn.XLOOKUP(tbl_subscription[[#This Row],[Customer_ID]],tbl_clint[[#This Row],[Customer_ID]],tbl_clint[[#This Row],[Company_Size]])</f>
        <v/>
      </c>
      <c r="M135">
        <f>YEAR(tbl_subscription[[#This Row],[Start_Date]])</f>
        <v/>
      </c>
    </row>
    <row r="136">
      <c r="A136" t="inlineStr">
        <is>
          <t>C0135</t>
        </is>
      </c>
      <c r="B136" t="inlineStr">
        <is>
          <t>Basic</t>
        </is>
      </c>
      <c r="C136" s="4" t="n">
        <v>44801</v>
      </c>
      <c r="D136" s="4" t="n">
        <v>45657</v>
      </c>
      <c r="E136" t="n">
        <v>15</v>
      </c>
      <c r="F136" t="inlineStr">
        <is>
          <t>Active</t>
        </is>
      </c>
      <c r="G136" t="inlineStr">
        <is>
          <t>Instagram</t>
        </is>
      </c>
      <c r="H136">
        <f>TEXT(C136,"mmm-yyyy")</f>
        <v/>
      </c>
      <c r="I136">
        <f>TEXT(D136,"mmm-yyyy")</f>
        <v/>
      </c>
      <c r="J136">
        <f>_xlfn.XLOOKUP(tbl_subscription[[#This Row],[Customer_ID]],tbl_clint[Customer_ID],tbl_clint[Country])</f>
        <v/>
      </c>
      <c r="K136">
        <f>_xlfn.XLOOKUP(tbl_subscription[[#This Row],[Customer_ID]],tbl_clint[[#This Row],[Customer_ID]],tbl_clint[[#This Row],[Industry]])</f>
        <v/>
      </c>
      <c r="L136">
        <f>_xlfn.XLOOKUP(tbl_subscription[[#This Row],[Customer_ID]],tbl_clint[[#This Row],[Customer_ID]],tbl_clint[[#This Row],[Company_Size]])</f>
        <v/>
      </c>
      <c r="M136">
        <f>YEAR(tbl_subscription[[#This Row],[Start_Date]])</f>
        <v/>
      </c>
    </row>
    <row r="137">
      <c r="A137" t="inlineStr">
        <is>
          <t>C0136</t>
        </is>
      </c>
      <c r="B137" t="inlineStr">
        <is>
          <t>Premium</t>
        </is>
      </c>
      <c r="C137" s="4" t="n">
        <v>45453</v>
      </c>
      <c r="D137" s="4" t="n">
        <v>45657</v>
      </c>
      <c r="E137" t="n">
        <v>40</v>
      </c>
      <c r="F137" t="inlineStr">
        <is>
          <t>Active</t>
        </is>
      </c>
      <c r="G137" t="inlineStr">
        <is>
          <t>Facebook</t>
        </is>
      </c>
      <c r="H137">
        <f>TEXT(C137,"mmm-yyyy")</f>
        <v/>
      </c>
      <c r="I137">
        <f>TEXT(D137,"mmm-yyyy")</f>
        <v/>
      </c>
      <c r="J137">
        <f>_xlfn.XLOOKUP(tbl_subscription[[#This Row],[Customer_ID]],tbl_clint[Customer_ID],tbl_clint[Country])</f>
        <v/>
      </c>
      <c r="K137">
        <f>_xlfn.XLOOKUP(tbl_subscription[[#This Row],[Customer_ID]],tbl_clint[[#This Row],[Customer_ID]],tbl_clint[[#This Row],[Industry]])</f>
        <v/>
      </c>
      <c r="L137">
        <f>_xlfn.XLOOKUP(tbl_subscription[[#This Row],[Customer_ID]],tbl_clint[[#This Row],[Customer_ID]],tbl_clint[[#This Row],[Company_Size]])</f>
        <v/>
      </c>
      <c r="M137">
        <f>YEAR(tbl_subscription[[#This Row],[Start_Date]])</f>
        <v/>
      </c>
    </row>
    <row r="138">
      <c r="A138" t="inlineStr">
        <is>
          <t>C0137</t>
        </is>
      </c>
      <c r="B138" t="inlineStr">
        <is>
          <t>Premium</t>
        </is>
      </c>
      <c r="C138" s="4" t="n">
        <v>44692</v>
      </c>
      <c r="D138" s="4" t="n">
        <v>45657</v>
      </c>
      <c r="E138" t="n">
        <v>40</v>
      </c>
      <c r="F138" t="inlineStr">
        <is>
          <t>Active</t>
        </is>
      </c>
      <c r="G138" t="inlineStr">
        <is>
          <t>Google</t>
        </is>
      </c>
      <c r="H138">
        <f>TEXT(C138,"mmm-yyyy")</f>
        <v/>
      </c>
      <c r="I138">
        <f>TEXT(D138,"mmm-yyyy")</f>
        <v/>
      </c>
      <c r="J138">
        <f>_xlfn.XLOOKUP(tbl_subscription[[#This Row],[Customer_ID]],tbl_clint[Customer_ID],tbl_clint[Country])</f>
        <v/>
      </c>
      <c r="K138">
        <f>_xlfn.XLOOKUP(tbl_subscription[[#This Row],[Customer_ID]],tbl_clint[[#This Row],[Customer_ID]],tbl_clint[[#This Row],[Industry]])</f>
        <v/>
      </c>
      <c r="L138">
        <f>_xlfn.XLOOKUP(tbl_subscription[[#This Row],[Customer_ID]],tbl_clint[[#This Row],[Customer_ID]],tbl_clint[[#This Row],[Company_Size]])</f>
        <v/>
      </c>
      <c r="M138">
        <f>YEAR(tbl_subscription[[#This Row],[Start_Date]])</f>
        <v/>
      </c>
    </row>
    <row r="139">
      <c r="A139" t="inlineStr">
        <is>
          <t>C0138</t>
        </is>
      </c>
      <c r="B139" t="inlineStr">
        <is>
          <t>Premium</t>
        </is>
      </c>
      <c r="C139" s="4" t="n">
        <v>44000</v>
      </c>
      <c r="D139" s="4" t="n">
        <v>44480</v>
      </c>
      <c r="E139" t="n">
        <v>40</v>
      </c>
      <c r="F139" t="inlineStr">
        <is>
          <t>Churned</t>
        </is>
      </c>
      <c r="G139" t="inlineStr">
        <is>
          <t>Referral</t>
        </is>
      </c>
      <c r="H139">
        <f>TEXT(C139,"mmm-yyyy")</f>
        <v/>
      </c>
      <c r="I139">
        <f>TEXT(D139,"mmm-yyyy")</f>
        <v/>
      </c>
      <c r="J139">
        <f>_xlfn.XLOOKUP(tbl_subscription[[#This Row],[Customer_ID]],tbl_clint[Customer_ID],tbl_clint[Country])</f>
        <v/>
      </c>
      <c r="K139">
        <f>_xlfn.XLOOKUP(tbl_subscription[[#This Row],[Customer_ID]],tbl_clint[[#This Row],[Customer_ID]],tbl_clint[[#This Row],[Industry]])</f>
        <v/>
      </c>
      <c r="L139">
        <f>_xlfn.XLOOKUP(tbl_subscription[[#This Row],[Customer_ID]],tbl_clint[[#This Row],[Customer_ID]],tbl_clint[[#This Row],[Company_Size]])</f>
        <v/>
      </c>
      <c r="M139">
        <f>YEAR(tbl_subscription[[#This Row],[Start_Date]])</f>
        <v/>
      </c>
    </row>
    <row r="140">
      <c r="A140" t="inlineStr">
        <is>
          <t>C0139</t>
        </is>
      </c>
      <c r="B140" t="inlineStr">
        <is>
          <t>Premium</t>
        </is>
      </c>
      <c r="C140" s="4" t="n">
        <v>44069</v>
      </c>
      <c r="D140" s="4" t="n">
        <v>45657</v>
      </c>
      <c r="E140" t="n">
        <v>40</v>
      </c>
      <c r="F140" t="inlineStr">
        <is>
          <t>Active</t>
        </is>
      </c>
      <c r="G140" t="inlineStr">
        <is>
          <t>Facebook</t>
        </is>
      </c>
      <c r="H140">
        <f>TEXT(C140,"mmm-yyyy")</f>
        <v/>
      </c>
      <c r="I140">
        <f>TEXT(D140,"mmm-yyyy")</f>
        <v/>
      </c>
      <c r="J140">
        <f>_xlfn.XLOOKUP(tbl_subscription[[#This Row],[Customer_ID]],tbl_clint[Customer_ID],tbl_clint[Country])</f>
        <v/>
      </c>
      <c r="K140">
        <f>_xlfn.XLOOKUP(tbl_subscription[[#This Row],[Customer_ID]],tbl_clint[[#This Row],[Customer_ID]],tbl_clint[[#This Row],[Industry]])</f>
        <v/>
      </c>
      <c r="L140">
        <f>_xlfn.XLOOKUP(tbl_subscription[[#This Row],[Customer_ID]],tbl_clint[[#This Row],[Customer_ID]],tbl_clint[[#This Row],[Company_Size]])</f>
        <v/>
      </c>
      <c r="M140">
        <f>YEAR(tbl_subscription[[#This Row],[Start_Date]])</f>
        <v/>
      </c>
    </row>
    <row r="141">
      <c r="A141" t="inlineStr">
        <is>
          <t>C0140</t>
        </is>
      </c>
      <c r="B141" t="inlineStr">
        <is>
          <t>Premium</t>
        </is>
      </c>
      <c r="C141" s="4" t="n">
        <v>44501</v>
      </c>
      <c r="D141" s="4" t="n">
        <v>45292</v>
      </c>
      <c r="E141" t="n">
        <v>40</v>
      </c>
      <c r="F141" t="inlineStr">
        <is>
          <t>Churned</t>
        </is>
      </c>
      <c r="G141" t="inlineStr">
        <is>
          <t>Referral</t>
        </is>
      </c>
      <c r="H141">
        <f>TEXT(C141,"mmm-yyyy")</f>
        <v/>
      </c>
      <c r="I141">
        <f>TEXT(D141,"mmm-yyyy")</f>
        <v/>
      </c>
      <c r="J141">
        <f>_xlfn.XLOOKUP(tbl_subscription[[#This Row],[Customer_ID]],tbl_clint[Customer_ID],tbl_clint[Country])</f>
        <v/>
      </c>
      <c r="K141">
        <f>_xlfn.XLOOKUP(tbl_subscription[[#This Row],[Customer_ID]],tbl_clint[[#This Row],[Customer_ID]],tbl_clint[[#This Row],[Industry]])</f>
        <v/>
      </c>
      <c r="L141">
        <f>_xlfn.XLOOKUP(tbl_subscription[[#This Row],[Customer_ID]],tbl_clint[[#This Row],[Customer_ID]],tbl_clint[[#This Row],[Company_Size]])</f>
        <v/>
      </c>
      <c r="M141">
        <f>YEAR(tbl_subscription[[#This Row],[Start_Date]])</f>
        <v/>
      </c>
    </row>
    <row r="142">
      <c r="A142" t="inlineStr">
        <is>
          <t>C0141</t>
        </is>
      </c>
      <c r="B142" t="inlineStr">
        <is>
          <t>Standard</t>
        </is>
      </c>
      <c r="C142" s="4" t="n">
        <v>45179</v>
      </c>
      <c r="D142" s="4" t="n">
        <v>45657</v>
      </c>
      <c r="E142" t="n">
        <v>25</v>
      </c>
      <c r="F142" t="inlineStr">
        <is>
          <t>Active</t>
        </is>
      </c>
      <c r="G142" t="inlineStr">
        <is>
          <t>Referral</t>
        </is>
      </c>
      <c r="H142">
        <f>TEXT(C142,"mmm-yyyy")</f>
        <v/>
      </c>
      <c r="I142">
        <f>TEXT(D142,"mmm-yyyy")</f>
        <v/>
      </c>
      <c r="J142">
        <f>_xlfn.XLOOKUP(tbl_subscription[[#This Row],[Customer_ID]],tbl_clint[Customer_ID],tbl_clint[Country])</f>
        <v/>
      </c>
      <c r="K142">
        <f>_xlfn.XLOOKUP(tbl_subscription[[#This Row],[Customer_ID]],tbl_clint[[#This Row],[Customer_ID]],tbl_clint[[#This Row],[Industry]])</f>
        <v/>
      </c>
      <c r="L142">
        <f>_xlfn.XLOOKUP(tbl_subscription[[#This Row],[Customer_ID]],tbl_clint[[#This Row],[Customer_ID]],tbl_clint[[#This Row],[Company_Size]])</f>
        <v/>
      </c>
      <c r="M142">
        <f>YEAR(tbl_subscription[[#This Row],[Start_Date]])</f>
        <v/>
      </c>
    </row>
    <row r="143">
      <c r="A143" t="inlineStr">
        <is>
          <t>C0142</t>
        </is>
      </c>
      <c r="B143" t="inlineStr">
        <is>
          <t>Premium</t>
        </is>
      </c>
      <c r="C143" s="4" t="n">
        <v>44761</v>
      </c>
      <c r="D143" s="4" t="n">
        <v>45561</v>
      </c>
      <c r="E143" t="n">
        <v>40</v>
      </c>
      <c r="F143" t="inlineStr">
        <is>
          <t>Churned</t>
        </is>
      </c>
      <c r="G143" t="inlineStr">
        <is>
          <t>Google</t>
        </is>
      </c>
      <c r="H143">
        <f>TEXT(C143,"mmm-yyyy")</f>
        <v/>
      </c>
      <c r="I143">
        <f>TEXT(D143,"mmm-yyyy")</f>
        <v/>
      </c>
      <c r="J143">
        <f>_xlfn.XLOOKUP(tbl_subscription[[#This Row],[Customer_ID]],tbl_clint[Customer_ID],tbl_clint[Country])</f>
        <v/>
      </c>
      <c r="K143">
        <f>_xlfn.XLOOKUP(tbl_subscription[[#This Row],[Customer_ID]],tbl_clint[[#This Row],[Customer_ID]],tbl_clint[[#This Row],[Industry]])</f>
        <v/>
      </c>
      <c r="L143">
        <f>_xlfn.XLOOKUP(tbl_subscription[[#This Row],[Customer_ID]],tbl_clint[[#This Row],[Customer_ID]],tbl_clint[[#This Row],[Company_Size]])</f>
        <v/>
      </c>
      <c r="M143">
        <f>YEAR(tbl_subscription[[#This Row],[Start_Date]])</f>
        <v/>
      </c>
    </row>
    <row r="144">
      <c r="A144" t="inlineStr">
        <is>
          <t>C0143</t>
        </is>
      </c>
      <c r="B144" t="inlineStr">
        <is>
          <t>Standard</t>
        </is>
      </c>
      <c r="C144" s="4" t="n">
        <v>44261</v>
      </c>
      <c r="D144" s="4" t="n">
        <v>45657</v>
      </c>
      <c r="E144" t="n">
        <v>25</v>
      </c>
      <c r="F144" t="inlineStr">
        <is>
          <t>Active</t>
        </is>
      </c>
      <c r="G144" t="inlineStr">
        <is>
          <t>LinkedIn</t>
        </is>
      </c>
      <c r="H144">
        <f>TEXT(C144,"mmm-yyyy")</f>
        <v/>
      </c>
      <c r="I144">
        <f>TEXT(D144,"mmm-yyyy")</f>
        <v/>
      </c>
      <c r="J144">
        <f>_xlfn.XLOOKUP(tbl_subscription[[#This Row],[Customer_ID]],tbl_clint[Customer_ID],tbl_clint[Country])</f>
        <v/>
      </c>
      <c r="K144">
        <f>_xlfn.XLOOKUP(tbl_subscription[[#This Row],[Customer_ID]],tbl_clint[[#This Row],[Customer_ID]],tbl_clint[[#This Row],[Industry]])</f>
        <v/>
      </c>
      <c r="L144">
        <f>_xlfn.XLOOKUP(tbl_subscription[[#This Row],[Customer_ID]],tbl_clint[[#This Row],[Customer_ID]],tbl_clint[[#This Row],[Company_Size]])</f>
        <v/>
      </c>
      <c r="M144">
        <f>YEAR(tbl_subscription[[#This Row],[Start_Date]])</f>
        <v/>
      </c>
    </row>
    <row r="145">
      <c r="A145" t="inlineStr">
        <is>
          <t>C0144</t>
        </is>
      </c>
      <c r="B145" t="inlineStr">
        <is>
          <t>Premium</t>
        </is>
      </c>
      <c r="C145" s="4" t="n">
        <v>44723</v>
      </c>
      <c r="D145" s="4" t="n">
        <v>45441</v>
      </c>
      <c r="E145" t="n">
        <v>40</v>
      </c>
      <c r="F145" t="inlineStr">
        <is>
          <t>Churned</t>
        </is>
      </c>
      <c r="G145" t="inlineStr">
        <is>
          <t>Facebook</t>
        </is>
      </c>
      <c r="H145">
        <f>TEXT(C145,"mmm-yyyy")</f>
        <v/>
      </c>
      <c r="I145">
        <f>TEXT(D145,"mmm-yyyy")</f>
        <v/>
      </c>
      <c r="J145">
        <f>_xlfn.XLOOKUP(tbl_subscription[[#This Row],[Customer_ID]],tbl_clint[Customer_ID],tbl_clint[Country])</f>
        <v/>
      </c>
      <c r="K145">
        <f>_xlfn.XLOOKUP(tbl_subscription[[#This Row],[Customer_ID]],tbl_clint[[#This Row],[Customer_ID]],tbl_clint[[#This Row],[Industry]])</f>
        <v/>
      </c>
      <c r="L145">
        <f>_xlfn.XLOOKUP(tbl_subscription[[#This Row],[Customer_ID]],tbl_clint[[#This Row],[Customer_ID]],tbl_clint[[#This Row],[Company_Size]])</f>
        <v/>
      </c>
      <c r="M145">
        <f>YEAR(tbl_subscription[[#This Row],[Start_Date]])</f>
        <v/>
      </c>
    </row>
    <row r="146">
      <c r="A146" t="inlineStr">
        <is>
          <t>C0145</t>
        </is>
      </c>
      <c r="B146" t="inlineStr">
        <is>
          <t>Standard</t>
        </is>
      </c>
      <c r="C146" s="4" t="n">
        <v>44209</v>
      </c>
      <c r="D146" s="4" t="n">
        <v>44779</v>
      </c>
      <c r="E146" t="n">
        <v>25</v>
      </c>
      <c r="F146" t="inlineStr">
        <is>
          <t>Churned</t>
        </is>
      </c>
      <c r="G146" t="inlineStr">
        <is>
          <t>LinkedIn</t>
        </is>
      </c>
      <c r="H146">
        <f>TEXT(C146,"mmm-yyyy")</f>
        <v/>
      </c>
      <c r="I146">
        <f>TEXT(D146,"mmm-yyyy")</f>
        <v/>
      </c>
      <c r="J146">
        <f>_xlfn.XLOOKUP(tbl_subscription[[#This Row],[Customer_ID]],tbl_clint[Customer_ID],tbl_clint[Country])</f>
        <v/>
      </c>
      <c r="K146">
        <f>_xlfn.XLOOKUP(tbl_subscription[[#This Row],[Customer_ID]],tbl_clint[[#This Row],[Customer_ID]],tbl_clint[[#This Row],[Industry]])</f>
        <v/>
      </c>
      <c r="L146">
        <f>_xlfn.XLOOKUP(tbl_subscription[[#This Row],[Customer_ID]],tbl_clint[[#This Row],[Customer_ID]],tbl_clint[[#This Row],[Company_Size]])</f>
        <v/>
      </c>
      <c r="M146">
        <f>YEAR(tbl_subscription[[#This Row],[Start_Date]])</f>
        <v/>
      </c>
    </row>
    <row r="147">
      <c r="A147" t="inlineStr">
        <is>
          <t>C0146</t>
        </is>
      </c>
      <c r="B147" t="inlineStr">
        <is>
          <t>Standard</t>
        </is>
      </c>
      <c r="C147" s="4" t="n">
        <v>45456</v>
      </c>
      <c r="D147" s="4" t="n">
        <v>45657</v>
      </c>
      <c r="E147" t="n">
        <v>25</v>
      </c>
      <c r="F147" t="inlineStr">
        <is>
          <t>Churned</t>
        </is>
      </c>
      <c r="G147" t="inlineStr">
        <is>
          <t>Facebook</t>
        </is>
      </c>
      <c r="H147">
        <f>TEXT(C147,"mmm-yyyy")</f>
        <v/>
      </c>
      <c r="I147">
        <f>TEXT(D147,"mmm-yyyy")</f>
        <v/>
      </c>
      <c r="J147">
        <f>_xlfn.XLOOKUP(tbl_subscription[[#This Row],[Customer_ID]],tbl_clint[Customer_ID],tbl_clint[Country])</f>
        <v/>
      </c>
      <c r="K147">
        <f>_xlfn.XLOOKUP(tbl_subscription[[#This Row],[Customer_ID]],tbl_clint[[#This Row],[Customer_ID]],tbl_clint[[#This Row],[Industry]])</f>
        <v/>
      </c>
      <c r="L147">
        <f>_xlfn.XLOOKUP(tbl_subscription[[#This Row],[Customer_ID]],tbl_clint[[#This Row],[Customer_ID]],tbl_clint[[#This Row],[Company_Size]])</f>
        <v/>
      </c>
      <c r="M147">
        <f>YEAR(tbl_subscription[[#This Row],[Start_Date]])</f>
        <v/>
      </c>
    </row>
    <row r="148">
      <c r="A148" t="inlineStr">
        <is>
          <t>C0147</t>
        </is>
      </c>
      <c r="B148" t="inlineStr">
        <is>
          <t>Standard</t>
        </is>
      </c>
      <c r="C148" s="4" t="n">
        <v>45384</v>
      </c>
      <c r="D148" s="4" t="n">
        <v>45657</v>
      </c>
      <c r="E148" t="n">
        <v>25</v>
      </c>
      <c r="F148" t="inlineStr">
        <is>
          <t>Active</t>
        </is>
      </c>
      <c r="G148" t="inlineStr">
        <is>
          <t>LinkedIn</t>
        </is>
      </c>
      <c r="H148">
        <f>TEXT(C148,"mmm-yyyy")</f>
        <v/>
      </c>
      <c r="I148">
        <f>TEXT(D148,"mmm-yyyy")</f>
        <v/>
      </c>
      <c r="J148">
        <f>_xlfn.XLOOKUP(tbl_subscription[[#This Row],[Customer_ID]],tbl_clint[Customer_ID],tbl_clint[Country])</f>
        <v/>
      </c>
      <c r="K148">
        <f>_xlfn.XLOOKUP(tbl_subscription[[#This Row],[Customer_ID]],tbl_clint[[#This Row],[Customer_ID]],tbl_clint[[#This Row],[Industry]])</f>
        <v/>
      </c>
      <c r="L148">
        <f>_xlfn.XLOOKUP(tbl_subscription[[#This Row],[Customer_ID]],tbl_clint[[#This Row],[Customer_ID]],tbl_clint[[#This Row],[Company_Size]])</f>
        <v/>
      </c>
      <c r="M148">
        <f>YEAR(tbl_subscription[[#This Row],[Start_Date]])</f>
        <v/>
      </c>
    </row>
    <row r="149">
      <c r="A149" t="inlineStr">
        <is>
          <t>C0148</t>
        </is>
      </c>
      <c r="B149" t="inlineStr">
        <is>
          <t>Basic</t>
        </is>
      </c>
      <c r="C149" s="4" t="n">
        <v>45435</v>
      </c>
      <c r="D149" s="4" t="n">
        <v>45657</v>
      </c>
      <c r="E149" t="n">
        <v>15</v>
      </c>
      <c r="F149" t="inlineStr">
        <is>
          <t>Active</t>
        </is>
      </c>
      <c r="G149" t="inlineStr">
        <is>
          <t>Referral</t>
        </is>
      </c>
      <c r="H149">
        <f>TEXT(C149,"mmm-yyyy")</f>
        <v/>
      </c>
      <c r="I149">
        <f>TEXT(D149,"mmm-yyyy")</f>
        <v/>
      </c>
      <c r="J149">
        <f>_xlfn.XLOOKUP(tbl_subscription[[#This Row],[Customer_ID]],tbl_clint[Customer_ID],tbl_clint[Country])</f>
        <v/>
      </c>
      <c r="K149">
        <f>_xlfn.XLOOKUP(tbl_subscription[[#This Row],[Customer_ID]],tbl_clint[[#This Row],[Customer_ID]],tbl_clint[[#This Row],[Industry]])</f>
        <v/>
      </c>
      <c r="L149">
        <f>_xlfn.XLOOKUP(tbl_subscription[[#This Row],[Customer_ID]],tbl_clint[[#This Row],[Customer_ID]],tbl_clint[[#This Row],[Company_Size]])</f>
        <v/>
      </c>
      <c r="M149">
        <f>YEAR(tbl_subscription[[#This Row],[Start_Date]])</f>
        <v/>
      </c>
    </row>
    <row r="150">
      <c r="A150" t="inlineStr">
        <is>
          <t>C0149</t>
        </is>
      </c>
      <c r="B150" t="inlineStr">
        <is>
          <t>Premium</t>
        </is>
      </c>
      <c r="C150" s="4" t="n">
        <v>44432</v>
      </c>
      <c r="D150" s="4" t="n">
        <v>45657</v>
      </c>
      <c r="E150" t="n">
        <v>40</v>
      </c>
      <c r="F150" t="inlineStr">
        <is>
          <t>Active</t>
        </is>
      </c>
      <c r="G150" t="inlineStr">
        <is>
          <t>LinkedIn</t>
        </is>
      </c>
      <c r="H150">
        <f>TEXT(C150,"mmm-yyyy")</f>
        <v/>
      </c>
      <c r="I150">
        <f>TEXT(D150,"mmm-yyyy")</f>
        <v/>
      </c>
      <c r="J150">
        <f>_xlfn.XLOOKUP(tbl_subscription[[#This Row],[Customer_ID]],tbl_clint[Customer_ID],tbl_clint[Country])</f>
        <v/>
      </c>
      <c r="K150">
        <f>_xlfn.XLOOKUP(tbl_subscription[[#This Row],[Customer_ID]],tbl_clint[[#This Row],[Customer_ID]],tbl_clint[[#This Row],[Industry]])</f>
        <v/>
      </c>
      <c r="L150">
        <f>_xlfn.XLOOKUP(tbl_subscription[[#This Row],[Customer_ID]],tbl_clint[[#This Row],[Customer_ID]],tbl_clint[[#This Row],[Company_Size]])</f>
        <v/>
      </c>
      <c r="M150">
        <f>YEAR(tbl_subscription[[#This Row],[Start_Date]])</f>
        <v/>
      </c>
    </row>
    <row r="151">
      <c r="A151" t="inlineStr">
        <is>
          <t>C0150</t>
        </is>
      </c>
      <c r="B151" t="inlineStr">
        <is>
          <t>Premium</t>
        </is>
      </c>
      <c r="C151" s="4" t="n">
        <v>44250</v>
      </c>
      <c r="D151" s="4" t="n">
        <v>45657</v>
      </c>
      <c r="E151" t="n">
        <v>40</v>
      </c>
      <c r="F151" t="inlineStr">
        <is>
          <t>Active</t>
        </is>
      </c>
      <c r="G151" t="inlineStr">
        <is>
          <t>LinkedIn</t>
        </is>
      </c>
      <c r="H151">
        <f>TEXT(C151,"mmm-yyyy")</f>
        <v/>
      </c>
      <c r="I151">
        <f>TEXT(D151,"mmm-yyyy")</f>
        <v/>
      </c>
      <c r="J151">
        <f>_xlfn.XLOOKUP(tbl_subscription[[#This Row],[Customer_ID]],tbl_clint[Customer_ID],tbl_clint[Country])</f>
        <v/>
      </c>
      <c r="K151">
        <f>_xlfn.XLOOKUP(tbl_subscription[[#This Row],[Customer_ID]],tbl_clint[[#This Row],[Customer_ID]],tbl_clint[[#This Row],[Industry]])</f>
        <v/>
      </c>
      <c r="L151">
        <f>_xlfn.XLOOKUP(tbl_subscription[[#This Row],[Customer_ID]],tbl_clint[[#This Row],[Customer_ID]],tbl_clint[[#This Row],[Company_Size]])</f>
        <v/>
      </c>
      <c r="M151">
        <f>YEAR(tbl_subscription[[#This Row],[Start_Date]])</f>
        <v/>
      </c>
    </row>
    <row r="152">
      <c r="A152" t="inlineStr">
        <is>
          <t>C0151</t>
        </is>
      </c>
      <c r="B152" t="inlineStr">
        <is>
          <t>Standard</t>
        </is>
      </c>
      <c r="C152" s="4" t="n">
        <v>44866</v>
      </c>
      <c r="D152" s="4" t="n">
        <v>45657</v>
      </c>
      <c r="E152" t="n">
        <v>25</v>
      </c>
      <c r="F152" t="inlineStr">
        <is>
          <t>Active</t>
        </is>
      </c>
      <c r="G152" t="inlineStr">
        <is>
          <t>Referral</t>
        </is>
      </c>
      <c r="H152">
        <f>TEXT(C152,"mmm-yyyy")</f>
        <v/>
      </c>
      <c r="I152">
        <f>TEXT(D152,"mmm-yyyy")</f>
        <v/>
      </c>
      <c r="J152">
        <f>_xlfn.XLOOKUP(tbl_subscription[[#This Row],[Customer_ID]],tbl_clint[Customer_ID],tbl_clint[Country])</f>
        <v/>
      </c>
      <c r="K152">
        <f>_xlfn.XLOOKUP(tbl_subscription[[#This Row],[Customer_ID]],tbl_clint[[#This Row],[Customer_ID]],tbl_clint[[#This Row],[Industry]])</f>
        <v/>
      </c>
      <c r="L152">
        <f>_xlfn.XLOOKUP(tbl_subscription[[#This Row],[Customer_ID]],tbl_clint[[#This Row],[Customer_ID]],tbl_clint[[#This Row],[Company_Size]])</f>
        <v/>
      </c>
      <c r="M152">
        <f>YEAR(tbl_subscription[[#This Row],[Start_Date]])</f>
        <v/>
      </c>
    </row>
    <row r="153">
      <c r="A153" t="inlineStr">
        <is>
          <t>C0152</t>
        </is>
      </c>
      <c r="B153" t="inlineStr">
        <is>
          <t>Basic</t>
        </is>
      </c>
      <c r="C153" s="4" t="n">
        <v>44524</v>
      </c>
      <c r="D153" s="4" t="n">
        <v>45040</v>
      </c>
      <c r="E153" t="n">
        <v>15</v>
      </c>
      <c r="F153" t="inlineStr">
        <is>
          <t>Churned</t>
        </is>
      </c>
      <c r="G153" t="inlineStr">
        <is>
          <t>LinkedIn</t>
        </is>
      </c>
      <c r="H153">
        <f>TEXT(C153,"mmm-yyyy")</f>
        <v/>
      </c>
      <c r="I153">
        <f>TEXT(D153,"mmm-yyyy")</f>
        <v/>
      </c>
      <c r="J153">
        <f>_xlfn.XLOOKUP(tbl_subscription[[#This Row],[Customer_ID]],tbl_clint[Customer_ID],tbl_clint[Country])</f>
        <v/>
      </c>
      <c r="K153">
        <f>_xlfn.XLOOKUP(tbl_subscription[[#This Row],[Customer_ID]],tbl_clint[[#This Row],[Customer_ID]],tbl_clint[[#This Row],[Industry]])</f>
        <v/>
      </c>
      <c r="L153">
        <f>_xlfn.XLOOKUP(tbl_subscription[[#This Row],[Customer_ID]],tbl_clint[[#This Row],[Customer_ID]],tbl_clint[[#This Row],[Company_Size]])</f>
        <v/>
      </c>
      <c r="M153">
        <f>YEAR(tbl_subscription[[#This Row],[Start_Date]])</f>
        <v/>
      </c>
    </row>
    <row r="154">
      <c r="A154" t="inlineStr">
        <is>
          <t>C0153</t>
        </is>
      </c>
      <c r="B154" t="inlineStr">
        <is>
          <t>Standard</t>
        </is>
      </c>
      <c r="C154" s="4" t="n">
        <v>44955</v>
      </c>
      <c r="D154" s="4" t="n">
        <v>45657</v>
      </c>
      <c r="E154" t="n">
        <v>25</v>
      </c>
      <c r="F154" t="inlineStr">
        <is>
          <t>Active</t>
        </is>
      </c>
      <c r="G154" t="inlineStr">
        <is>
          <t>Google</t>
        </is>
      </c>
      <c r="H154">
        <f>TEXT(C154,"mmm-yyyy")</f>
        <v/>
      </c>
      <c r="I154">
        <f>TEXT(D154,"mmm-yyyy")</f>
        <v/>
      </c>
      <c r="J154">
        <f>_xlfn.XLOOKUP(tbl_subscription[[#This Row],[Customer_ID]],tbl_clint[Customer_ID],tbl_clint[Country])</f>
        <v/>
      </c>
      <c r="K154">
        <f>_xlfn.XLOOKUP(tbl_subscription[[#This Row],[Customer_ID]],tbl_clint[[#This Row],[Customer_ID]],tbl_clint[[#This Row],[Industry]])</f>
        <v/>
      </c>
      <c r="L154">
        <f>_xlfn.XLOOKUP(tbl_subscription[[#This Row],[Customer_ID]],tbl_clint[[#This Row],[Customer_ID]],tbl_clint[[#This Row],[Company_Size]])</f>
        <v/>
      </c>
      <c r="M154">
        <f>YEAR(tbl_subscription[[#This Row],[Start_Date]])</f>
        <v/>
      </c>
    </row>
    <row r="155">
      <c r="A155" t="inlineStr">
        <is>
          <t>C0154</t>
        </is>
      </c>
      <c r="B155" t="inlineStr">
        <is>
          <t>Standard</t>
        </is>
      </c>
      <c r="C155" s="4" t="n">
        <v>44538</v>
      </c>
      <c r="D155" s="4" t="n">
        <v>45657</v>
      </c>
      <c r="E155" t="n">
        <v>25</v>
      </c>
      <c r="F155" t="inlineStr">
        <is>
          <t>Active</t>
        </is>
      </c>
      <c r="G155" t="inlineStr">
        <is>
          <t>Referral</t>
        </is>
      </c>
      <c r="H155">
        <f>TEXT(C155,"mmm-yyyy")</f>
        <v/>
      </c>
      <c r="I155">
        <f>TEXT(D155,"mmm-yyyy")</f>
        <v/>
      </c>
      <c r="J155">
        <f>_xlfn.XLOOKUP(tbl_subscription[[#This Row],[Customer_ID]],tbl_clint[Customer_ID],tbl_clint[Country])</f>
        <v/>
      </c>
      <c r="K155">
        <f>_xlfn.XLOOKUP(tbl_subscription[[#This Row],[Customer_ID]],tbl_clint[[#This Row],[Customer_ID]],tbl_clint[[#This Row],[Industry]])</f>
        <v/>
      </c>
      <c r="L155">
        <f>_xlfn.XLOOKUP(tbl_subscription[[#This Row],[Customer_ID]],tbl_clint[[#This Row],[Customer_ID]],tbl_clint[[#This Row],[Company_Size]])</f>
        <v/>
      </c>
      <c r="M155">
        <f>YEAR(tbl_subscription[[#This Row],[Start_Date]])</f>
        <v/>
      </c>
    </row>
    <row r="156">
      <c r="A156" t="inlineStr">
        <is>
          <t>C0155</t>
        </is>
      </c>
      <c r="B156" t="inlineStr">
        <is>
          <t>Premium</t>
        </is>
      </c>
      <c r="C156" s="4" t="n">
        <v>45389</v>
      </c>
      <c r="D156" s="4" t="n">
        <v>45657</v>
      </c>
      <c r="E156" t="n">
        <v>40</v>
      </c>
      <c r="F156" t="inlineStr">
        <is>
          <t>Active</t>
        </is>
      </c>
      <c r="G156" t="inlineStr">
        <is>
          <t>LinkedIn</t>
        </is>
      </c>
      <c r="H156">
        <f>TEXT(C156,"mmm-yyyy")</f>
        <v/>
      </c>
      <c r="I156">
        <f>TEXT(D156,"mmm-yyyy")</f>
        <v/>
      </c>
      <c r="J156">
        <f>_xlfn.XLOOKUP(tbl_subscription[[#This Row],[Customer_ID]],tbl_clint[Customer_ID],tbl_clint[Country])</f>
        <v/>
      </c>
      <c r="K156">
        <f>_xlfn.XLOOKUP(tbl_subscription[[#This Row],[Customer_ID]],tbl_clint[[#This Row],[Customer_ID]],tbl_clint[[#This Row],[Industry]])</f>
        <v/>
      </c>
      <c r="L156">
        <f>_xlfn.XLOOKUP(tbl_subscription[[#This Row],[Customer_ID]],tbl_clint[[#This Row],[Customer_ID]],tbl_clint[[#This Row],[Company_Size]])</f>
        <v/>
      </c>
      <c r="M156">
        <f>YEAR(tbl_subscription[[#This Row],[Start_Date]])</f>
        <v/>
      </c>
    </row>
    <row r="157">
      <c r="A157" t="inlineStr">
        <is>
          <t>C0156</t>
        </is>
      </c>
      <c r="B157" t="inlineStr">
        <is>
          <t>Standard</t>
        </is>
      </c>
      <c r="C157" s="4" t="n">
        <v>44219</v>
      </c>
      <c r="D157" s="4" t="n">
        <v>44371</v>
      </c>
      <c r="E157" t="n">
        <v>25</v>
      </c>
      <c r="F157" t="inlineStr">
        <is>
          <t>Churned</t>
        </is>
      </c>
      <c r="G157" t="inlineStr">
        <is>
          <t>Google</t>
        </is>
      </c>
      <c r="H157">
        <f>TEXT(C157,"mmm-yyyy")</f>
        <v/>
      </c>
      <c r="I157">
        <f>TEXT(D157,"mmm-yyyy")</f>
        <v/>
      </c>
      <c r="J157">
        <f>_xlfn.XLOOKUP(tbl_subscription[[#This Row],[Customer_ID]],tbl_clint[Customer_ID],tbl_clint[Country])</f>
        <v/>
      </c>
      <c r="K157">
        <f>_xlfn.XLOOKUP(tbl_subscription[[#This Row],[Customer_ID]],tbl_clint[[#This Row],[Customer_ID]],tbl_clint[[#This Row],[Industry]])</f>
        <v/>
      </c>
      <c r="L157">
        <f>_xlfn.XLOOKUP(tbl_subscription[[#This Row],[Customer_ID]],tbl_clint[[#This Row],[Customer_ID]],tbl_clint[[#This Row],[Company_Size]])</f>
        <v/>
      </c>
      <c r="M157">
        <f>YEAR(tbl_subscription[[#This Row],[Start_Date]])</f>
        <v/>
      </c>
    </row>
    <row r="158">
      <c r="A158" t="inlineStr">
        <is>
          <t>C0157</t>
        </is>
      </c>
      <c r="B158" t="inlineStr">
        <is>
          <t>Basic</t>
        </is>
      </c>
      <c r="C158" s="4" t="n">
        <v>44765</v>
      </c>
      <c r="D158" s="4" t="n">
        <v>45657</v>
      </c>
      <c r="E158" t="n">
        <v>15</v>
      </c>
      <c r="F158" t="inlineStr">
        <is>
          <t>Active</t>
        </is>
      </c>
      <c r="G158" t="inlineStr">
        <is>
          <t>LinkedIn</t>
        </is>
      </c>
      <c r="H158">
        <f>TEXT(C158,"mmm-yyyy")</f>
        <v/>
      </c>
      <c r="I158">
        <f>TEXT(D158,"mmm-yyyy")</f>
        <v/>
      </c>
      <c r="J158">
        <f>_xlfn.XLOOKUP(tbl_subscription[[#This Row],[Customer_ID]],tbl_clint[Customer_ID],tbl_clint[Country])</f>
        <v/>
      </c>
      <c r="K158">
        <f>_xlfn.XLOOKUP(tbl_subscription[[#This Row],[Customer_ID]],tbl_clint[[#This Row],[Customer_ID]],tbl_clint[[#This Row],[Industry]])</f>
        <v/>
      </c>
      <c r="L158">
        <f>_xlfn.XLOOKUP(tbl_subscription[[#This Row],[Customer_ID]],tbl_clint[[#This Row],[Customer_ID]],tbl_clint[[#This Row],[Company_Size]])</f>
        <v/>
      </c>
      <c r="M158">
        <f>YEAR(tbl_subscription[[#This Row],[Start_Date]])</f>
        <v/>
      </c>
    </row>
    <row r="159">
      <c r="A159" t="inlineStr">
        <is>
          <t>C0158</t>
        </is>
      </c>
      <c r="B159" t="inlineStr">
        <is>
          <t>Basic</t>
        </is>
      </c>
      <c r="C159" s="4" t="n">
        <v>44395</v>
      </c>
      <c r="D159" s="4" t="n">
        <v>45657</v>
      </c>
      <c r="E159" t="n">
        <v>15</v>
      </c>
      <c r="F159" t="inlineStr">
        <is>
          <t>Active</t>
        </is>
      </c>
      <c r="G159" t="inlineStr">
        <is>
          <t>Google</t>
        </is>
      </c>
      <c r="H159">
        <f>TEXT(C159,"mmm-yyyy")</f>
        <v/>
      </c>
      <c r="I159">
        <f>TEXT(D159,"mmm-yyyy")</f>
        <v/>
      </c>
      <c r="J159">
        <f>_xlfn.XLOOKUP(tbl_subscription[[#This Row],[Customer_ID]],tbl_clint[Customer_ID],tbl_clint[Country])</f>
        <v/>
      </c>
      <c r="K159">
        <f>_xlfn.XLOOKUP(tbl_subscription[[#This Row],[Customer_ID]],tbl_clint[[#This Row],[Customer_ID]],tbl_clint[[#This Row],[Industry]])</f>
        <v/>
      </c>
      <c r="L159">
        <f>_xlfn.XLOOKUP(tbl_subscription[[#This Row],[Customer_ID]],tbl_clint[[#This Row],[Customer_ID]],tbl_clint[[#This Row],[Company_Size]])</f>
        <v/>
      </c>
      <c r="M159">
        <f>YEAR(tbl_subscription[[#This Row],[Start_Date]])</f>
        <v/>
      </c>
    </row>
    <row r="160">
      <c r="A160" t="inlineStr">
        <is>
          <t>C0159</t>
        </is>
      </c>
      <c r="B160" t="inlineStr">
        <is>
          <t>Standard</t>
        </is>
      </c>
      <c r="C160" s="4" t="n">
        <v>45076</v>
      </c>
      <c r="D160" s="4" t="n">
        <v>45657</v>
      </c>
      <c r="E160" t="n">
        <v>25</v>
      </c>
      <c r="F160" t="inlineStr">
        <is>
          <t>Churned</t>
        </is>
      </c>
      <c r="G160" t="inlineStr">
        <is>
          <t>Google</t>
        </is>
      </c>
      <c r="H160">
        <f>TEXT(C160,"mmm-yyyy")</f>
        <v/>
      </c>
      <c r="I160">
        <f>TEXT(D160,"mmm-yyyy")</f>
        <v/>
      </c>
      <c r="J160">
        <f>_xlfn.XLOOKUP(tbl_subscription[[#This Row],[Customer_ID]],tbl_clint[Customer_ID],tbl_clint[Country])</f>
        <v/>
      </c>
      <c r="K160">
        <f>_xlfn.XLOOKUP(tbl_subscription[[#This Row],[Customer_ID]],tbl_clint[[#This Row],[Customer_ID]],tbl_clint[[#This Row],[Industry]])</f>
        <v/>
      </c>
      <c r="L160">
        <f>_xlfn.XLOOKUP(tbl_subscription[[#This Row],[Customer_ID]],tbl_clint[[#This Row],[Customer_ID]],tbl_clint[[#This Row],[Company_Size]])</f>
        <v/>
      </c>
      <c r="M160">
        <f>YEAR(tbl_subscription[[#This Row],[Start_Date]])</f>
        <v/>
      </c>
    </row>
    <row r="161">
      <c r="A161" t="inlineStr">
        <is>
          <t>C0160</t>
        </is>
      </c>
      <c r="B161" t="inlineStr">
        <is>
          <t>Premium</t>
        </is>
      </c>
      <c r="C161" s="4" t="n">
        <v>43859</v>
      </c>
      <c r="D161" s="4" t="n">
        <v>45657</v>
      </c>
      <c r="E161" t="n">
        <v>40</v>
      </c>
      <c r="F161" t="inlineStr">
        <is>
          <t>Active</t>
        </is>
      </c>
      <c r="G161" t="inlineStr">
        <is>
          <t>LinkedIn</t>
        </is>
      </c>
      <c r="H161">
        <f>TEXT(C161,"mmm-yyyy")</f>
        <v/>
      </c>
      <c r="I161">
        <f>TEXT(D161,"mmm-yyyy")</f>
        <v/>
      </c>
      <c r="J161">
        <f>_xlfn.XLOOKUP(tbl_subscription[[#This Row],[Customer_ID]],tbl_clint[Customer_ID],tbl_clint[Country])</f>
        <v/>
      </c>
      <c r="K161">
        <f>_xlfn.XLOOKUP(tbl_subscription[[#This Row],[Customer_ID]],tbl_clint[[#This Row],[Customer_ID]],tbl_clint[[#This Row],[Industry]])</f>
        <v/>
      </c>
      <c r="L161">
        <f>_xlfn.XLOOKUP(tbl_subscription[[#This Row],[Customer_ID]],tbl_clint[[#This Row],[Customer_ID]],tbl_clint[[#This Row],[Company_Size]])</f>
        <v/>
      </c>
      <c r="M161">
        <f>YEAR(tbl_subscription[[#This Row],[Start_Date]])</f>
        <v/>
      </c>
    </row>
    <row r="162">
      <c r="A162" t="inlineStr">
        <is>
          <t>C0161</t>
        </is>
      </c>
      <c r="B162" t="inlineStr">
        <is>
          <t>Standard</t>
        </is>
      </c>
      <c r="C162" s="4" t="n">
        <v>45034</v>
      </c>
      <c r="D162" s="4" t="n">
        <v>45657</v>
      </c>
      <c r="E162" t="n">
        <v>25</v>
      </c>
      <c r="F162" t="inlineStr">
        <is>
          <t>Active</t>
        </is>
      </c>
      <c r="G162" t="inlineStr">
        <is>
          <t>Facebook</t>
        </is>
      </c>
      <c r="H162">
        <f>TEXT(C162,"mmm-yyyy")</f>
        <v/>
      </c>
      <c r="I162">
        <f>TEXT(D162,"mmm-yyyy")</f>
        <v/>
      </c>
      <c r="J162">
        <f>_xlfn.XLOOKUP(tbl_subscription[[#This Row],[Customer_ID]],tbl_clint[Customer_ID],tbl_clint[Country])</f>
        <v/>
      </c>
      <c r="K162">
        <f>_xlfn.XLOOKUP(tbl_subscription[[#This Row],[Customer_ID]],tbl_clint[[#This Row],[Customer_ID]],tbl_clint[[#This Row],[Industry]])</f>
        <v/>
      </c>
      <c r="L162">
        <f>_xlfn.XLOOKUP(tbl_subscription[[#This Row],[Customer_ID]],tbl_clint[[#This Row],[Customer_ID]],tbl_clint[[#This Row],[Company_Size]])</f>
        <v/>
      </c>
      <c r="M162">
        <f>YEAR(tbl_subscription[[#This Row],[Start_Date]])</f>
        <v/>
      </c>
    </row>
    <row r="163">
      <c r="A163" t="inlineStr">
        <is>
          <t>C0162</t>
        </is>
      </c>
      <c r="B163" t="inlineStr">
        <is>
          <t>Standard</t>
        </is>
      </c>
      <c r="C163" s="4" t="n">
        <v>45254</v>
      </c>
      <c r="D163" s="4" t="n">
        <v>45657</v>
      </c>
      <c r="E163" t="n">
        <v>25</v>
      </c>
      <c r="F163" t="inlineStr">
        <is>
          <t>Active</t>
        </is>
      </c>
      <c r="G163" t="inlineStr">
        <is>
          <t>Facebook</t>
        </is>
      </c>
      <c r="H163">
        <f>TEXT(C163,"mmm-yyyy")</f>
        <v/>
      </c>
      <c r="I163">
        <f>TEXT(D163,"mmm-yyyy")</f>
        <v/>
      </c>
      <c r="J163">
        <f>_xlfn.XLOOKUP(tbl_subscription[[#This Row],[Customer_ID]],tbl_clint[Customer_ID],tbl_clint[Country])</f>
        <v/>
      </c>
      <c r="K163">
        <f>_xlfn.XLOOKUP(tbl_subscription[[#This Row],[Customer_ID]],tbl_clint[[#This Row],[Customer_ID]],tbl_clint[[#This Row],[Industry]])</f>
        <v/>
      </c>
      <c r="L163">
        <f>_xlfn.XLOOKUP(tbl_subscription[[#This Row],[Customer_ID]],tbl_clint[[#This Row],[Customer_ID]],tbl_clint[[#This Row],[Company_Size]])</f>
        <v/>
      </c>
      <c r="M163">
        <f>YEAR(tbl_subscription[[#This Row],[Start_Date]])</f>
        <v/>
      </c>
    </row>
    <row r="164">
      <c r="A164" t="inlineStr">
        <is>
          <t>C0163</t>
        </is>
      </c>
      <c r="B164" t="inlineStr">
        <is>
          <t>Premium</t>
        </is>
      </c>
      <c r="C164" s="4" t="n">
        <v>44532</v>
      </c>
      <c r="D164" s="4" t="n">
        <v>45657</v>
      </c>
      <c r="E164" t="n">
        <v>40</v>
      </c>
      <c r="F164" t="inlineStr">
        <is>
          <t>Active</t>
        </is>
      </c>
      <c r="G164" t="inlineStr">
        <is>
          <t>Instagram</t>
        </is>
      </c>
      <c r="H164">
        <f>TEXT(C164,"mmm-yyyy")</f>
        <v/>
      </c>
      <c r="I164">
        <f>TEXT(D164,"mmm-yyyy")</f>
        <v/>
      </c>
      <c r="J164">
        <f>_xlfn.XLOOKUP(tbl_subscription[[#This Row],[Customer_ID]],tbl_clint[Customer_ID],tbl_clint[Country])</f>
        <v/>
      </c>
      <c r="K164">
        <f>_xlfn.XLOOKUP(tbl_subscription[[#This Row],[Customer_ID]],tbl_clint[[#This Row],[Customer_ID]],tbl_clint[[#This Row],[Industry]])</f>
        <v/>
      </c>
      <c r="L164">
        <f>_xlfn.XLOOKUP(tbl_subscription[[#This Row],[Customer_ID]],tbl_clint[[#This Row],[Customer_ID]],tbl_clint[[#This Row],[Company_Size]])</f>
        <v/>
      </c>
      <c r="M164">
        <f>YEAR(tbl_subscription[[#This Row],[Start_Date]])</f>
        <v/>
      </c>
    </row>
    <row r="165">
      <c r="A165" t="inlineStr">
        <is>
          <t>C0164</t>
        </is>
      </c>
      <c r="B165" t="inlineStr">
        <is>
          <t>Standard</t>
        </is>
      </c>
      <c r="C165" s="4" t="n">
        <v>45222</v>
      </c>
      <c r="D165" s="4" t="n">
        <v>45657</v>
      </c>
      <c r="E165" t="n">
        <v>25</v>
      </c>
      <c r="F165" t="inlineStr">
        <is>
          <t>Active</t>
        </is>
      </c>
      <c r="G165" t="inlineStr">
        <is>
          <t>Google</t>
        </is>
      </c>
      <c r="H165">
        <f>TEXT(C165,"mmm-yyyy")</f>
        <v/>
      </c>
      <c r="I165">
        <f>TEXT(D165,"mmm-yyyy")</f>
        <v/>
      </c>
      <c r="J165">
        <f>_xlfn.XLOOKUP(tbl_subscription[[#This Row],[Customer_ID]],tbl_clint[Customer_ID],tbl_clint[Country])</f>
        <v/>
      </c>
      <c r="K165">
        <f>_xlfn.XLOOKUP(tbl_subscription[[#This Row],[Customer_ID]],tbl_clint[[#This Row],[Customer_ID]],tbl_clint[[#This Row],[Industry]])</f>
        <v/>
      </c>
      <c r="L165">
        <f>_xlfn.XLOOKUP(tbl_subscription[[#This Row],[Customer_ID]],tbl_clint[[#This Row],[Customer_ID]],tbl_clint[[#This Row],[Company_Size]])</f>
        <v/>
      </c>
      <c r="M165">
        <f>YEAR(tbl_subscription[[#This Row],[Start_Date]])</f>
        <v/>
      </c>
    </row>
    <row r="166">
      <c r="A166" t="inlineStr">
        <is>
          <t>C0165</t>
        </is>
      </c>
      <c r="B166" t="inlineStr">
        <is>
          <t>Premium</t>
        </is>
      </c>
      <c r="C166" s="4" t="n">
        <v>45420</v>
      </c>
      <c r="D166" s="4" t="n">
        <v>45657</v>
      </c>
      <c r="E166" t="n">
        <v>40</v>
      </c>
      <c r="F166" t="inlineStr">
        <is>
          <t>Active</t>
        </is>
      </c>
      <c r="G166" t="inlineStr">
        <is>
          <t>Instagram</t>
        </is>
      </c>
      <c r="H166">
        <f>TEXT(C166,"mmm-yyyy")</f>
        <v/>
      </c>
      <c r="I166">
        <f>TEXT(D166,"mmm-yyyy")</f>
        <v/>
      </c>
      <c r="J166">
        <f>_xlfn.XLOOKUP(tbl_subscription[[#This Row],[Customer_ID]],tbl_clint[Customer_ID],tbl_clint[Country])</f>
        <v/>
      </c>
      <c r="K166">
        <f>_xlfn.XLOOKUP(tbl_subscription[[#This Row],[Customer_ID]],tbl_clint[[#This Row],[Customer_ID]],tbl_clint[[#This Row],[Industry]])</f>
        <v/>
      </c>
      <c r="L166">
        <f>_xlfn.XLOOKUP(tbl_subscription[[#This Row],[Customer_ID]],tbl_clint[[#This Row],[Customer_ID]],tbl_clint[[#This Row],[Company_Size]])</f>
        <v/>
      </c>
      <c r="M166">
        <f>YEAR(tbl_subscription[[#This Row],[Start_Date]])</f>
        <v/>
      </c>
    </row>
    <row r="167">
      <c r="A167" t="inlineStr">
        <is>
          <t>C0166</t>
        </is>
      </c>
      <c r="B167" t="inlineStr">
        <is>
          <t>Premium</t>
        </is>
      </c>
      <c r="C167" s="4" t="n">
        <v>45024</v>
      </c>
      <c r="D167" s="4" t="n">
        <v>45657</v>
      </c>
      <c r="E167" t="n">
        <v>40</v>
      </c>
      <c r="F167" t="inlineStr">
        <is>
          <t>Active</t>
        </is>
      </c>
      <c r="G167" t="inlineStr">
        <is>
          <t>Referral</t>
        </is>
      </c>
      <c r="H167">
        <f>TEXT(C167,"mmm-yyyy")</f>
        <v/>
      </c>
      <c r="I167">
        <f>TEXT(D167,"mmm-yyyy")</f>
        <v/>
      </c>
      <c r="J167">
        <f>_xlfn.XLOOKUP(tbl_subscription[[#This Row],[Customer_ID]],tbl_clint[Customer_ID],tbl_clint[Country])</f>
        <v/>
      </c>
      <c r="K167">
        <f>_xlfn.XLOOKUP(tbl_subscription[[#This Row],[Customer_ID]],tbl_clint[[#This Row],[Customer_ID]],tbl_clint[[#This Row],[Industry]])</f>
        <v/>
      </c>
      <c r="L167">
        <f>_xlfn.XLOOKUP(tbl_subscription[[#This Row],[Customer_ID]],tbl_clint[[#This Row],[Customer_ID]],tbl_clint[[#This Row],[Company_Size]])</f>
        <v/>
      </c>
      <c r="M167">
        <f>YEAR(tbl_subscription[[#This Row],[Start_Date]])</f>
        <v/>
      </c>
    </row>
    <row r="168">
      <c r="A168" t="inlineStr">
        <is>
          <t>C0167</t>
        </is>
      </c>
      <c r="B168" t="inlineStr">
        <is>
          <t>Basic</t>
        </is>
      </c>
      <c r="C168" s="4" t="n">
        <v>45253</v>
      </c>
      <c r="D168" s="4" t="n">
        <v>45657</v>
      </c>
      <c r="E168" t="n">
        <v>15</v>
      </c>
      <c r="F168" t="inlineStr">
        <is>
          <t>Active</t>
        </is>
      </c>
      <c r="G168" t="inlineStr">
        <is>
          <t>Facebook</t>
        </is>
      </c>
      <c r="H168">
        <f>TEXT(C168,"mmm-yyyy")</f>
        <v/>
      </c>
      <c r="I168">
        <f>TEXT(D168,"mmm-yyyy")</f>
        <v/>
      </c>
      <c r="J168">
        <f>_xlfn.XLOOKUP(tbl_subscription[[#This Row],[Customer_ID]],tbl_clint[Customer_ID],tbl_clint[Country])</f>
        <v/>
      </c>
      <c r="K168">
        <f>_xlfn.XLOOKUP(tbl_subscription[[#This Row],[Customer_ID]],tbl_clint[[#This Row],[Customer_ID]],tbl_clint[[#This Row],[Industry]])</f>
        <v/>
      </c>
      <c r="L168">
        <f>_xlfn.XLOOKUP(tbl_subscription[[#This Row],[Customer_ID]],tbl_clint[[#This Row],[Customer_ID]],tbl_clint[[#This Row],[Company_Size]])</f>
        <v/>
      </c>
      <c r="M168">
        <f>YEAR(tbl_subscription[[#This Row],[Start_Date]])</f>
        <v/>
      </c>
    </row>
    <row r="169">
      <c r="A169" t="inlineStr">
        <is>
          <t>C0168</t>
        </is>
      </c>
      <c r="B169" t="inlineStr">
        <is>
          <t>Premium</t>
        </is>
      </c>
      <c r="C169" s="4" t="n">
        <v>45177</v>
      </c>
      <c r="D169" s="4" t="n">
        <v>45657</v>
      </c>
      <c r="E169" t="n">
        <v>40</v>
      </c>
      <c r="F169" t="inlineStr">
        <is>
          <t>Active</t>
        </is>
      </c>
      <c r="G169" t="inlineStr">
        <is>
          <t>Google</t>
        </is>
      </c>
      <c r="H169">
        <f>TEXT(C169,"mmm-yyyy")</f>
        <v/>
      </c>
      <c r="I169">
        <f>TEXT(D169,"mmm-yyyy")</f>
        <v/>
      </c>
      <c r="J169">
        <f>_xlfn.XLOOKUP(tbl_subscription[[#This Row],[Customer_ID]],tbl_clint[Customer_ID],tbl_clint[Country])</f>
        <v/>
      </c>
      <c r="K169">
        <f>_xlfn.XLOOKUP(tbl_subscription[[#This Row],[Customer_ID]],tbl_clint[[#This Row],[Customer_ID]],tbl_clint[[#This Row],[Industry]])</f>
        <v/>
      </c>
      <c r="L169">
        <f>_xlfn.XLOOKUP(tbl_subscription[[#This Row],[Customer_ID]],tbl_clint[[#This Row],[Customer_ID]],tbl_clint[[#This Row],[Company_Size]])</f>
        <v/>
      </c>
      <c r="M169">
        <f>YEAR(tbl_subscription[[#This Row],[Start_Date]])</f>
        <v/>
      </c>
    </row>
    <row r="170">
      <c r="A170" t="inlineStr">
        <is>
          <t>C0169</t>
        </is>
      </c>
      <c r="B170" t="inlineStr">
        <is>
          <t>Standard</t>
        </is>
      </c>
      <c r="C170" s="4" t="n">
        <v>44385</v>
      </c>
      <c r="D170" s="4" t="n">
        <v>45027</v>
      </c>
      <c r="E170" t="n">
        <v>25</v>
      </c>
      <c r="F170" t="inlineStr">
        <is>
          <t>Churned</t>
        </is>
      </c>
      <c r="G170" t="inlineStr">
        <is>
          <t>Facebook</t>
        </is>
      </c>
      <c r="H170">
        <f>TEXT(C170,"mmm-yyyy")</f>
        <v/>
      </c>
      <c r="I170">
        <f>TEXT(D170,"mmm-yyyy")</f>
        <v/>
      </c>
      <c r="J170">
        <f>_xlfn.XLOOKUP(tbl_subscription[[#This Row],[Customer_ID]],tbl_clint[Customer_ID],tbl_clint[Country])</f>
        <v/>
      </c>
      <c r="K170">
        <f>_xlfn.XLOOKUP(tbl_subscription[[#This Row],[Customer_ID]],tbl_clint[[#This Row],[Customer_ID]],tbl_clint[[#This Row],[Industry]])</f>
        <v/>
      </c>
      <c r="L170">
        <f>_xlfn.XLOOKUP(tbl_subscription[[#This Row],[Customer_ID]],tbl_clint[[#This Row],[Customer_ID]],tbl_clint[[#This Row],[Company_Size]])</f>
        <v/>
      </c>
      <c r="M170">
        <f>YEAR(tbl_subscription[[#This Row],[Start_Date]])</f>
        <v/>
      </c>
    </row>
    <row r="171">
      <c r="A171" t="inlineStr">
        <is>
          <t>C0170</t>
        </is>
      </c>
      <c r="B171" t="inlineStr">
        <is>
          <t>Premium</t>
        </is>
      </c>
      <c r="C171" s="4" t="n">
        <v>43972</v>
      </c>
      <c r="D171" s="4" t="n">
        <v>45657</v>
      </c>
      <c r="E171" t="n">
        <v>40</v>
      </c>
      <c r="F171" t="inlineStr">
        <is>
          <t>Active</t>
        </is>
      </c>
      <c r="G171" t="inlineStr">
        <is>
          <t>Facebook</t>
        </is>
      </c>
      <c r="H171">
        <f>TEXT(C171,"mmm-yyyy")</f>
        <v/>
      </c>
      <c r="I171">
        <f>TEXT(D171,"mmm-yyyy")</f>
        <v/>
      </c>
      <c r="J171">
        <f>_xlfn.XLOOKUP(tbl_subscription[[#This Row],[Customer_ID]],tbl_clint[Customer_ID],tbl_clint[Country])</f>
        <v/>
      </c>
      <c r="K171">
        <f>_xlfn.XLOOKUP(tbl_subscription[[#This Row],[Customer_ID]],tbl_clint[[#This Row],[Customer_ID]],tbl_clint[[#This Row],[Industry]])</f>
        <v/>
      </c>
      <c r="L171">
        <f>_xlfn.XLOOKUP(tbl_subscription[[#This Row],[Customer_ID]],tbl_clint[[#This Row],[Customer_ID]],tbl_clint[[#This Row],[Company_Size]])</f>
        <v/>
      </c>
      <c r="M171">
        <f>YEAR(tbl_subscription[[#This Row],[Start_Date]])</f>
        <v/>
      </c>
    </row>
    <row r="172">
      <c r="A172" t="inlineStr">
        <is>
          <t>C0171</t>
        </is>
      </c>
      <c r="B172" t="inlineStr">
        <is>
          <t>Basic</t>
        </is>
      </c>
      <c r="C172" s="4" t="n">
        <v>45082</v>
      </c>
      <c r="D172" s="4" t="n">
        <v>45657</v>
      </c>
      <c r="E172" t="n">
        <v>15</v>
      </c>
      <c r="F172" t="inlineStr">
        <is>
          <t>Churned</t>
        </is>
      </c>
      <c r="G172" t="inlineStr">
        <is>
          <t>LinkedIn</t>
        </is>
      </c>
      <c r="H172">
        <f>TEXT(C172,"mmm-yyyy")</f>
        <v/>
      </c>
      <c r="I172">
        <f>TEXT(D172,"mmm-yyyy")</f>
        <v/>
      </c>
      <c r="J172">
        <f>_xlfn.XLOOKUP(tbl_subscription[[#This Row],[Customer_ID]],tbl_clint[Customer_ID],tbl_clint[Country])</f>
        <v/>
      </c>
      <c r="K172">
        <f>_xlfn.XLOOKUP(tbl_subscription[[#This Row],[Customer_ID]],tbl_clint[[#This Row],[Customer_ID]],tbl_clint[[#This Row],[Industry]])</f>
        <v/>
      </c>
      <c r="L172">
        <f>_xlfn.XLOOKUP(tbl_subscription[[#This Row],[Customer_ID]],tbl_clint[[#This Row],[Customer_ID]],tbl_clint[[#This Row],[Company_Size]])</f>
        <v/>
      </c>
      <c r="M172">
        <f>YEAR(tbl_subscription[[#This Row],[Start_Date]])</f>
        <v/>
      </c>
    </row>
    <row r="173">
      <c r="A173" t="inlineStr">
        <is>
          <t>C0172</t>
        </is>
      </c>
      <c r="B173" t="inlineStr">
        <is>
          <t>Basic</t>
        </is>
      </c>
      <c r="C173" s="4" t="n">
        <v>44699</v>
      </c>
      <c r="D173" s="4" t="n">
        <v>45657</v>
      </c>
      <c r="E173" t="n">
        <v>15</v>
      </c>
      <c r="F173" t="inlineStr">
        <is>
          <t>Active</t>
        </is>
      </c>
      <c r="G173" t="inlineStr">
        <is>
          <t>Google</t>
        </is>
      </c>
      <c r="H173">
        <f>TEXT(C173,"mmm-yyyy")</f>
        <v/>
      </c>
      <c r="I173">
        <f>TEXT(D173,"mmm-yyyy")</f>
        <v/>
      </c>
      <c r="J173">
        <f>_xlfn.XLOOKUP(tbl_subscription[[#This Row],[Customer_ID]],tbl_clint[Customer_ID],tbl_clint[Country])</f>
        <v/>
      </c>
      <c r="K173">
        <f>_xlfn.XLOOKUP(tbl_subscription[[#This Row],[Customer_ID]],tbl_clint[[#This Row],[Customer_ID]],tbl_clint[[#This Row],[Industry]])</f>
        <v/>
      </c>
      <c r="L173">
        <f>_xlfn.XLOOKUP(tbl_subscription[[#This Row],[Customer_ID]],tbl_clint[[#This Row],[Customer_ID]],tbl_clint[[#This Row],[Company_Size]])</f>
        <v/>
      </c>
      <c r="M173">
        <f>YEAR(tbl_subscription[[#This Row],[Start_Date]])</f>
        <v/>
      </c>
    </row>
    <row r="174">
      <c r="A174" t="inlineStr">
        <is>
          <t>C0173</t>
        </is>
      </c>
      <c r="B174" t="inlineStr">
        <is>
          <t>Premium</t>
        </is>
      </c>
      <c r="C174" s="4" t="n">
        <v>44145</v>
      </c>
      <c r="D174" s="4" t="n">
        <v>45657</v>
      </c>
      <c r="E174" t="n">
        <v>40</v>
      </c>
      <c r="F174" t="inlineStr">
        <is>
          <t>Active</t>
        </is>
      </c>
      <c r="G174" t="inlineStr">
        <is>
          <t>LinkedIn</t>
        </is>
      </c>
      <c r="H174">
        <f>TEXT(C174,"mmm-yyyy")</f>
        <v/>
      </c>
      <c r="I174">
        <f>TEXT(D174,"mmm-yyyy")</f>
        <v/>
      </c>
      <c r="J174">
        <f>_xlfn.XLOOKUP(tbl_subscription[[#This Row],[Customer_ID]],tbl_clint[Customer_ID],tbl_clint[Country])</f>
        <v/>
      </c>
      <c r="K174">
        <f>_xlfn.XLOOKUP(tbl_subscription[[#This Row],[Customer_ID]],tbl_clint[[#This Row],[Customer_ID]],tbl_clint[[#This Row],[Industry]])</f>
        <v/>
      </c>
      <c r="L174">
        <f>_xlfn.XLOOKUP(tbl_subscription[[#This Row],[Customer_ID]],tbl_clint[[#This Row],[Customer_ID]],tbl_clint[[#This Row],[Company_Size]])</f>
        <v/>
      </c>
      <c r="M174">
        <f>YEAR(tbl_subscription[[#This Row],[Start_Date]])</f>
        <v/>
      </c>
    </row>
    <row r="175">
      <c r="A175" t="inlineStr">
        <is>
          <t>C0174</t>
        </is>
      </c>
      <c r="B175" t="inlineStr">
        <is>
          <t>Standard</t>
        </is>
      </c>
      <c r="C175" s="4" t="n">
        <v>44272</v>
      </c>
      <c r="D175" s="4" t="n">
        <v>44387</v>
      </c>
      <c r="E175" t="n">
        <v>25</v>
      </c>
      <c r="F175" t="inlineStr">
        <is>
          <t>Churned</t>
        </is>
      </c>
      <c r="G175" t="inlineStr">
        <is>
          <t>LinkedIn</t>
        </is>
      </c>
      <c r="H175">
        <f>TEXT(C175,"mmm-yyyy")</f>
        <v/>
      </c>
      <c r="I175">
        <f>TEXT(D175,"mmm-yyyy")</f>
        <v/>
      </c>
      <c r="J175">
        <f>_xlfn.XLOOKUP(tbl_subscription[[#This Row],[Customer_ID]],tbl_clint[Customer_ID],tbl_clint[Country])</f>
        <v/>
      </c>
      <c r="K175">
        <f>_xlfn.XLOOKUP(tbl_subscription[[#This Row],[Customer_ID]],tbl_clint[[#This Row],[Customer_ID]],tbl_clint[[#This Row],[Industry]])</f>
        <v/>
      </c>
      <c r="L175">
        <f>_xlfn.XLOOKUP(tbl_subscription[[#This Row],[Customer_ID]],tbl_clint[[#This Row],[Customer_ID]],tbl_clint[[#This Row],[Company_Size]])</f>
        <v/>
      </c>
      <c r="M175">
        <f>YEAR(tbl_subscription[[#This Row],[Start_Date]])</f>
        <v/>
      </c>
    </row>
    <row r="176">
      <c r="A176" t="inlineStr">
        <is>
          <t>C0175</t>
        </is>
      </c>
      <c r="B176" t="inlineStr">
        <is>
          <t>Premium</t>
        </is>
      </c>
      <c r="C176" s="4" t="n">
        <v>45273</v>
      </c>
      <c r="D176" s="4" t="n">
        <v>45657</v>
      </c>
      <c r="E176" t="n">
        <v>40</v>
      </c>
      <c r="F176" t="inlineStr">
        <is>
          <t>Active</t>
        </is>
      </c>
      <c r="G176" t="inlineStr">
        <is>
          <t>LinkedIn</t>
        </is>
      </c>
      <c r="H176">
        <f>TEXT(C176,"mmm-yyyy")</f>
        <v/>
      </c>
      <c r="I176">
        <f>TEXT(D176,"mmm-yyyy")</f>
        <v/>
      </c>
      <c r="J176">
        <f>_xlfn.XLOOKUP(tbl_subscription[[#This Row],[Customer_ID]],tbl_clint[Customer_ID],tbl_clint[Country])</f>
        <v/>
      </c>
      <c r="K176">
        <f>_xlfn.XLOOKUP(tbl_subscription[[#This Row],[Customer_ID]],tbl_clint[[#This Row],[Customer_ID]],tbl_clint[[#This Row],[Industry]])</f>
        <v/>
      </c>
      <c r="L176">
        <f>_xlfn.XLOOKUP(tbl_subscription[[#This Row],[Customer_ID]],tbl_clint[[#This Row],[Customer_ID]],tbl_clint[[#This Row],[Company_Size]])</f>
        <v/>
      </c>
      <c r="M176">
        <f>YEAR(tbl_subscription[[#This Row],[Start_Date]])</f>
        <v/>
      </c>
    </row>
    <row r="177">
      <c r="A177" t="inlineStr">
        <is>
          <t>C0176</t>
        </is>
      </c>
      <c r="B177" t="inlineStr">
        <is>
          <t>Premium</t>
        </is>
      </c>
      <c r="C177" s="4" t="n">
        <v>44391</v>
      </c>
      <c r="D177" s="4" t="n">
        <v>45657</v>
      </c>
      <c r="E177" t="n">
        <v>40</v>
      </c>
      <c r="F177" t="inlineStr">
        <is>
          <t>Active</t>
        </is>
      </c>
      <c r="G177" t="inlineStr">
        <is>
          <t>Instagram</t>
        </is>
      </c>
      <c r="H177">
        <f>TEXT(C177,"mmm-yyyy")</f>
        <v/>
      </c>
      <c r="I177">
        <f>TEXT(D177,"mmm-yyyy")</f>
        <v/>
      </c>
      <c r="J177">
        <f>_xlfn.XLOOKUP(tbl_subscription[[#This Row],[Customer_ID]],tbl_clint[Customer_ID],tbl_clint[Country])</f>
        <v/>
      </c>
      <c r="K177">
        <f>_xlfn.XLOOKUP(tbl_subscription[[#This Row],[Customer_ID]],tbl_clint[[#This Row],[Customer_ID]],tbl_clint[[#This Row],[Industry]])</f>
        <v/>
      </c>
      <c r="L177">
        <f>_xlfn.XLOOKUP(tbl_subscription[[#This Row],[Customer_ID]],tbl_clint[[#This Row],[Customer_ID]],tbl_clint[[#This Row],[Company_Size]])</f>
        <v/>
      </c>
      <c r="M177">
        <f>YEAR(tbl_subscription[[#This Row],[Start_Date]])</f>
        <v/>
      </c>
    </row>
    <row r="178">
      <c r="A178" t="inlineStr">
        <is>
          <t>C0177</t>
        </is>
      </c>
      <c r="B178" t="inlineStr">
        <is>
          <t>Basic</t>
        </is>
      </c>
      <c r="C178" s="4" t="n">
        <v>44168</v>
      </c>
      <c r="D178" s="4" t="n">
        <v>45657</v>
      </c>
      <c r="E178" t="n">
        <v>15</v>
      </c>
      <c r="F178" t="inlineStr">
        <is>
          <t>Active</t>
        </is>
      </c>
      <c r="G178" t="inlineStr">
        <is>
          <t>Referral</t>
        </is>
      </c>
      <c r="H178">
        <f>TEXT(C178,"mmm-yyyy")</f>
        <v/>
      </c>
      <c r="I178">
        <f>TEXT(D178,"mmm-yyyy")</f>
        <v/>
      </c>
      <c r="J178">
        <f>_xlfn.XLOOKUP(tbl_subscription[[#This Row],[Customer_ID]],tbl_clint[Customer_ID],tbl_clint[Country])</f>
        <v/>
      </c>
      <c r="K178">
        <f>_xlfn.XLOOKUP(tbl_subscription[[#This Row],[Customer_ID]],tbl_clint[[#This Row],[Customer_ID]],tbl_clint[[#This Row],[Industry]])</f>
        <v/>
      </c>
      <c r="L178">
        <f>_xlfn.XLOOKUP(tbl_subscription[[#This Row],[Customer_ID]],tbl_clint[[#This Row],[Customer_ID]],tbl_clint[[#This Row],[Company_Size]])</f>
        <v/>
      </c>
      <c r="M178">
        <f>YEAR(tbl_subscription[[#This Row],[Start_Date]])</f>
        <v/>
      </c>
    </row>
    <row r="179">
      <c r="A179" t="inlineStr">
        <is>
          <t>C0178</t>
        </is>
      </c>
      <c r="B179" t="inlineStr">
        <is>
          <t>Premium</t>
        </is>
      </c>
      <c r="C179" s="4" t="n">
        <v>45203</v>
      </c>
      <c r="D179" s="4" t="n">
        <v>45657</v>
      </c>
      <c r="E179" t="n">
        <v>40</v>
      </c>
      <c r="F179" t="inlineStr">
        <is>
          <t>Active</t>
        </is>
      </c>
      <c r="G179" t="inlineStr">
        <is>
          <t>Instagram</t>
        </is>
      </c>
      <c r="H179">
        <f>TEXT(C179,"mmm-yyyy")</f>
        <v/>
      </c>
      <c r="I179">
        <f>TEXT(D179,"mmm-yyyy")</f>
        <v/>
      </c>
      <c r="J179">
        <f>_xlfn.XLOOKUP(tbl_subscription[[#This Row],[Customer_ID]],tbl_clint[Customer_ID],tbl_clint[Country])</f>
        <v/>
      </c>
      <c r="K179">
        <f>_xlfn.XLOOKUP(tbl_subscription[[#This Row],[Customer_ID]],tbl_clint[[#This Row],[Customer_ID]],tbl_clint[[#This Row],[Industry]])</f>
        <v/>
      </c>
      <c r="L179">
        <f>_xlfn.XLOOKUP(tbl_subscription[[#This Row],[Customer_ID]],tbl_clint[[#This Row],[Customer_ID]],tbl_clint[[#This Row],[Company_Size]])</f>
        <v/>
      </c>
      <c r="M179">
        <f>YEAR(tbl_subscription[[#This Row],[Start_Date]])</f>
        <v/>
      </c>
    </row>
    <row r="180">
      <c r="A180" t="inlineStr">
        <is>
          <t>C0179</t>
        </is>
      </c>
      <c r="B180" t="inlineStr">
        <is>
          <t>Premium</t>
        </is>
      </c>
      <c r="C180" s="4" t="n">
        <v>44321</v>
      </c>
      <c r="D180" s="4" t="n">
        <v>45657</v>
      </c>
      <c r="E180" t="n">
        <v>40</v>
      </c>
      <c r="F180" t="inlineStr">
        <is>
          <t>Active</t>
        </is>
      </c>
      <c r="G180" t="inlineStr">
        <is>
          <t>Referral</t>
        </is>
      </c>
      <c r="H180">
        <f>TEXT(C180,"mmm-yyyy")</f>
        <v/>
      </c>
      <c r="I180">
        <f>TEXT(D180,"mmm-yyyy")</f>
        <v/>
      </c>
      <c r="J180">
        <f>_xlfn.XLOOKUP(tbl_subscription[[#This Row],[Customer_ID]],tbl_clint[Customer_ID],tbl_clint[Country])</f>
        <v/>
      </c>
      <c r="K180">
        <f>_xlfn.XLOOKUP(tbl_subscription[[#This Row],[Customer_ID]],tbl_clint[[#This Row],[Customer_ID]],tbl_clint[[#This Row],[Industry]])</f>
        <v/>
      </c>
      <c r="L180">
        <f>_xlfn.XLOOKUP(tbl_subscription[[#This Row],[Customer_ID]],tbl_clint[[#This Row],[Customer_ID]],tbl_clint[[#This Row],[Company_Size]])</f>
        <v/>
      </c>
      <c r="M180">
        <f>YEAR(tbl_subscription[[#This Row],[Start_Date]])</f>
        <v/>
      </c>
    </row>
    <row r="181">
      <c r="A181" t="inlineStr">
        <is>
          <t>C0180</t>
        </is>
      </c>
      <c r="B181" t="inlineStr">
        <is>
          <t>Basic</t>
        </is>
      </c>
      <c r="C181" s="4" t="n">
        <v>44199</v>
      </c>
      <c r="D181" s="4" t="n">
        <v>44946</v>
      </c>
      <c r="E181" t="n">
        <v>15</v>
      </c>
      <c r="F181" t="inlineStr">
        <is>
          <t>Churned</t>
        </is>
      </c>
      <c r="G181" t="inlineStr">
        <is>
          <t>Referral</t>
        </is>
      </c>
      <c r="H181">
        <f>TEXT(C181,"mmm-yyyy")</f>
        <v/>
      </c>
      <c r="I181">
        <f>TEXT(D181,"mmm-yyyy")</f>
        <v/>
      </c>
      <c r="J181">
        <f>_xlfn.XLOOKUP(tbl_subscription[[#This Row],[Customer_ID]],tbl_clint[Customer_ID],tbl_clint[Country])</f>
        <v/>
      </c>
      <c r="K181">
        <f>_xlfn.XLOOKUP(tbl_subscription[[#This Row],[Customer_ID]],tbl_clint[[#This Row],[Customer_ID]],tbl_clint[[#This Row],[Industry]])</f>
        <v/>
      </c>
      <c r="L181">
        <f>_xlfn.XLOOKUP(tbl_subscription[[#This Row],[Customer_ID]],tbl_clint[[#This Row],[Customer_ID]],tbl_clint[[#This Row],[Company_Size]])</f>
        <v/>
      </c>
      <c r="M181">
        <f>YEAR(tbl_subscription[[#This Row],[Start_Date]])</f>
        <v/>
      </c>
    </row>
    <row r="182">
      <c r="A182" t="inlineStr">
        <is>
          <t>C0181</t>
        </is>
      </c>
      <c r="B182" t="inlineStr">
        <is>
          <t>Standard</t>
        </is>
      </c>
      <c r="C182" s="4" t="n">
        <v>44123</v>
      </c>
      <c r="D182" s="4" t="n">
        <v>45657</v>
      </c>
      <c r="E182" t="n">
        <v>25</v>
      </c>
      <c r="F182" t="inlineStr">
        <is>
          <t>Active</t>
        </is>
      </c>
      <c r="G182" t="inlineStr">
        <is>
          <t>Instagram</t>
        </is>
      </c>
      <c r="H182">
        <f>TEXT(C182,"mmm-yyyy")</f>
        <v/>
      </c>
      <c r="I182">
        <f>TEXT(D182,"mmm-yyyy")</f>
        <v/>
      </c>
      <c r="J182">
        <f>_xlfn.XLOOKUP(tbl_subscription[[#This Row],[Customer_ID]],tbl_clint[Customer_ID],tbl_clint[Country])</f>
        <v/>
      </c>
      <c r="K182">
        <f>_xlfn.XLOOKUP(tbl_subscription[[#This Row],[Customer_ID]],tbl_clint[[#This Row],[Customer_ID]],tbl_clint[[#This Row],[Industry]])</f>
        <v/>
      </c>
      <c r="L182">
        <f>_xlfn.XLOOKUP(tbl_subscription[[#This Row],[Customer_ID]],tbl_clint[[#This Row],[Customer_ID]],tbl_clint[[#This Row],[Company_Size]])</f>
        <v/>
      </c>
      <c r="M182">
        <f>YEAR(tbl_subscription[[#This Row],[Start_Date]])</f>
        <v/>
      </c>
    </row>
    <row r="183">
      <c r="A183" t="inlineStr">
        <is>
          <t>C0182</t>
        </is>
      </c>
      <c r="B183" t="inlineStr">
        <is>
          <t>Standard</t>
        </is>
      </c>
      <c r="C183" s="4" t="n">
        <v>43902</v>
      </c>
      <c r="D183" s="4" t="n">
        <v>45657</v>
      </c>
      <c r="E183" t="n">
        <v>25</v>
      </c>
      <c r="F183" t="inlineStr">
        <is>
          <t>Active</t>
        </is>
      </c>
      <c r="G183" t="inlineStr">
        <is>
          <t>Facebook</t>
        </is>
      </c>
      <c r="H183">
        <f>TEXT(C183,"mmm-yyyy")</f>
        <v/>
      </c>
      <c r="I183">
        <f>TEXT(D183,"mmm-yyyy")</f>
        <v/>
      </c>
      <c r="J183">
        <f>_xlfn.XLOOKUP(tbl_subscription[[#This Row],[Customer_ID]],tbl_clint[Customer_ID],tbl_clint[Country])</f>
        <v/>
      </c>
      <c r="K183">
        <f>_xlfn.XLOOKUP(tbl_subscription[[#This Row],[Customer_ID]],tbl_clint[[#This Row],[Customer_ID]],tbl_clint[[#This Row],[Industry]])</f>
        <v/>
      </c>
      <c r="L183">
        <f>_xlfn.XLOOKUP(tbl_subscription[[#This Row],[Customer_ID]],tbl_clint[[#This Row],[Customer_ID]],tbl_clint[[#This Row],[Company_Size]])</f>
        <v/>
      </c>
      <c r="M183">
        <f>YEAR(tbl_subscription[[#This Row],[Start_Date]])</f>
        <v/>
      </c>
    </row>
    <row r="184">
      <c r="A184" t="inlineStr">
        <is>
          <t>C0183</t>
        </is>
      </c>
      <c r="B184" t="inlineStr">
        <is>
          <t>Basic</t>
        </is>
      </c>
      <c r="C184" s="4" t="n">
        <v>45382</v>
      </c>
      <c r="D184" s="4" t="n">
        <v>45657</v>
      </c>
      <c r="E184" t="n">
        <v>15</v>
      </c>
      <c r="F184" t="inlineStr">
        <is>
          <t>Churned</t>
        </is>
      </c>
      <c r="G184" t="inlineStr">
        <is>
          <t>Facebook</t>
        </is>
      </c>
      <c r="H184">
        <f>TEXT(C184,"mmm-yyyy")</f>
        <v/>
      </c>
      <c r="I184">
        <f>TEXT(D184,"mmm-yyyy")</f>
        <v/>
      </c>
      <c r="J184">
        <f>_xlfn.XLOOKUP(tbl_subscription[[#This Row],[Customer_ID]],tbl_clint[Customer_ID],tbl_clint[Country])</f>
        <v/>
      </c>
      <c r="K184">
        <f>_xlfn.XLOOKUP(tbl_subscription[[#This Row],[Customer_ID]],tbl_clint[[#This Row],[Customer_ID]],tbl_clint[[#This Row],[Industry]])</f>
        <v/>
      </c>
      <c r="L184">
        <f>_xlfn.XLOOKUP(tbl_subscription[[#This Row],[Customer_ID]],tbl_clint[[#This Row],[Customer_ID]],tbl_clint[[#This Row],[Company_Size]])</f>
        <v/>
      </c>
      <c r="M184">
        <f>YEAR(tbl_subscription[[#This Row],[Start_Date]])</f>
        <v/>
      </c>
    </row>
    <row r="185">
      <c r="A185" t="inlineStr">
        <is>
          <t>C0184</t>
        </is>
      </c>
      <c r="B185" t="inlineStr">
        <is>
          <t>Premium</t>
        </is>
      </c>
      <c r="C185" s="4" t="n">
        <v>44341</v>
      </c>
      <c r="D185" s="4" t="n">
        <v>45657</v>
      </c>
      <c r="E185" t="n">
        <v>40</v>
      </c>
      <c r="F185" t="inlineStr">
        <is>
          <t>Active</t>
        </is>
      </c>
      <c r="G185" t="inlineStr">
        <is>
          <t>Google</t>
        </is>
      </c>
      <c r="H185">
        <f>TEXT(C185,"mmm-yyyy")</f>
        <v/>
      </c>
      <c r="I185">
        <f>TEXT(D185,"mmm-yyyy")</f>
        <v/>
      </c>
      <c r="J185">
        <f>_xlfn.XLOOKUP(tbl_subscription[[#This Row],[Customer_ID]],tbl_clint[Customer_ID],tbl_clint[Country])</f>
        <v/>
      </c>
      <c r="K185">
        <f>_xlfn.XLOOKUP(tbl_subscription[[#This Row],[Customer_ID]],tbl_clint[[#This Row],[Customer_ID]],tbl_clint[[#This Row],[Industry]])</f>
        <v/>
      </c>
      <c r="L185">
        <f>_xlfn.XLOOKUP(tbl_subscription[[#This Row],[Customer_ID]],tbl_clint[[#This Row],[Customer_ID]],tbl_clint[[#This Row],[Company_Size]])</f>
        <v/>
      </c>
      <c r="M185">
        <f>YEAR(tbl_subscription[[#This Row],[Start_Date]])</f>
        <v/>
      </c>
    </row>
    <row r="186">
      <c r="A186" t="inlineStr">
        <is>
          <t>C0185</t>
        </is>
      </c>
      <c r="B186" t="inlineStr">
        <is>
          <t>Standard</t>
        </is>
      </c>
      <c r="C186" s="4" t="n">
        <v>43990</v>
      </c>
      <c r="D186" s="4" t="n">
        <v>45657</v>
      </c>
      <c r="E186" t="n">
        <v>25</v>
      </c>
      <c r="F186" t="inlineStr">
        <is>
          <t>Active</t>
        </is>
      </c>
      <c r="G186" t="inlineStr">
        <is>
          <t>Google</t>
        </is>
      </c>
      <c r="H186">
        <f>TEXT(C186,"mmm-yyyy")</f>
        <v/>
      </c>
      <c r="I186">
        <f>TEXT(D186,"mmm-yyyy")</f>
        <v/>
      </c>
      <c r="J186">
        <f>_xlfn.XLOOKUP(tbl_subscription[[#This Row],[Customer_ID]],tbl_clint[Customer_ID],tbl_clint[Country])</f>
        <v/>
      </c>
      <c r="K186">
        <f>_xlfn.XLOOKUP(tbl_subscription[[#This Row],[Customer_ID]],tbl_clint[[#This Row],[Customer_ID]],tbl_clint[[#This Row],[Industry]])</f>
        <v/>
      </c>
      <c r="L186">
        <f>_xlfn.XLOOKUP(tbl_subscription[[#This Row],[Customer_ID]],tbl_clint[[#This Row],[Customer_ID]],tbl_clint[[#This Row],[Company_Size]])</f>
        <v/>
      </c>
      <c r="M186">
        <f>YEAR(tbl_subscription[[#This Row],[Start_Date]])</f>
        <v/>
      </c>
    </row>
    <row r="187">
      <c r="A187" t="inlineStr">
        <is>
          <t>C0186</t>
        </is>
      </c>
      <c r="B187" t="inlineStr">
        <is>
          <t>Premium</t>
        </is>
      </c>
      <c r="C187" s="4" t="n">
        <v>44955</v>
      </c>
      <c r="D187" s="4" t="n">
        <v>45657</v>
      </c>
      <c r="E187" t="n">
        <v>40</v>
      </c>
      <c r="F187" t="inlineStr">
        <is>
          <t>Active</t>
        </is>
      </c>
      <c r="G187" t="inlineStr">
        <is>
          <t>LinkedIn</t>
        </is>
      </c>
      <c r="H187">
        <f>TEXT(C187,"mmm-yyyy")</f>
        <v/>
      </c>
      <c r="I187">
        <f>TEXT(D187,"mmm-yyyy")</f>
        <v/>
      </c>
      <c r="J187">
        <f>_xlfn.XLOOKUP(tbl_subscription[[#This Row],[Customer_ID]],tbl_clint[Customer_ID],tbl_clint[Country])</f>
        <v/>
      </c>
      <c r="K187">
        <f>_xlfn.XLOOKUP(tbl_subscription[[#This Row],[Customer_ID]],tbl_clint[[#This Row],[Customer_ID]],tbl_clint[[#This Row],[Industry]])</f>
        <v/>
      </c>
      <c r="L187">
        <f>_xlfn.XLOOKUP(tbl_subscription[[#This Row],[Customer_ID]],tbl_clint[[#This Row],[Customer_ID]],tbl_clint[[#This Row],[Company_Size]])</f>
        <v/>
      </c>
      <c r="M187">
        <f>YEAR(tbl_subscription[[#This Row],[Start_Date]])</f>
        <v/>
      </c>
    </row>
    <row r="188">
      <c r="A188" t="inlineStr">
        <is>
          <t>C0187</t>
        </is>
      </c>
      <c r="B188" t="inlineStr">
        <is>
          <t>Standard</t>
        </is>
      </c>
      <c r="C188" s="4" t="n">
        <v>44580</v>
      </c>
      <c r="D188" s="4" t="n">
        <v>45657</v>
      </c>
      <c r="E188" t="n">
        <v>25</v>
      </c>
      <c r="F188" t="inlineStr">
        <is>
          <t>Active</t>
        </is>
      </c>
      <c r="G188" t="inlineStr">
        <is>
          <t>LinkedIn</t>
        </is>
      </c>
      <c r="H188">
        <f>TEXT(C188,"mmm-yyyy")</f>
        <v/>
      </c>
      <c r="I188">
        <f>TEXT(D188,"mmm-yyyy")</f>
        <v/>
      </c>
      <c r="J188">
        <f>_xlfn.XLOOKUP(tbl_subscription[[#This Row],[Customer_ID]],tbl_clint[Customer_ID],tbl_clint[Country])</f>
        <v/>
      </c>
      <c r="K188">
        <f>_xlfn.XLOOKUP(tbl_subscription[[#This Row],[Customer_ID]],tbl_clint[[#This Row],[Customer_ID]],tbl_clint[[#This Row],[Industry]])</f>
        <v/>
      </c>
      <c r="L188">
        <f>_xlfn.XLOOKUP(tbl_subscription[[#This Row],[Customer_ID]],tbl_clint[[#This Row],[Customer_ID]],tbl_clint[[#This Row],[Company_Size]])</f>
        <v/>
      </c>
      <c r="M188">
        <f>YEAR(tbl_subscription[[#This Row],[Start_Date]])</f>
        <v/>
      </c>
    </row>
    <row r="189">
      <c r="A189" t="inlineStr">
        <is>
          <t>C0188</t>
        </is>
      </c>
      <c r="B189" t="inlineStr">
        <is>
          <t>Standard</t>
        </is>
      </c>
      <c r="C189" s="4" t="n">
        <v>44159</v>
      </c>
      <c r="D189" s="4" t="n">
        <v>44867</v>
      </c>
      <c r="E189" t="n">
        <v>25</v>
      </c>
      <c r="F189" t="inlineStr">
        <is>
          <t>Churned</t>
        </is>
      </c>
      <c r="G189" t="inlineStr">
        <is>
          <t>Facebook</t>
        </is>
      </c>
      <c r="H189">
        <f>TEXT(C189,"mmm-yyyy")</f>
        <v/>
      </c>
      <c r="I189">
        <f>TEXT(D189,"mmm-yyyy")</f>
        <v/>
      </c>
      <c r="J189">
        <f>_xlfn.XLOOKUP(tbl_subscription[[#This Row],[Customer_ID]],tbl_clint[Customer_ID],tbl_clint[Country])</f>
        <v/>
      </c>
      <c r="K189">
        <f>_xlfn.XLOOKUP(tbl_subscription[[#This Row],[Customer_ID]],tbl_clint[[#This Row],[Customer_ID]],tbl_clint[[#This Row],[Industry]])</f>
        <v/>
      </c>
      <c r="L189">
        <f>_xlfn.XLOOKUP(tbl_subscription[[#This Row],[Customer_ID]],tbl_clint[[#This Row],[Customer_ID]],tbl_clint[[#This Row],[Company_Size]])</f>
        <v/>
      </c>
      <c r="M189">
        <f>YEAR(tbl_subscription[[#This Row],[Start_Date]])</f>
        <v/>
      </c>
    </row>
    <row r="190">
      <c r="A190" t="inlineStr">
        <is>
          <t>C0189</t>
        </is>
      </c>
      <c r="B190" t="inlineStr">
        <is>
          <t>Basic</t>
        </is>
      </c>
      <c r="C190" s="4" t="n">
        <v>45162</v>
      </c>
      <c r="D190" s="4" t="n">
        <v>45657</v>
      </c>
      <c r="E190" t="n">
        <v>15</v>
      </c>
      <c r="F190" t="inlineStr">
        <is>
          <t>Churned</t>
        </is>
      </c>
      <c r="G190" t="inlineStr">
        <is>
          <t>LinkedIn</t>
        </is>
      </c>
      <c r="H190">
        <f>TEXT(C190,"mmm-yyyy")</f>
        <v/>
      </c>
      <c r="I190">
        <f>TEXT(D190,"mmm-yyyy")</f>
        <v/>
      </c>
      <c r="J190">
        <f>_xlfn.XLOOKUP(tbl_subscription[[#This Row],[Customer_ID]],tbl_clint[Customer_ID],tbl_clint[Country])</f>
        <v/>
      </c>
      <c r="K190">
        <f>_xlfn.XLOOKUP(tbl_subscription[[#This Row],[Customer_ID]],tbl_clint[[#This Row],[Customer_ID]],tbl_clint[[#This Row],[Industry]])</f>
        <v/>
      </c>
      <c r="L190">
        <f>_xlfn.XLOOKUP(tbl_subscription[[#This Row],[Customer_ID]],tbl_clint[[#This Row],[Customer_ID]],tbl_clint[[#This Row],[Company_Size]])</f>
        <v/>
      </c>
      <c r="M190">
        <f>YEAR(tbl_subscription[[#This Row],[Start_Date]])</f>
        <v/>
      </c>
    </row>
    <row r="191">
      <c r="A191" t="inlineStr">
        <is>
          <t>C0190</t>
        </is>
      </c>
      <c r="B191" t="inlineStr">
        <is>
          <t>Basic</t>
        </is>
      </c>
      <c r="C191" s="4" t="n">
        <v>44257</v>
      </c>
      <c r="D191" s="4" t="n">
        <v>45657</v>
      </c>
      <c r="E191" t="n">
        <v>15</v>
      </c>
      <c r="F191" t="inlineStr">
        <is>
          <t>Active</t>
        </is>
      </c>
      <c r="G191" t="inlineStr">
        <is>
          <t>Instagram</t>
        </is>
      </c>
      <c r="H191">
        <f>TEXT(C191,"mmm-yyyy")</f>
        <v/>
      </c>
      <c r="I191">
        <f>TEXT(D191,"mmm-yyyy")</f>
        <v/>
      </c>
      <c r="J191">
        <f>_xlfn.XLOOKUP(tbl_subscription[[#This Row],[Customer_ID]],tbl_clint[Customer_ID],tbl_clint[Country])</f>
        <v/>
      </c>
      <c r="K191">
        <f>_xlfn.XLOOKUP(tbl_subscription[[#This Row],[Customer_ID]],tbl_clint[[#This Row],[Customer_ID]],tbl_clint[[#This Row],[Industry]])</f>
        <v/>
      </c>
      <c r="L191">
        <f>_xlfn.XLOOKUP(tbl_subscription[[#This Row],[Customer_ID]],tbl_clint[[#This Row],[Customer_ID]],tbl_clint[[#This Row],[Company_Size]])</f>
        <v/>
      </c>
      <c r="M191">
        <f>YEAR(tbl_subscription[[#This Row],[Start_Date]])</f>
        <v/>
      </c>
    </row>
    <row r="192">
      <c r="A192" t="inlineStr">
        <is>
          <t>C0191</t>
        </is>
      </c>
      <c r="B192" t="inlineStr">
        <is>
          <t>Standard</t>
        </is>
      </c>
      <c r="C192" s="4" t="n">
        <v>43835</v>
      </c>
      <c r="D192" s="4" t="n">
        <v>45657</v>
      </c>
      <c r="E192" t="n">
        <v>25</v>
      </c>
      <c r="F192" t="inlineStr">
        <is>
          <t>Active</t>
        </is>
      </c>
      <c r="G192" t="inlineStr">
        <is>
          <t>Google</t>
        </is>
      </c>
      <c r="H192">
        <f>TEXT(C192,"mmm-yyyy")</f>
        <v/>
      </c>
      <c r="I192">
        <f>TEXT(D192,"mmm-yyyy")</f>
        <v/>
      </c>
      <c r="J192">
        <f>_xlfn.XLOOKUP(tbl_subscription[[#This Row],[Customer_ID]],tbl_clint[Customer_ID],tbl_clint[Country])</f>
        <v/>
      </c>
      <c r="K192">
        <f>_xlfn.XLOOKUP(tbl_subscription[[#This Row],[Customer_ID]],tbl_clint[[#This Row],[Customer_ID]],tbl_clint[[#This Row],[Industry]])</f>
        <v/>
      </c>
      <c r="L192">
        <f>_xlfn.XLOOKUP(tbl_subscription[[#This Row],[Customer_ID]],tbl_clint[[#This Row],[Customer_ID]],tbl_clint[[#This Row],[Company_Size]])</f>
        <v/>
      </c>
      <c r="M192">
        <f>YEAR(tbl_subscription[[#This Row],[Start_Date]])</f>
        <v/>
      </c>
    </row>
    <row r="193">
      <c r="A193" t="inlineStr">
        <is>
          <t>C0192</t>
        </is>
      </c>
      <c r="B193" t="inlineStr">
        <is>
          <t>Premium</t>
        </is>
      </c>
      <c r="C193" s="4" t="n">
        <v>44249</v>
      </c>
      <c r="D193" s="4" t="n">
        <v>45657</v>
      </c>
      <c r="E193" t="n">
        <v>40</v>
      </c>
      <c r="F193" t="inlineStr">
        <is>
          <t>Active</t>
        </is>
      </c>
      <c r="G193" t="inlineStr">
        <is>
          <t>Referral</t>
        </is>
      </c>
      <c r="H193">
        <f>TEXT(C193,"mmm-yyyy")</f>
        <v/>
      </c>
      <c r="I193">
        <f>TEXT(D193,"mmm-yyyy")</f>
        <v/>
      </c>
      <c r="J193">
        <f>_xlfn.XLOOKUP(tbl_subscription[[#This Row],[Customer_ID]],tbl_clint[Customer_ID],tbl_clint[Country])</f>
        <v/>
      </c>
      <c r="K193">
        <f>_xlfn.XLOOKUP(tbl_subscription[[#This Row],[Customer_ID]],tbl_clint[[#This Row],[Customer_ID]],tbl_clint[[#This Row],[Industry]])</f>
        <v/>
      </c>
      <c r="L193">
        <f>_xlfn.XLOOKUP(tbl_subscription[[#This Row],[Customer_ID]],tbl_clint[[#This Row],[Customer_ID]],tbl_clint[[#This Row],[Company_Size]])</f>
        <v/>
      </c>
      <c r="M193">
        <f>YEAR(tbl_subscription[[#This Row],[Start_Date]])</f>
        <v/>
      </c>
    </row>
    <row r="194">
      <c r="A194" t="inlineStr">
        <is>
          <t>C0193</t>
        </is>
      </c>
      <c r="B194" t="inlineStr">
        <is>
          <t>Premium</t>
        </is>
      </c>
      <c r="C194" s="4" t="n">
        <v>45378</v>
      </c>
      <c r="D194" s="4" t="n">
        <v>45657</v>
      </c>
      <c r="E194" t="n">
        <v>40</v>
      </c>
      <c r="F194" t="inlineStr">
        <is>
          <t>Active</t>
        </is>
      </c>
      <c r="G194" t="inlineStr">
        <is>
          <t>Instagram</t>
        </is>
      </c>
      <c r="H194">
        <f>TEXT(C194,"mmm-yyyy")</f>
        <v/>
      </c>
      <c r="I194">
        <f>TEXT(D194,"mmm-yyyy")</f>
        <v/>
      </c>
      <c r="J194">
        <f>_xlfn.XLOOKUP(tbl_subscription[[#This Row],[Customer_ID]],tbl_clint[Customer_ID],tbl_clint[Country])</f>
        <v/>
      </c>
      <c r="K194">
        <f>_xlfn.XLOOKUP(tbl_subscription[[#This Row],[Customer_ID]],tbl_clint[[#This Row],[Customer_ID]],tbl_clint[[#This Row],[Industry]])</f>
        <v/>
      </c>
      <c r="L194">
        <f>_xlfn.XLOOKUP(tbl_subscription[[#This Row],[Customer_ID]],tbl_clint[[#This Row],[Customer_ID]],tbl_clint[[#This Row],[Company_Size]])</f>
        <v/>
      </c>
      <c r="M194">
        <f>YEAR(tbl_subscription[[#This Row],[Start_Date]])</f>
        <v/>
      </c>
    </row>
    <row r="195">
      <c r="A195" t="inlineStr">
        <is>
          <t>C0194</t>
        </is>
      </c>
      <c r="B195" t="inlineStr">
        <is>
          <t>Premium</t>
        </is>
      </c>
      <c r="C195" s="4" t="n">
        <v>44396</v>
      </c>
      <c r="D195" s="4" t="n">
        <v>45657</v>
      </c>
      <c r="E195" t="n">
        <v>40</v>
      </c>
      <c r="F195" t="inlineStr">
        <is>
          <t>Active</t>
        </is>
      </c>
      <c r="G195" t="inlineStr">
        <is>
          <t>Facebook</t>
        </is>
      </c>
      <c r="H195">
        <f>TEXT(C195,"mmm-yyyy")</f>
        <v/>
      </c>
      <c r="I195">
        <f>TEXT(D195,"mmm-yyyy")</f>
        <v/>
      </c>
      <c r="J195">
        <f>_xlfn.XLOOKUP(tbl_subscription[[#This Row],[Customer_ID]],tbl_clint[Customer_ID],tbl_clint[Country])</f>
        <v/>
      </c>
      <c r="K195">
        <f>_xlfn.XLOOKUP(tbl_subscription[[#This Row],[Customer_ID]],tbl_clint[[#This Row],[Customer_ID]],tbl_clint[[#This Row],[Industry]])</f>
        <v/>
      </c>
      <c r="L195">
        <f>_xlfn.XLOOKUP(tbl_subscription[[#This Row],[Customer_ID]],tbl_clint[[#This Row],[Customer_ID]],tbl_clint[[#This Row],[Company_Size]])</f>
        <v/>
      </c>
      <c r="M195">
        <f>YEAR(tbl_subscription[[#This Row],[Start_Date]])</f>
        <v/>
      </c>
    </row>
    <row r="196">
      <c r="A196" t="inlineStr">
        <is>
          <t>C0195</t>
        </is>
      </c>
      <c r="B196" t="inlineStr">
        <is>
          <t>Premium</t>
        </is>
      </c>
      <c r="C196" s="4" t="n">
        <v>43984</v>
      </c>
      <c r="D196" s="4" t="n">
        <v>45657</v>
      </c>
      <c r="E196" t="n">
        <v>40</v>
      </c>
      <c r="F196" t="inlineStr">
        <is>
          <t>Active</t>
        </is>
      </c>
      <c r="G196" t="inlineStr">
        <is>
          <t>Google</t>
        </is>
      </c>
      <c r="H196">
        <f>TEXT(C196,"mmm-yyyy")</f>
        <v/>
      </c>
      <c r="I196">
        <f>TEXT(D196,"mmm-yyyy")</f>
        <v/>
      </c>
      <c r="J196">
        <f>_xlfn.XLOOKUP(tbl_subscription[[#This Row],[Customer_ID]],tbl_clint[Customer_ID],tbl_clint[Country])</f>
        <v/>
      </c>
      <c r="K196">
        <f>_xlfn.XLOOKUP(tbl_subscription[[#This Row],[Customer_ID]],tbl_clint[[#This Row],[Customer_ID]],tbl_clint[[#This Row],[Industry]])</f>
        <v/>
      </c>
      <c r="L196">
        <f>_xlfn.XLOOKUP(tbl_subscription[[#This Row],[Customer_ID]],tbl_clint[[#This Row],[Customer_ID]],tbl_clint[[#This Row],[Company_Size]])</f>
        <v/>
      </c>
      <c r="M196">
        <f>YEAR(tbl_subscription[[#This Row],[Start_Date]])</f>
        <v/>
      </c>
    </row>
    <row r="197">
      <c r="A197" t="inlineStr">
        <is>
          <t>C0196</t>
        </is>
      </c>
      <c r="B197" t="inlineStr">
        <is>
          <t>Standard</t>
        </is>
      </c>
      <c r="C197" s="4" t="n">
        <v>45304</v>
      </c>
      <c r="D197" s="4" t="n">
        <v>45657</v>
      </c>
      <c r="E197" t="n">
        <v>25</v>
      </c>
      <c r="F197" t="inlineStr">
        <is>
          <t>Active</t>
        </is>
      </c>
      <c r="G197" t="inlineStr">
        <is>
          <t>Facebook</t>
        </is>
      </c>
      <c r="H197">
        <f>TEXT(C197,"mmm-yyyy")</f>
        <v/>
      </c>
      <c r="I197">
        <f>TEXT(D197,"mmm-yyyy")</f>
        <v/>
      </c>
      <c r="J197">
        <f>_xlfn.XLOOKUP(tbl_subscription[[#This Row],[Customer_ID]],tbl_clint[Customer_ID],tbl_clint[Country])</f>
        <v/>
      </c>
      <c r="K197">
        <f>_xlfn.XLOOKUP(tbl_subscription[[#This Row],[Customer_ID]],tbl_clint[[#This Row],[Customer_ID]],tbl_clint[[#This Row],[Industry]])</f>
        <v/>
      </c>
      <c r="L197">
        <f>_xlfn.XLOOKUP(tbl_subscription[[#This Row],[Customer_ID]],tbl_clint[[#This Row],[Customer_ID]],tbl_clint[[#This Row],[Company_Size]])</f>
        <v/>
      </c>
      <c r="M197">
        <f>YEAR(tbl_subscription[[#This Row],[Start_Date]])</f>
        <v/>
      </c>
    </row>
    <row r="198">
      <c r="A198" t="inlineStr">
        <is>
          <t>C0197</t>
        </is>
      </c>
      <c r="B198" t="inlineStr">
        <is>
          <t>Standard</t>
        </is>
      </c>
      <c r="C198" s="4" t="n">
        <v>44678</v>
      </c>
      <c r="D198" s="4" t="n">
        <v>45657</v>
      </c>
      <c r="E198" t="n">
        <v>25</v>
      </c>
      <c r="F198" t="inlineStr">
        <is>
          <t>Active</t>
        </is>
      </c>
      <c r="G198" t="inlineStr">
        <is>
          <t>Referral</t>
        </is>
      </c>
      <c r="H198">
        <f>TEXT(C198,"mmm-yyyy")</f>
        <v/>
      </c>
      <c r="I198">
        <f>TEXT(D198,"mmm-yyyy")</f>
        <v/>
      </c>
      <c r="J198">
        <f>_xlfn.XLOOKUP(tbl_subscription[[#This Row],[Customer_ID]],tbl_clint[Customer_ID],tbl_clint[Country])</f>
        <v/>
      </c>
      <c r="K198">
        <f>_xlfn.XLOOKUP(tbl_subscription[[#This Row],[Customer_ID]],tbl_clint[[#This Row],[Customer_ID]],tbl_clint[[#This Row],[Industry]])</f>
        <v/>
      </c>
      <c r="L198">
        <f>_xlfn.XLOOKUP(tbl_subscription[[#This Row],[Customer_ID]],tbl_clint[[#This Row],[Customer_ID]],tbl_clint[[#This Row],[Company_Size]])</f>
        <v/>
      </c>
      <c r="M198">
        <f>YEAR(tbl_subscription[[#This Row],[Start_Date]])</f>
        <v/>
      </c>
    </row>
    <row r="199">
      <c r="A199" t="inlineStr">
        <is>
          <t>C0198</t>
        </is>
      </c>
      <c r="B199" t="inlineStr">
        <is>
          <t>Premium</t>
        </is>
      </c>
      <c r="C199" s="4" t="n">
        <v>45414</v>
      </c>
      <c r="D199" s="4" t="n">
        <v>45657</v>
      </c>
      <c r="E199" t="n">
        <v>40</v>
      </c>
      <c r="F199" t="inlineStr">
        <is>
          <t>Churned</t>
        </is>
      </c>
      <c r="G199" t="inlineStr">
        <is>
          <t>LinkedIn</t>
        </is>
      </c>
      <c r="H199">
        <f>TEXT(C199,"mmm-yyyy")</f>
        <v/>
      </c>
      <c r="I199">
        <f>TEXT(D199,"mmm-yyyy")</f>
        <v/>
      </c>
      <c r="J199">
        <f>_xlfn.XLOOKUP(tbl_subscription[[#This Row],[Customer_ID]],tbl_clint[Customer_ID],tbl_clint[Country])</f>
        <v/>
      </c>
      <c r="K199">
        <f>_xlfn.XLOOKUP(tbl_subscription[[#This Row],[Customer_ID]],tbl_clint[[#This Row],[Customer_ID]],tbl_clint[[#This Row],[Industry]])</f>
        <v/>
      </c>
      <c r="L199">
        <f>_xlfn.XLOOKUP(tbl_subscription[[#This Row],[Customer_ID]],tbl_clint[[#This Row],[Customer_ID]],tbl_clint[[#This Row],[Company_Size]])</f>
        <v/>
      </c>
      <c r="M199">
        <f>YEAR(tbl_subscription[[#This Row],[Start_Date]])</f>
        <v/>
      </c>
    </row>
    <row r="200">
      <c r="A200" t="inlineStr">
        <is>
          <t>C0199</t>
        </is>
      </c>
      <c r="B200" t="inlineStr">
        <is>
          <t>Basic</t>
        </is>
      </c>
      <c r="C200" s="4" t="n">
        <v>44706</v>
      </c>
      <c r="D200" s="4" t="n">
        <v>45657</v>
      </c>
      <c r="E200" t="n">
        <v>15</v>
      </c>
      <c r="F200" t="inlineStr">
        <is>
          <t>Active</t>
        </is>
      </c>
      <c r="G200" t="inlineStr">
        <is>
          <t>LinkedIn</t>
        </is>
      </c>
      <c r="H200">
        <f>TEXT(C200,"mmm-yyyy")</f>
        <v/>
      </c>
      <c r="I200">
        <f>TEXT(D200,"mmm-yyyy")</f>
        <v/>
      </c>
      <c r="J200">
        <f>_xlfn.XLOOKUP(tbl_subscription[[#This Row],[Customer_ID]],tbl_clint[Customer_ID],tbl_clint[Country])</f>
        <v/>
      </c>
      <c r="K200">
        <f>_xlfn.XLOOKUP(tbl_subscription[[#This Row],[Customer_ID]],tbl_clint[[#This Row],[Customer_ID]],tbl_clint[[#This Row],[Industry]])</f>
        <v/>
      </c>
      <c r="L200">
        <f>_xlfn.XLOOKUP(tbl_subscription[[#This Row],[Customer_ID]],tbl_clint[[#This Row],[Customer_ID]],tbl_clint[[#This Row],[Company_Size]])</f>
        <v/>
      </c>
      <c r="M200">
        <f>YEAR(tbl_subscription[[#This Row],[Start_Date]])</f>
        <v/>
      </c>
    </row>
    <row r="201">
      <c r="A201" t="inlineStr">
        <is>
          <t>C0200</t>
        </is>
      </c>
      <c r="B201" t="inlineStr">
        <is>
          <t>Premium</t>
        </is>
      </c>
      <c r="C201" s="4" t="n">
        <v>44589</v>
      </c>
      <c r="D201" s="4" t="n">
        <v>45013</v>
      </c>
      <c r="E201" t="n">
        <v>40</v>
      </c>
      <c r="F201" t="inlineStr">
        <is>
          <t>Churned</t>
        </is>
      </c>
      <c r="G201" t="inlineStr">
        <is>
          <t>Facebook</t>
        </is>
      </c>
      <c r="H201">
        <f>TEXT(C201,"mmm-yyyy")</f>
        <v/>
      </c>
      <c r="I201">
        <f>TEXT(D201,"mmm-yyyy")</f>
        <v/>
      </c>
      <c r="J201">
        <f>_xlfn.XLOOKUP(tbl_subscription[[#This Row],[Customer_ID]],tbl_clint[Customer_ID],tbl_clint[Country])</f>
        <v/>
      </c>
      <c r="K201">
        <f>_xlfn.XLOOKUP(tbl_subscription[[#This Row],[Customer_ID]],tbl_clint[[#This Row],[Customer_ID]],tbl_clint[[#This Row],[Industry]])</f>
        <v/>
      </c>
      <c r="L201">
        <f>_xlfn.XLOOKUP(tbl_subscription[[#This Row],[Customer_ID]],tbl_clint[[#This Row],[Customer_ID]],tbl_clint[[#This Row],[Company_Size]])</f>
        <v/>
      </c>
      <c r="M201">
        <f>YEAR(tbl_subscription[[#This Row],[Start_Date]])</f>
        <v/>
      </c>
    </row>
    <row r="202">
      <c r="A202" t="inlineStr">
        <is>
          <t>C0201</t>
        </is>
      </c>
      <c r="B202" t="inlineStr">
        <is>
          <t>Premium</t>
        </is>
      </c>
      <c r="C202" s="4" t="n">
        <v>44348</v>
      </c>
      <c r="D202" s="4" t="n">
        <v>45657</v>
      </c>
      <c r="E202" t="n">
        <v>40</v>
      </c>
      <c r="F202" t="inlineStr">
        <is>
          <t>Active</t>
        </is>
      </c>
      <c r="G202" t="inlineStr">
        <is>
          <t>Google</t>
        </is>
      </c>
      <c r="H202">
        <f>TEXT(C202,"mmm-yyyy")</f>
        <v/>
      </c>
      <c r="I202">
        <f>TEXT(D202,"mmm-yyyy")</f>
        <v/>
      </c>
      <c r="J202">
        <f>_xlfn.XLOOKUP(tbl_subscription[[#This Row],[Customer_ID]],tbl_clint[Customer_ID],tbl_clint[Country])</f>
        <v/>
      </c>
      <c r="K202">
        <f>_xlfn.XLOOKUP(tbl_subscription[[#This Row],[Customer_ID]],tbl_clint[[#This Row],[Customer_ID]],tbl_clint[[#This Row],[Industry]])</f>
        <v/>
      </c>
      <c r="L202">
        <f>_xlfn.XLOOKUP(tbl_subscription[[#This Row],[Customer_ID]],tbl_clint[[#This Row],[Customer_ID]],tbl_clint[[#This Row],[Company_Size]])</f>
        <v/>
      </c>
      <c r="M202">
        <f>YEAR(tbl_subscription[[#This Row],[Start_Date]])</f>
        <v/>
      </c>
    </row>
    <row r="203">
      <c r="A203" t="inlineStr">
        <is>
          <t>C0202</t>
        </is>
      </c>
      <c r="B203" t="inlineStr">
        <is>
          <t>Standard</t>
        </is>
      </c>
      <c r="C203" s="4" t="n">
        <v>43877</v>
      </c>
      <c r="D203" s="4" t="n">
        <v>45657</v>
      </c>
      <c r="E203" t="n">
        <v>25</v>
      </c>
      <c r="F203" t="inlineStr">
        <is>
          <t>Active</t>
        </is>
      </c>
      <c r="G203" t="inlineStr">
        <is>
          <t>Referral</t>
        </is>
      </c>
      <c r="H203">
        <f>TEXT(C203,"mmm-yyyy")</f>
        <v/>
      </c>
      <c r="I203">
        <f>TEXT(D203,"mmm-yyyy")</f>
        <v/>
      </c>
      <c r="J203">
        <f>_xlfn.XLOOKUP(tbl_subscription[[#This Row],[Customer_ID]],tbl_clint[Customer_ID],tbl_clint[Country])</f>
        <v/>
      </c>
      <c r="K203">
        <f>_xlfn.XLOOKUP(tbl_subscription[[#This Row],[Customer_ID]],tbl_clint[[#This Row],[Customer_ID]],tbl_clint[[#This Row],[Industry]])</f>
        <v/>
      </c>
      <c r="L203">
        <f>_xlfn.XLOOKUP(tbl_subscription[[#This Row],[Customer_ID]],tbl_clint[[#This Row],[Customer_ID]],tbl_clint[[#This Row],[Company_Size]])</f>
        <v/>
      </c>
      <c r="M203">
        <f>YEAR(tbl_subscription[[#This Row],[Start_Date]])</f>
        <v/>
      </c>
    </row>
    <row r="204">
      <c r="A204" t="inlineStr">
        <is>
          <t>C0203</t>
        </is>
      </c>
      <c r="B204" t="inlineStr">
        <is>
          <t>Premium</t>
        </is>
      </c>
      <c r="C204" s="4" t="n">
        <v>44545</v>
      </c>
      <c r="D204" s="4" t="n">
        <v>45657</v>
      </c>
      <c r="E204" t="n">
        <v>40</v>
      </c>
      <c r="F204" t="inlineStr">
        <is>
          <t>Active</t>
        </is>
      </c>
      <c r="G204" t="inlineStr">
        <is>
          <t>Referral</t>
        </is>
      </c>
      <c r="H204">
        <f>TEXT(C204,"mmm-yyyy")</f>
        <v/>
      </c>
      <c r="I204">
        <f>TEXT(D204,"mmm-yyyy")</f>
        <v/>
      </c>
      <c r="J204">
        <f>_xlfn.XLOOKUP(tbl_subscription[[#This Row],[Customer_ID]],tbl_clint[Customer_ID],tbl_clint[Country])</f>
        <v/>
      </c>
      <c r="K204">
        <f>_xlfn.XLOOKUP(tbl_subscription[[#This Row],[Customer_ID]],tbl_clint[[#This Row],[Customer_ID]],tbl_clint[[#This Row],[Industry]])</f>
        <v/>
      </c>
      <c r="L204">
        <f>_xlfn.XLOOKUP(tbl_subscription[[#This Row],[Customer_ID]],tbl_clint[[#This Row],[Customer_ID]],tbl_clint[[#This Row],[Company_Size]])</f>
        <v/>
      </c>
      <c r="M204">
        <f>YEAR(tbl_subscription[[#This Row],[Start_Date]])</f>
        <v/>
      </c>
    </row>
    <row r="205">
      <c r="A205" t="inlineStr">
        <is>
          <t>C0204</t>
        </is>
      </c>
      <c r="B205" t="inlineStr">
        <is>
          <t>Basic</t>
        </is>
      </c>
      <c r="C205" s="4" t="n">
        <v>44262</v>
      </c>
      <c r="D205" s="4" t="n">
        <v>44772</v>
      </c>
      <c r="E205" t="n">
        <v>15</v>
      </c>
      <c r="F205" t="inlineStr">
        <is>
          <t>Churned</t>
        </is>
      </c>
      <c r="G205" t="inlineStr">
        <is>
          <t>Facebook</t>
        </is>
      </c>
      <c r="H205">
        <f>TEXT(C205,"mmm-yyyy")</f>
        <v/>
      </c>
      <c r="I205">
        <f>TEXT(D205,"mmm-yyyy")</f>
        <v/>
      </c>
      <c r="J205">
        <f>_xlfn.XLOOKUP(tbl_subscription[[#This Row],[Customer_ID]],tbl_clint[Customer_ID],tbl_clint[Country])</f>
        <v/>
      </c>
      <c r="K205">
        <f>_xlfn.XLOOKUP(tbl_subscription[[#This Row],[Customer_ID]],tbl_clint[[#This Row],[Customer_ID]],tbl_clint[[#This Row],[Industry]])</f>
        <v/>
      </c>
      <c r="L205">
        <f>_xlfn.XLOOKUP(tbl_subscription[[#This Row],[Customer_ID]],tbl_clint[[#This Row],[Customer_ID]],tbl_clint[[#This Row],[Company_Size]])</f>
        <v/>
      </c>
      <c r="M205">
        <f>YEAR(tbl_subscription[[#This Row],[Start_Date]])</f>
        <v/>
      </c>
    </row>
    <row r="206">
      <c r="A206" t="inlineStr">
        <is>
          <t>C0205</t>
        </is>
      </c>
      <c r="B206" t="inlineStr">
        <is>
          <t>Standard</t>
        </is>
      </c>
      <c r="C206" s="4" t="n">
        <v>45121</v>
      </c>
      <c r="D206" s="4" t="n">
        <v>45657</v>
      </c>
      <c r="E206" t="n">
        <v>25</v>
      </c>
      <c r="F206" t="inlineStr">
        <is>
          <t>Churned</t>
        </is>
      </c>
      <c r="G206" t="inlineStr">
        <is>
          <t>LinkedIn</t>
        </is>
      </c>
      <c r="H206">
        <f>TEXT(C206,"mmm-yyyy")</f>
        <v/>
      </c>
      <c r="I206">
        <f>TEXT(D206,"mmm-yyyy")</f>
        <v/>
      </c>
      <c r="J206">
        <f>_xlfn.XLOOKUP(tbl_subscription[[#This Row],[Customer_ID]],tbl_clint[Customer_ID],tbl_clint[Country])</f>
        <v/>
      </c>
      <c r="K206">
        <f>_xlfn.XLOOKUP(tbl_subscription[[#This Row],[Customer_ID]],tbl_clint[[#This Row],[Customer_ID]],tbl_clint[[#This Row],[Industry]])</f>
        <v/>
      </c>
      <c r="L206">
        <f>_xlfn.XLOOKUP(tbl_subscription[[#This Row],[Customer_ID]],tbl_clint[[#This Row],[Customer_ID]],tbl_clint[[#This Row],[Company_Size]])</f>
        <v/>
      </c>
      <c r="M206">
        <f>YEAR(tbl_subscription[[#This Row],[Start_Date]])</f>
        <v/>
      </c>
    </row>
    <row r="207">
      <c r="A207" t="inlineStr">
        <is>
          <t>C0206</t>
        </is>
      </c>
      <c r="B207" t="inlineStr">
        <is>
          <t>Standard</t>
        </is>
      </c>
      <c r="C207" s="4" t="n">
        <v>45432</v>
      </c>
      <c r="D207" s="4" t="n">
        <v>45657</v>
      </c>
      <c r="E207" t="n">
        <v>25</v>
      </c>
      <c r="F207" t="inlineStr">
        <is>
          <t>Active</t>
        </is>
      </c>
      <c r="G207" t="inlineStr">
        <is>
          <t>Referral</t>
        </is>
      </c>
      <c r="H207">
        <f>TEXT(C207,"mmm-yyyy")</f>
        <v/>
      </c>
      <c r="I207">
        <f>TEXT(D207,"mmm-yyyy")</f>
        <v/>
      </c>
      <c r="J207">
        <f>_xlfn.XLOOKUP(tbl_subscription[[#This Row],[Customer_ID]],tbl_clint[Customer_ID],tbl_clint[Country])</f>
        <v/>
      </c>
      <c r="K207">
        <f>_xlfn.XLOOKUP(tbl_subscription[[#This Row],[Customer_ID]],tbl_clint[[#This Row],[Customer_ID]],tbl_clint[[#This Row],[Industry]])</f>
        <v/>
      </c>
      <c r="L207">
        <f>_xlfn.XLOOKUP(tbl_subscription[[#This Row],[Customer_ID]],tbl_clint[[#This Row],[Customer_ID]],tbl_clint[[#This Row],[Company_Size]])</f>
        <v/>
      </c>
      <c r="M207">
        <f>YEAR(tbl_subscription[[#This Row],[Start_Date]])</f>
        <v/>
      </c>
    </row>
    <row r="208">
      <c r="A208" t="inlineStr">
        <is>
          <t>C0207</t>
        </is>
      </c>
      <c r="B208" t="inlineStr">
        <is>
          <t>Premium</t>
        </is>
      </c>
      <c r="C208" s="4" t="n">
        <v>44497</v>
      </c>
      <c r="D208" s="4" t="n">
        <v>44829</v>
      </c>
      <c r="E208" t="n">
        <v>40</v>
      </c>
      <c r="F208" t="inlineStr">
        <is>
          <t>Churned</t>
        </is>
      </c>
      <c r="G208" t="inlineStr">
        <is>
          <t>Google</t>
        </is>
      </c>
      <c r="H208">
        <f>TEXT(C208,"mmm-yyyy")</f>
        <v/>
      </c>
      <c r="I208">
        <f>TEXT(D208,"mmm-yyyy")</f>
        <v/>
      </c>
      <c r="J208">
        <f>_xlfn.XLOOKUP(tbl_subscription[[#This Row],[Customer_ID]],tbl_clint[Customer_ID],tbl_clint[Country])</f>
        <v/>
      </c>
      <c r="K208">
        <f>_xlfn.XLOOKUP(tbl_subscription[[#This Row],[Customer_ID]],tbl_clint[[#This Row],[Customer_ID]],tbl_clint[[#This Row],[Industry]])</f>
        <v/>
      </c>
      <c r="L208">
        <f>_xlfn.XLOOKUP(tbl_subscription[[#This Row],[Customer_ID]],tbl_clint[[#This Row],[Customer_ID]],tbl_clint[[#This Row],[Company_Size]])</f>
        <v/>
      </c>
      <c r="M208">
        <f>YEAR(tbl_subscription[[#This Row],[Start_Date]])</f>
        <v/>
      </c>
    </row>
    <row r="209">
      <c r="A209" t="inlineStr">
        <is>
          <t>C0208</t>
        </is>
      </c>
      <c r="B209" t="inlineStr">
        <is>
          <t>Basic</t>
        </is>
      </c>
      <c r="C209" s="4" t="n">
        <v>44975</v>
      </c>
      <c r="D209" s="4" t="n">
        <v>45157</v>
      </c>
      <c r="E209" t="n">
        <v>15</v>
      </c>
      <c r="F209" t="inlineStr">
        <is>
          <t>Churned</t>
        </is>
      </c>
      <c r="G209" t="inlineStr">
        <is>
          <t>LinkedIn</t>
        </is>
      </c>
      <c r="H209">
        <f>TEXT(C209,"mmm-yyyy")</f>
        <v/>
      </c>
      <c r="I209">
        <f>TEXT(D209,"mmm-yyyy")</f>
        <v/>
      </c>
      <c r="J209">
        <f>_xlfn.XLOOKUP(tbl_subscription[[#This Row],[Customer_ID]],tbl_clint[Customer_ID],tbl_clint[Country])</f>
        <v/>
      </c>
      <c r="K209">
        <f>_xlfn.XLOOKUP(tbl_subscription[[#This Row],[Customer_ID]],tbl_clint[[#This Row],[Customer_ID]],tbl_clint[[#This Row],[Industry]])</f>
        <v/>
      </c>
      <c r="L209">
        <f>_xlfn.XLOOKUP(tbl_subscription[[#This Row],[Customer_ID]],tbl_clint[[#This Row],[Customer_ID]],tbl_clint[[#This Row],[Company_Size]])</f>
        <v/>
      </c>
      <c r="M209">
        <f>YEAR(tbl_subscription[[#This Row],[Start_Date]])</f>
        <v/>
      </c>
    </row>
    <row r="210">
      <c r="A210" t="inlineStr">
        <is>
          <t>C0209</t>
        </is>
      </c>
      <c r="B210" t="inlineStr">
        <is>
          <t>Premium</t>
        </is>
      </c>
      <c r="C210" s="4" t="n">
        <v>44707</v>
      </c>
      <c r="D210" s="4" t="n">
        <v>45657</v>
      </c>
      <c r="E210" t="n">
        <v>40</v>
      </c>
      <c r="F210" t="inlineStr">
        <is>
          <t>Active</t>
        </is>
      </c>
      <c r="G210" t="inlineStr">
        <is>
          <t>Instagram</t>
        </is>
      </c>
      <c r="H210">
        <f>TEXT(C210,"mmm-yyyy")</f>
        <v/>
      </c>
      <c r="I210">
        <f>TEXT(D210,"mmm-yyyy")</f>
        <v/>
      </c>
      <c r="J210">
        <f>_xlfn.XLOOKUP(tbl_subscription[[#This Row],[Customer_ID]],tbl_clint[Customer_ID],tbl_clint[Country])</f>
        <v/>
      </c>
      <c r="K210">
        <f>_xlfn.XLOOKUP(tbl_subscription[[#This Row],[Customer_ID]],tbl_clint[[#This Row],[Customer_ID]],tbl_clint[[#This Row],[Industry]])</f>
        <v/>
      </c>
      <c r="L210">
        <f>_xlfn.XLOOKUP(tbl_subscription[[#This Row],[Customer_ID]],tbl_clint[[#This Row],[Customer_ID]],tbl_clint[[#This Row],[Company_Size]])</f>
        <v/>
      </c>
      <c r="M210">
        <f>YEAR(tbl_subscription[[#This Row],[Start_Date]])</f>
        <v/>
      </c>
    </row>
    <row r="211">
      <c r="A211" t="inlineStr">
        <is>
          <t>C0210</t>
        </is>
      </c>
      <c r="B211" t="inlineStr">
        <is>
          <t>Basic</t>
        </is>
      </c>
      <c r="C211" s="4" t="n">
        <v>45246</v>
      </c>
      <c r="D211" s="4" t="n">
        <v>45657</v>
      </c>
      <c r="E211" t="n">
        <v>15</v>
      </c>
      <c r="F211" t="inlineStr">
        <is>
          <t>Active</t>
        </is>
      </c>
      <c r="G211" t="inlineStr">
        <is>
          <t>Instagram</t>
        </is>
      </c>
      <c r="H211">
        <f>TEXT(C211,"mmm-yyyy")</f>
        <v/>
      </c>
      <c r="I211">
        <f>TEXT(D211,"mmm-yyyy")</f>
        <v/>
      </c>
      <c r="J211">
        <f>_xlfn.XLOOKUP(tbl_subscription[[#This Row],[Customer_ID]],tbl_clint[Customer_ID],tbl_clint[Country])</f>
        <v/>
      </c>
      <c r="K211">
        <f>_xlfn.XLOOKUP(tbl_subscription[[#This Row],[Customer_ID]],tbl_clint[[#This Row],[Customer_ID]],tbl_clint[[#This Row],[Industry]])</f>
        <v/>
      </c>
      <c r="L211">
        <f>_xlfn.XLOOKUP(tbl_subscription[[#This Row],[Customer_ID]],tbl_clint[[#This Row],[Customer_ID]],tbl_clint[[#This Row],[Company_Size]])</f>
        <v/>
      </c>
      <c r="M211">
        <f>YEAR(tbl_subscription[[#This Row],[Start_Date]])</f>
        <v/>
      </c>
    </row>
    <row r="212">
      <c r="A212" t="inlineStr">
        <is>
          <t>C0211</t>
        </is>
      </c>
      <c r="B212" t="inlineStr">
        <is>
          <t>Standard</t>
        </is>
      </c>
      <c r="C212" s="4" t="n">
        <v>44916</v>
      </c>
      <c r="D212" s="4" t="n">
        <v>45657</v>
      </c>
      <c r="E212" t="n">
        <v>25</v>
      </c>
      <c r="F212" t="inlineStr">
        <is>
          <t>Active</t>
        </is>
      </c>
      <c r="G212" t="inlineStr">
        <is>
          <t>Facebook</t>
        </is>
      </c>
      <c r="H212">
        <f>TEXT(C212,"mmm-yyyy")</f>
        <v/>
      </c>
      <c r="I212">
        <f>TEXT(D212,"mmm-yyyy")</f>
        <v/>
      </c>
      <c r="J212">
        <f>_xlfn.XLOOKUP(tbl_subscription[[#This Row],[Customer_ID]],tbl_clint[Customer_ID],tbl_clint[Country])</f>
        <v/>
      </c>
      <c r="K212">
        <f>_xlfn.XLOOKUP(tbl_subscription[[#This Row],[Customer_ID]],tbl_clint[[#This Row],[Customer_ID]],tbl_clint[[#This Row],[Industry]])</f>
        <v/>
      </c>
      <c r="L212">
        <f>_xlfn.XLOOKUP(tbl_subscription[[#This Row],[Customer_ID]],tbl_clint[[#This Row],[Customer_ID]],tbl_clint[[#This Row],[Company_Size]])</f>
        <v/>
      </c>
      <c r="M212">
        <f>YEAR(tbl_subscription[[#This Row],[Start_Date]])</f>
        <v/>
      </c>
    </row>
    <row r="213">
      <c r="A213" t="inlineStr">
        <is>
          <t>C0212</t>
        </is>
      </c>
      <c r="B213" t="inlineStr">
        <is>
          <t>Premium</t>
        </is>
      </c>
      <c r="C213" s="4" t="n">
        <v>44067</v>
      </c>
      <c r="D213" s="4" t="n">
        <v>44547</v>
      </c>
      <c r="E213" t="n">
        <v>40</v>
      </c>
      <c r="F213" t="inlineStr">
        <is>
          <t>Churned</t>
        </is>
      </c>
      <c r="G213" t="inlineStr">
        <is>
          <t>Instagram</t>
        </is>
      </c>
      <c r="H213">
        <f>TEXT(C213,"mmm-yyyy")</f>
        <v/>
      </c>
      <c r="I213">
        <f>TEXT(D213,"mmm-yyyy")</f>
        <v/>
      </c>
      <c r="J213">
        <f>_xlfn.XLOOKUP(tbl_subscription[[#This Row],[Customer_ID]],tbl_clint[Customer_ID],tbl_clint[Country])</f>
        <v/>
      </c>
      <c r="K213">
        <f>_xlfn.XLOOKUP(tbl_subscription[[#This Row],[Customer_ID]],tbl_clint[[#This Row],[Customer_ID]],tbl_clint[[#This Row],[Industry]])</f>
        <v/>
      </c>
      <c r="L213">
        <f>_xlfn.XLOOKUP(tbl_subscription[[#This Row],[Customer_ID]],tbl_clint[[#This Row],[Customer_ID]],tbl_clint[[#This Row],[Company_Size]])</f>
        <v/>
      </c>
      <c r="M213">
        <f>YEAR(tbl_subscription[[#This Row],[Start_Date]])</f>
        <v/>
      </c>
    </row>
    <row r="214">
      <c r="A214" t="inlineStr">
        <is>
          <t>C0213</t>
        </is>
      </c>
      <c r="B214" t="inlineStr">
        <is>
          <t>Standard</t>
        </is>
      </c>
      <c r="C214" s="4" t="n">
        <v>44620</v>
      </c>
      <c r="D214" s="4" t="n">
        <v>45657</v>
      </c>
      <c r="E214" t="n">
        <v>25</v>
      </c>
      <c r="F214" t="inlineStr">
        <is>
          <t>Active</t>
        </is>
      </c>
      <c r="G214" t="inlineStr">
        <is>
          <t>Google</t>
        </is>
      </c>
      <c r="H214">
        <f>TEXT(C214,"mmm-yyyy")</f>
        <v/>
      </c>
      <c r="I214">
        <f>TEXT(D214,"mmm-yyyy")</f>
        <v/>
      </c>
      <c r="J214">
        <f>_xlfn.XLOOKUP(tbl_subscription[[#This Row],[Customer_ID]],tbl_clint[Customer_ID],tbl_clint[Country])</f>
        <v/>
      </c>
      <c r="K214">
        <f>_xlfn.XLOOKUP(tbl_subscription[[#This Row],[Customer_ID]],tbl_clint[[#This Row],[Customer_ID]],tbl_clint[[#This Row],[Industry]])</f>
        <v/>
      </c>
      <c r="L214">
        <f>_xlfn.XLOOKUP(tbl_subscription[[#This Row],[Customer_ID]],tbl_clint[[#This Row],[Customer_ID]],tbl_clint[[#This Row],[Company_Size]])</f>
        <v/>
      </c>
      <c r="M214">
        <f>YEAR(tbl_subscription[[#This Row],[Start_Date]])</f>
        <v/>
      </c>
    </row>
    <row r="215">
      <c r="A215" t="inlineStr">
        <is>
          <t>C0214</t>
        </is>
      </c>
      <c r="B215" t="inlineStr">
        <is>
          <t>Basic</t>
        </is>
      </c>
      <c r="C215" s="4" t="n">
        <v>44706</v>
      </c>
      <c r="D215" s="4" t="n">
        <v>45657</v>
      </c>
      <c r="E215" t="n">
        <v>15</v>
      </c>
      <c r="F215" t="inlineStr">
        <is>
          <t>Active</t>
        </is>
      </c>
      <c r="G215" t="inlineStr">
        <is>
          <t>Google</t>
        </is>
      </c>
      <c r="H215">
        <f>TEXT(C215,"mmm-yyyy")</f>
        <v/>
      </c>
      <c r="I215">
        <f>TEXT(D215,"mmm-yyyy")</f>
        <v/>
      </c>
      <c r="J215">
        <f>_xlfn.XLOOKUP(tbl_subscription[[#This Row],[Customer_ID]],tbl_clint[Customer_ID],tbl_clint[Country])</f>
        <v/>
      </c>
      <c r="K215">
        <f>_xlfn.XLOOKUP(tbl_subscription[[#This Row],[Customer_ID]],tbl_clint[[#This Row],[Customer_ID]],tbl_clint[[#This Row],[Industry]])</f>
        <v/>
      </c>
      <c r="L215">
        <f>_xlfn.XLOOKUP(tbl_subscription[[#This Row],[Customer_ID]],tbl_clint[[#This Row],[Customer_ID]],tbl_clint[[#This Row],[Company_Size]])</f>
        <v/>
      </c>
      <c r="M215">
        <f>YEAR(tbl_subscription[[#This Row],[Start_Date]])</f>
        <v/>
      </c>
    </row>
    <row r="216">
      <c r="A216" t="inlineStr">
        <is>
          <t>C0215</t>
        </is>
      </c>
      <c r="B216" t="inlineStr">
        <is>
          <t>Basic</t>
        </is>
      </c>
      <c r="C216" s="4" t="n">
        <v>44757</v>
      </c>
      <c r="D216" s="4" t="n">
        <v>45657</v>
      </c>
      <c r="E216" t="n">
        <v>15</v>
      </c>
      <c r="F216" t="inlineStr">
        <is>
          <t>Active</t>
        </is>
      </c>
      <c r="G216" t="inlineStr">
        <is>
          <t>Facebook</t>
        </is>
      </c>
      <c r="H216">
        <f>TEXT(C216,"mmm-yyyy")</f>
        <v/>
      </c>
      <c r="I216">
        <f>TEXT(D216,"mmm-yyyy")</f>
        <v/>
      </c>
      <c r="J216">
        <f>_xlfn.XLOOKUP(tbl_subscription[[#This Row],[Customer_ID]],tbl_clint[Customer_ID],tbl_clint[Country])</f>
        <v/>
      </c>
      <c r="K216">
        <f>_xlfn.XLOOKUP(tbl_subscription[[#This Row],[Customer_ID]],tbl_clint[[#This Row],[Customer_ID]],tbl_clint[[#This Row],[Industry]])</f>
        <v/>
      </c>
      <c r="L216">
        <f>_xlfn.XLOOKUP(tbl_subscription[[#This Row],[Customer_ID]],tbl_clint[[#This Row],[Customer_ID]],tbl_clint[[#This Row],[Company_Size]])</f>
        <v/>
      </c>
      <c r="M216">
        <f>YEAR(tbl_subscription[[#This Row],[Start_Date]])</f>
        <v/>
      </c>
    </row>
    <row r="217">
      <c r="A217" t="inlineStr">
        <is>
          <t>C0216</t>
        </is>
      </c>
      <c r="B217" t="inlineStr">
        <is>
          <t>Basic</t>
        </is>
      </c>
      <c r="C217" s="4" t="n">
        <v>44136</v>
      </c>
      <c r="D217" s="4" t="n">
        <v>45657</v>
      </c>
      <c r="E217" t="n">
        <v>15</v>
      </c>
      <c r="F217" t="inlineStr">
        <is>
          <t>Active</t>
        </is>
      </c>
      <c r="G217" t="inlineStr">
        <is>
          <t>LinkedIn</t>
        </is>
      </c>
      <c r="H217">
        <f>TEXT(C217,"mmm-yyyy")</f>
        <v/>
      </c>
      <c r="I217">
        <f>TEXT(D217,"mmm-yyyy")</f>
        <v/>
      </c>
      <c r="J217">
        <f>_xlfn.XLOOKUP(tbl_subscription[[#This Row],[Customer_ID]],tbl_clint[Customer_ID],tbl_clint[Country])</f>
        <v/>
      </c>
      <c r="K217">
        <f>_xlfn.XLOOKUP(tbl_subscription[[#This Row],[Customer_ID]],tbl_clint[[#This Row],[Customer_ID]],tbl_clint[[#This Row],[Industry]])</f>
        <v/>
      </c>
      <c r="L217">
        <f>_xlfn.XLOOKUP(tbl_subscription[[#This Row],[Customer_ID]],tbl_clint[[#This Row],[Customer_ID]],tbl_clint[[#This Row],[Company_Size]])</f>
        <v/>
      </c>
      <c r="M217">
        <f>YEAR(tbl_subscription[[#This Row],[Start_Date]])</f>
        <v/>
      </c>
    </row>
    <row r="218">
      <c r="A218" t="inlineStr">
        <is>
          <t>C0217</t>
        </is>
      </c>
      <c r="B218" t="inlineStr">
        <is>
          <t>Premium</t>
        </is>
      </c>
      <c r="C218" s="4" t="n">
        <v>45177</v>
      </c>
      <c r="D218" s="4" t="n">
        <v>45402</v>
      </c>
      <c r="E218" t="n">
        <v>40</v>
      </c>
      <c r="F218" t="inlineStr">
        <is>
          <t>Churned</t>
        </is>
      </c>
      <c r="G218" t="inlineStr">
        <is>
          <t>LinkedIn</t>
        </is>
      </c>
      <c r="H218">
        <f>TEXT(C218,"mmm-yyyy")</f>
        <v/>
      </c>
      <c r="I218">
        <f>TEXT(D218,"mmm-yyyy")</f>
        <v/>
      </c>
      <c r="J218">
        <f>_xlfn.XLOOKUP(tbl_subscription[[#This Row],[Customer_ID]],tbl_clint[Customer_ID],tbl_clint[Country])</f>
        <v/>
      </c>
      <c r="K218">
        <f>_xlfn.XLOOKUP(tbl_subscription[[#This Row],[Customer_ID]],tbl_clint[[#This Row],[Customer_ID]],tbl_clint[[#This Row],[Industry]])</f>
        <v/>
      </c>
      <c r="L218">
        <f>_xlfn.XLOOKUP(tbl_subscription[[#This Row],[Customer_ID]],tbl_clint[[#This Row],[Customer_ID]],tbl_clint[[#This Row],[Company_Size]])</f>
        <v/>
      </c>
      <c r="M218">
        <f>YEAR(tbl_subscription[[#This Row],[Start_Date]])</f>
        <v/>
      </c>
    </row>
    <row r="219">
      <c r="A219" t="inlineStr">
        <is>
          <t>C0218</t>
        </is>
      </c>
      <c r="B219" t="inlineStr">
        <is>
          <t>Standard</t>
        </is>
      </c>
      <c r="C219" s="4" t="n">
        <v>45271</v>
      </c>
      <c r="D219" s="4" t="n">
        <v>45657</v>
      </c>
      <c r="E219" t="n">
        <v>25</v>
      </c>
      <c r="F219" t="inlineStr">
        <is>
          <t>Active</t>
        </is>
      </c>
      <c r="G219" t="inlineStr">
        <is>
          <t>Referral</t>
        </is>
      </c>
      <c r="H219">
        <f>TEXT(C219,"mmm-yyyy")</f>
        <v/>
      </c>
      <c r="I219">
        <f>TEXT(D219,"mmm-yyyy")</f>
        <v/>
      </c>
      <c r="J219">
        <f>_xlfn.XLOOKUP(tbl_subscription[[#This Row],[Customer_ID]],tbl_clint[Customer_ID],tbl_clint[Country])</f>
        <v/>
      </c>
      <c r="K219">
        <f>_xlfn.XLOOKUP(tbl_subscription[[#This Row],[Customer_ID]],tbl_clint[[#This Row],[Customer_ID]],tbl_clint[[#This Row],[Industry]])</f>
        <v/>
      </c>
      <c r="L219">
        <f>_xlfn.XLOOKUP(tbl_subscription[[#This Row],[Customer_ID]],tbl_clint[[#This Row],[Customer_ID]],tbl_clint[[#This Row],[Company_Size]])</f>
        <v/>
      </c>
      <c r="M219">
        <f>YEAR(tbl_subscription[[#This Row],[Start_Date]])</f>
        <v/>
      </c>
    </row>
    <row r="220">
      <c r="A220" t="inlineStr">
        <is>
          <t>C0219</t>
        </is>
      </c>
      <c r="B220" t="inlineStr">
        <is>
          <t>Standard</t>
        </is>
      </c>
      <c r="C220" s="4" t="n">
        <v>44612</v>
      </c>
      <c r="D220" s="4" t="n">
        <v>45657</v>
      </c>
      <c r="E220" t="n">
        <v>25</v>
      </c>
      <c r="F220" t="inlineStr">
        <is>
          <t>Active</t>
        </is>
      </c>
      <c r="G220" t="inlineStr">
        <is>
          <t>Facebook</t>
        </is>
      </c>
      <c r="H220">
        <f>TEXT(C220,"mmm-yyyy")</f>
        <v/>
      </c>
      <c r="I220">
        <f>TEXT(D220,"mmm-yyyy")</f>
        <v/>
      </c>
      <c r="J220">
        <f>_xlfn.XLOOKUP(tbl_subscription[[#This Row],[Customer_ID]],tbl_clint[Customer_ID],tbl_clint[Country])</f>
        <v/>
      </c>
      <c r="K220">
        <f>_xlfn.XLOOKUP(tbl_subscription[[#This Row],[Customer_ID]],tbl_clint[[#This Row],[Customer_ID]],tbl_clint[[#This Row],[Industry]])</f>
        <v/>
      </c>
      <c r="L220">
        <f>_xlfn.XLOOKUP(tbl_subscription[[#This Row],[Customer_ID]],tbl_clint[[#This Row],[Customer_ID]],tbl_clint[[#This Row],[Company_Size]])</f>
        <v/>
      </c>
      <c r="M220">
        <f>YEAR(tbl_subscription[[#This Row],[Start_Date]])</f>
        <v/>
      </c>
    </row>
    <row r="221">
      <c r="A221" t="inlineStr">
        <is>
          <t>C0220</t>
        </is>
      </c>
      <c r="B221" t="inlineStr">
        <is>
          <t>Basic</t>
        </is>
      </c>
      <c r="C221" s="4" t="n">
        <v>45142</v>
      </c>
      <c r="D221" s="4" t="n">
        <v>45604</v>
      </c>
      <c r="E221" t="n">
        <v>15</v>
      </c>
      <c r="F221" t="inlineStr">
        <is>
          <t>Churned</t>
        </is>
      </c>
      <c r="G221" t="inlineStr">
        <is>
          <t>Instagram</t>
        </is>
      </c>
      <c r="H221">
        <f>TEXT(C221,"mmm-yyyy")</f>
        <v/>
      </c>
      <c r="I221">
        <f>TEXT(D221,"mmm-yyyy")</f>
        <v/>
      </c>
      <c r="J221">
        <f>_xlfn.XLOOKUP(tbl_subscription[[#This Row],[Customer_ID]],tbl_clint[Customer_ID],tbl_clint[Country])</f>
        <v/>
      </c>
      <c r="K221">
        <f>_xlfn.XLOOKUP(tbl_subscription[[#This Row],[Customer_ID]],tbl_clint[[#This Row],[Customer_ID]],tbl_clint[[#This Row],[Industry]])</f>
        <v/>
      </c>
      <c r="L221">
        <f>_xlfn.XLOOKUP(tbl_subscription[[#This Row],[Customer_ID]],tbl_clint[[#This Row],[Customer_ID]],tbl_clint[[#This Row],[Company_Size]])</f>
        <v/>
      </c>
      <c r="M221">
        <f>YEAR(tbl_subscription[[#This Row],[Start_Date]])</f>
        <v/>
      </c>
    </row>
    <row r="222">
      <c r="A222" t="inlineStr">
        <is>
          <t>C0221</t>
        </is>
      </c>
      <c r="B222" t="inlineStr">
        <is>
          <t>Standard</t>
        </is>
      </c>
      <c r="C222" s="4" t="n">
        <v>44399</v>
      </c>
      <c r="D222" s="4" t="n">
        <v>45657</v>
      </c>
      <c r="E222" t="n">
        <v>25</v>
      </c>
      <c r="F222" t="inlineStr">
        <is>
          <t>Active</t>
        </is>
      </c>
      <c r="G222" t="inlineStr">
        <is>
          <t>Instagram</t>
        </is>
      </c>
      <c r="H222">
        <f>TEXT(C222,"mmm-yyyy")</f>
        <v/>
      </c>
      <c r="I222">
        <f>TEXT(D222,"mmm-yyyy")</f>
        <v/>
      </c>
      <c r="J222">
        <f>_xlfn.XLOOKUP(tbl_subscription[[#This Row],[Customer_ID]],tbl_clint[Customer_ID],tbl_clint[Country])</f>
        <v/>
      </c>
      <c r="K222">
        <f>_xlfn.XLOOKUP(tbl_subscription[[#This Row],[Customer_ID]],tbl_clint[[#This Row],[Customer_ID]],tbl_clint[[#This Row],[Industry]])</f>
        <v/>
      </c>
      <c r="L222">
        <f>_xlfn.XLOOKUP(tbl_subscription[[#This Row],[Customer_ID]],tbl_clint[[#This Row],[Customer_ID]],tbl_clint[[#This Row],[Company_Size]])</f>
        <v/>
      </c>
      <c r="M222">
        <f>YEAR(tbl_subscription[[#This Row],[Start_Date]])</f>
        <v/>
      </c>
    </row>
    <row r="223">
      <c r="A223" t="inlineStr">
        <is>
          <t>C0222</t>
        </is>
      </c>
      <c r="B223" t="inlineStr">
        <is>
          <t>Premium</t>
        </is>
      </c>
      <c r="C223" s="4" t="n">
        <v>44443</v>
      </c>
      <c r="D223" s="4" t="n">
        <v>45019</v>
      </c>
      <c r="E223" t="n">
        <v>40</v>
      </c>
      <c r="F223" t="inlineStr">
        <is>
          <t>Churned</t>
        </is>
      </c>
      <c r="G223" t="inlineStr">
        <is>
          <t>Facebook</t>
        </is>
      </c>
      <c r="H223">
        <f>TEXT(C223,"mmm-yyyy")</f>
        <v/>
      </c>
      <c r="I223">
        <f>TEXT(D223,"mmm-yyyy")</f>
        <v/>
      </c>
      <c r="J223">
        <f>_xlfn.XLOOKUP(tbl_subscription[[#This Row],[Customer_ID]],tbl_clint[Customer_ID],tbl_clint[Country])</f>
        <v/>
      </c>
      <c r="K223">
        <f>_xlfn.XLOOKUP(tbl_subscription[[#This Row],[Customer_ID]],tbl_clint[[#This Row],[Customer_ID]],tbl_clint[[#This Row],[Industry]])</f>
        <v/>
      </c>
      <c r="L223">
        <f>_xlfn.XLOOKUP(tbl_subscription[[#This Row],[Customer_ID]],tbl_clint[[#This Row],[Customer_ID]],tbl_clint[[#This Row],[Company_Size]])</f>
        <v/>
      </c>
      <c r="M223">
        <f>YEAR(tbl_subscription[[#This Row],[Start_Date]])</f>
        <v/>
      </c>
    </row>
    <row r="224">
      <c r="A224" t="inlineStr">
        <is>
          <t>C0223</t>
        </is>
      </c>
      <c r="B224" t="inlineStr">
        <is>
          <t>Basic</t>
        </is>
      </c>
      <c r="C224" s="4" t="n">
        <v>45387</v>
      </c>
      <c r="D224" s="4" t="n">
        <v>45573</v>
      </c>
      <c r="E224" t="n">
        <v>15</v>
      </c>
      <c r="F224" t="inlineStr">
        <is>
          <t>Churned</t>
        </is>
      </c>
      <c r="G224" t="inlineStr">
        <is>
          <t>Facebook</t>
        </is>
      </c>
      <c r="H224">
        <f>TEXT(C224,"mmm-yyyy")</f>
        <v/>
      </c>
      <c r="I224">
        <f>TEXT(D224,"mmm-yyyy")</f>
        <v/>
      </c>
      <c r="J224">
        <f>_xlfn.XLOOKUP(tbl_subscription[[#This Row],[Customer_ID]],tbl_clint[Customer_ID],tbl_clint[Country])</f>
        <v/>
      </c>
      <c r="K224">
        <f>_xlfn.XLOOKUP(tbl_subscription[[#This Row],[Customer_ID]],tbl_clint[[#This Row],[Customer_ID]],tbl_clint[[#This Row],[Industry]])</f>
        <v/>
      </c>
      <c r="L224">
        <f>_xlfn.XLOOKUP(tbl_subscription[[#This Row],[Customer_ID]],tbl_clint[[#This Row],[Customer_ID]],tbl_clint[[#This Row],[Company_Size]])</f>
        <v/>
      </c>
      <c r="M224">
        <f>YEAR(tbl_subscription[[#This Row],[Start_Date]])</f>
        <v/>
      </c>
    </row>
    <row r="225">
      <c r="A225" t="inlineStr">
        <is>
          <t>C0224</t>
        </is>
      </c>
      <c r="B225" t="inlineStr">
        <is>
          <t>Basic</t>
        </is>
      </c>
      <c r="C225" s="4" t="n">
        <v>44780</v>
      </c>
      <c r="D225" s="4" t="n">
        <v>45657</v>
      </c>
      <c r="E225" t="n">
        <v>15</v>
      </c>
      <c r="F225" t="inlineStr">
        <is>
          <t>Active</t>
        </is>
      </c>
      <c r="G225" t="inlineStr">
        <is>
          <t>Facebook</t>
        </is>
      </c>
      <c r="H225">
        <f>TEXT(C225,"mmm-yyyy")</f>
        <v/>
      </c>
      <c r="I225">
        <f>TEXT(D225,"mmm-yyyy")</f>
        <v/>
      </c>
      <c r="J225">
        <f>_xlfn.XLOOKUP(tbl_subscription[[#This Row],[Customer_ID]],tbl_clint[Customer_ID],tbl_clint[Country])</f>
        <v/>
      </c>
      <c r="K225">
        <f>_xlfn.XLOOKUP(tbl_subscription[[#This Row],[Customer_ID]],tbl_clint[[#This Row],[Customer_ID]],tbl_clint[[#This Row],[Industry]])</f>
        <v/>
      </c>
      <c r="L225">
        <f>_xlfn.XLOOKUP(tbl_subscription[[#This Row],[Customer_ID]],tbl_clint[[#This Row],[Customer_ID]],tbl_clint[[#This Row],[Company_Size]])</f>
        <v/>
      </c>
      <c r="M225">
        <f>YEAR(tbl_subscription[[#This Row],[Start_Date]])</f>
        <v/>
      </c>
    </row>
    <row r="226">
      <c r="A226" t="inlineStr">
        <is>
          <t>C0225</t>
        </is>
      </c>
      <c r="B226" t="inlineStr">
        <is>
          <t>Premium</t>
        </is>
      </c>
      <c r="C226" s="4" t="n">
        <v>43911</v>
      </c>
      <c r="D226" s="4" t="n">
        <v>44535</v>
      </c>
      <c r="E226" t="n">
        <v>40</v>
      </c>
      <c r="F226" t="inlineStr">
        <is>
          <t>Churned</t>
        </is>
      </c>
      <c r="G226" t="inlineStr">
        <is>
          <t>Facebook</t>
        </is>
      </c>
      <c r="H226">
        <f>TEXT(C226,"mmm-yyyy")</f>
        <v/>
      </c>
      <c r="I226">
        <f>TEXT(D226,"mmm-yyyy")</f>
        <v/>
      </c>
      <c r="J226">
        <f>_xlfn.XLOOKUP(tbl_subscription[[#This Row],[Customer_ID]],tbl_clint[Customer_ID],tbl_clint[Country])</f>
        <v/>
      </c>
      <c r="K226">
        <f>_xlfn.XLOOKUP(tbl_subscription[[#This Row],[Customer_ID]],tbl_clint[[#This Row],[Customer_ID]],tbl_clint[[#This Row],[Industry]])</f>
        <v/>
      </c>
      <c r="L226">
        <f>_xlfn.XLOOKUP(tbl_subscription[[#This Row],[Customer_ID]],tbl_clint[[#This Row],[Customer_ID]],tbl_clint[[#This Row],[Company_Size]])</f>
        <v/>
      </c>
      <c r="M226">
        <f>YEAR(tbl_subscription[[#This Row],[Start_Date]])</f>
        <v/>
      </c>
    </row>
    <row r="227">
      <c r="A227" t="inlineStr">
        <is>
          <t>C0226</t>
        </is>
      </c>
      <c r="B227" t="inlineStr">
        <is>
          <t>Premium</t>
        </is>
      </c>
      <c r="C227" s="4" t="n">
        <v>45283</v>
      </c>
      <c r="D227" s="4" t="n">
        <v>45657</v>
      </c>
      <c r="E227" t="n">
        <v>40</v>
      </c>
      <c r="F227" t="inlineStr">
        <is>
          <t>Active</t>
        </is>
      </c>
      <c r="G227" t="inlineStr">
        <is>
          <t>LinkedIn</t>
        </is>
      </c>
      <c r="H227">
        <f>TEXT(C227,"mmm-yyyy")</f>
        <v/>
      </c>
      <c r="I227">
        <f>TEXT(D227,"mmm-yyyy")</f>
        <v/>
      </c>
      <c r="J227">
        <f>_xlfn.XLOOKUP(tbl_subscription[[#This Row],[Customer_ID]],tbl_clint[Customer_ID],tbl_clint[Country])</f>
        <v/>
      </c>
      <c r="K227">
        <f>_xlfn.XLOOKUP(tbl_subscription[[#This Row],[Customer_ID]],tbl_clint[[#This Row],[Customer_ID]],tbl_clint[[#This Row],[Industry]])</f>
        <v/>
      </c>
      <c r="L227">
        <f>_xlfn.XLOOKUP(tbl_subscription[[#This Row],[Customer_ID]],tbl_clint[[#This Row],[Customer_ID]],tbl_clint[[#This Row],[Company_Size]])</f>
        <v/>
      </c>
      <c r="M227">
        <f>YEAR(tbl_subscription[[#This Row],[Start_Date]])</f>
        <v/>
      </c>
    </row>
    <row r="228">
      <c r="A228" t="inlineStr">
        <is>
          <t>C0227</t>
        </is>
      </c>
      <c r="B228" t="inlineStr">
        <is>
          <t>Standard</t>
        </is>
      </c>
      <c r="C228" s="4" t="n">
        <v>44691</v>
      </c>
      <c r="D228" s="4" t="n">
        <v>45657</v>
      </c>
      <c r="E228" t="n">
        <v>25</v>
      </c>
      <c r="F228" t="inlineStr">
        <is>
          <t>Active</t>
        </is>
      </c>
      <c r="G228" t="inlineStr">
        <is>
          <t>Instagram</t>
        </is>
      </c>
      <c r="H228">
        <f>TEXT(C228,"mmm-yyyy")</f>
        <v/>
      </c>
      <c r="I228">
        <f>TEXT(D228,"mmm-yyyy")</f>
        <v/>
      </c>
      <c r="J228">
        <f>_xlfn.XLOOKUP(tbl_subscription[[#This Row],[Customer_ID]],tbl_clint[Customer_ID],tbl_clint[Country])</f>
        <v/>
      </c>
      <c r="K228">
        <f>_xlfn.XLOOKUP(tbl_subscription[[#This Row],[Customer_ID]],tbl_clint[[#This Row],[Customer_ID]],tbl_clint[[#This Row],[Industry]])</f>
        <v/>
      </c>
      <c r="L228">
        <f>_xlfn.XLOOKUP(tbl_subscription[[#This Row],[Customer_ID]],tbl_clint[[#This Row],[Customer_ID]],tbl_clint[[#This Row],[Company_Size]])</f>
        <v/>
      </c>
      <c r="M228">
        <f>YEAR(tbl_subscription[[#This Row],[Start_Date]])</f>
        <v/>
      </c>
    </row>
    <row r="229">
      <c r="A229" t="inlineStr">
        <is>
          <t>C0228</t>
        </is>
      </c>
      <c r="B229" t="inlineStr">
        <is>
          <t>Standard</t>
        </is>
      </c>
      <c r="C229" s="4" t="n">
        <v>43890</v>
      </c>
      <c r="D229" s="4" t="n">
        <v>45657</v>
      </c>
      <c r="E229" t="n">
        <v>25</v>
      </c>
      <c r="F229" t="inlineStr">
        <is>
          <t>Active</t>
        </is>
      </c>
      <c r="G229" t="inlineStr">
        <is>
          <t>Facebook</t>
        </is>
      </c>
      <c r="H229">
        <f>TEXT(C229,"mmm-yyyy")</f>
        <v/>
      </c>
      <c r="I229">
        <f>TEXT(D229,"mmm-yyyy")</f>
        <v/>
      </c>
      <c r="J229">
        <f>_xlfn.XLOOKUP(tbl_subscription[[#This Row],[Customer_ID]],tbl_clint[Customer_ID],tbl_clint[Country])</f>
        <v/>
      </c>
      <c r="K229">
        <f>_xlfn.XLOOKUP(tbl_subscription[[#This Row],[Customer_ID]],tbl_clint[[#This Row],[Customer_ID]],tbl_clint[[#This Row],[Industry]])</f>
        <v/>
      </c>
      <c r="L229">
        <f>_xlfn.XLOOKUP(tbl_subscription[[#This Row],[Customer_ID]],tbl_clint[[#This Row],[Customer_ID]],tbl_clint[[#This Row],[Company_Size]])</f>
        <v/>
      </c>
      <c r="M229">
        <f>YEAR(tbl_subscription[[#This Row],[Start_Date]])</f>
        <v/>
      </c>
    </row>
    <row r="230">
      <c r="A230" t="inlineStr">
        <is>
          <t>C0229</t>
        </is>
      </c>
      <c r="B230" t="inlineStr">
        <is>
          <t>Standard</t>
        </is>
      </c>
      <c r="C230" s="4" t="n">
        <v>44895</v>
      </c>
      <c r="D230" s="4" t="n">
        <v>45043</v>
      </c>
      <c r="E230" t="n">
        <v>25</v>
      </c>
      <c r="F230" t="inlineStr">
        <is>
          <t>Churned</t>
        </is>
      </c>
      <c r="G230" t="inlineStr">
        <is>
          <t>LinkedIn</t>
        </is>
      </c>
      <c r="H230">
        <f>TEXT(C230,"mmm-yyyy")</f>
        <v/>
      </c>
      <c r="I230">
        <f>TEXT(D230,"mmm-yyyy")</f>
        <v/>
      </c>
      <c r="J230">
        <f>_xlfn.XLOOKUP(tbl_subscription[[#This Row],[Customer_ID]],tbl_clint[Customer_ID],tbl_clint[Country])</f>
        <v/>
      </c>
      <c r="K230">
        <f>_xlfn.XLOOKUP(tbl_subscription[[#This Row],[Customer_ID]],tbl_clint[[#This Row],[Customer_ID]],tbl_clint[[#This Row],[Industry]])</f>
        <v/>
      </c>
      <c r="L230">
        <f>_xlfn.XLOOKUP(tbl_subscription[[#This Row],[Customer_ID]],tbl_clint[[#This Row],[Customer_ID]],tbl_clint[[#This Row],[Company_Size]])</f>
        <v/>
      </c>
      <c r="M230">
        <f>YEAR(tbl_subscription[[#This Row],[Start_Date]])</f>
        <v/>
      </c>
    </row>
    <row r="231">
      <c r="A231" t="inlineStr">
        <is>
          <t>C0230</t>
        </is>
      </c>
      <c r="B231" t="inlineStr">
        <is>
          <t>Premium</t>
        </is>
      </c>
      <c r="C231" s="4" t="n">
        <v>44768</v>
      </c>
      <c r="D231" s="4" t="n">
        <v>45657</v>
      </c>
      <c r="E231" t="n">
        <v>40</v>
      </c>
      <c r="F231" t="inlineStr">
        <is>
          <t>Active</t>
        </is>
      </c>
      <c r="G231" t="inlineStr">
        <is>
          <t>Facebook</t>
        </is>
      </c>
      <c r="H231">
        <f>TEXT(C231,"mmm-yyyy")</f>
        <v/>
      </c>
      <c r="I231">
        <f>TEXT(D231,"mmm-yyyy")</f>
        <v/>
      </c>
      <c r="J231">
        <f>_xlfn.XLOOKUP(tbl_subscription[[#This Row],[Customer_ID]],tbl_clint[Customer_ID],tbl_clint[Country])</f>
        <v/>
      </c>
      <c r="K231">
        <f>_xlfn.XLOOKUP(tbl_subscription[[#This Row],[Customer_ID]],tbl_clint[[#This Row],[Customer_ID]],tbl_clint[[#This Row],[Industry]])</f>
        <v/>
      </c>
      <c r="L231">
        <f>_xlfn.XLOOKUP(tbl_subscription[[#This Row],[Customer_ID]],tbl_clint[[#This Row],[Customer_ID]],tbl_clint[[#This Row],[Company_Size]])</f>
        <v/>
      </c>
      <c r="M231">
        <f>YEAR(tbl_subscription[[#This Row],[Start_Date]])</f>
        <v/>
      </c>
    </row>
    <row r="232">
      <c r="A232" t="inlineStr">
        <is>
          <t>C0231</t>
        </is>
      </c>
      <c r="B232" t="inlineStr">
        <is>
          <t>Basic</t>
        </is>
      </c>
      <c r="C232" s="4" t="n">
        <v>44850</v>
      </c>
      <c r="D232" s="4" t="n">
        <v>45657</v>
      </c>
      <c r="E232" t="n">
        <v>15</v>
      </c>
      <c r="F232" t="inlineStr">
        <is>
          <t>Active</t>
        </is>
      </c>
      <c r="G232" t="inlineStr">
        <is>
          <t>Google</t>
        </is>
      </c>
      <c r="H232">
        <f>TEXT(C232,"mmm-yyyy")</f>
        <v/>
      </c>
      <c r="I232">
        <f>TEXT(D232,"mmm-yyyy")</f>
        <v/>
      </c>
      <c r="J232">
        <f>_xlfn.XLOOKUP(tbl_subscription[[#This Row],[Customer_ID]],tbl_clint[Customer_ID],tbl_clint[Country])</f>
        <v/>
      </c>
      <c r="K232">
        <f>_xlfn.XLOOKUP(tbl_subscription[[#This Row],[Customer_ID]],tbl_clint[[#This Row],[Customer_ID]],tbl_clint[[#This Row],[Industry]])</f>
        <v/>
      </c>
      <c r="L232">
        <f>_xlfn.XLOOKUP(tbl_subscription[[#This Row],[Customer_ID]],tbl_clint[[#This Row],[Customer_ID]],tbl_clint[[#This Row],[Company_Size]])</f>
        <v/>
      </c>
      <c r="M232">
        <f>YEAR(tbl_subscription[[#This Row],[Start_Date]])</f>
        <v/>
      </c>
    </row>
    <row r="233">
      <c r="A233" t="inlineStr">
        <is>
          <t>C0232</t>
        </is>
      </c>
      <c r="B233" t="inlineStr">
        <is>
          <t>Standard</t>
        </is>
      </c>
      <c r="C233" s="4" t="n">
        <v>44697</v>
      </c>
      <c r="D233" s="4" t="n">
        <v>45657</v>
      </c>
      <c r="E233" t="n">
        <v>25</v>
      </c>
      <c r="F233" t="inlineStr">
        <is>
          <t>Active</t>
        </is>
      </c>
      <c r="G233" t="inlineStr">
        <is>
          <t>Instagram</t>
        </is>
      </c>
      <c r="H233">
        <f>TEXT(C233,"mmm-yyyy")</f>
        <v/>
      </c>
      <c r="I233">
        <f>TEXT(D233,"mmm-yyyy")</f>
        <v/>
      </c>
      <c r="J233">
        <f>_xlfn.XLOOKUP(tbl_subscription[[#This Row],[Customer_ID]],tbl_clint[Customer_ID],tbl_clint[Country])</f>
        <v/>
      </c>
      <c r="K233">
        <f>_xlfn.XLOOKUP(tbl_subscription[[#This Row],[Customer_ID]],tbl_clint[[#This Row],[Customer_ID]],tbl_clint[[#This Row],[Industry]])</f>
        <v/>
      </c>
      <c r="L233">
        <f>_xlfn.XLOOKUP(tbl_subscription[[#This Row],[Customer_ID]],tbl_clint[[#This Row],[Customer_ID]],tbl_clint[[#This Row],[Company_Size]])</f>
        <v/>
      </c>
      <c r="M233">
        <f>YEAR(tbl_subscription[[#This Row],[Start_Date]])</f>
        <v/>
      </c>
    </row>
    <row r="234">
      <c r="A234" t="inlineStr">
        <is>
          <t>C0233</t>
        </is>
      </c>
      <c r="B234" t="inlineStr">
        <is>
          <t>Premium</t>
        </is>
      </c>
      <c r="C234" s="4" t="n">
        <v>43854</v>
      </c>
      <c r="D234" s="4" t="n">
        <v>45657</v>
      </c>
      <c r="E234" t="n">
        <v>40</v>
      </c>
      <c r="F234" t="inlineStr">
        <is>
          <t>Active</t>
        </is>
      </c>
      <c r="G234" t="inlineStr">
        <is>
          <t>Referral</t>
        </is>
      </c>
      <c r="H234">
        <f>TEXT(C234,"mmm-yyyy")</f>
        <v/>
      </c>
      <c r="I234">
        <f>TEXT(D234,"mmm-yyyy")</f>
        <v/>
      </c>
      <c r="J234">
        <f>_xlfn.XLOOKUP(tbl_subscription[[#This Row],[Customer_ID]],tbl_clint[Customer_ID],tbl_clint[Country])</f>
        <v/>
      </c>
      <c r="K234">
        <f>_xlfn.XLOOKUP(tbl_subscription[[#This Row],[Customer_ID]],tbl_clint[[#This Row],[Customer_ID]],tbl_clint[[#This Row],[Industry]])</f>
        <v/>
      </c>
      <c r="L234">
        <f>_xlfn.XLOOKUP(tbl_subscription[[#This Row],[Customer_ID]],tbl_clint[[#This Row],[Customer_ID]],tbl_clint[[#This Row],[Company_Size]])</f>
        <v/>
      </c>
      <c r="M234">
        <f>YEAR(tbl_subscription[[#This Row],[Start_Date]])</f>
        <v/>
      </c>
    </row>
    <row r="235">
      <c r="A235" t="inlineStr">
        <is>
          <t>C0234</t>
        </is>
      </c>
      <c r="B235" t="inlineStr">
        <is>
          <t>Premium</t>
        </is>
      </c>
      <c r="C235" s="4" t="n">
        <v>45113</v>
      </c>
      <c r="D235" s="4" t="n">
        <v>45657</v>
      </c>
      <c r="E235" t="n">
        <v>40</v>
      </c>
      <c r="F235" t="inlineStr">
        <is>
          <t>Active</t>
        </is>
      </c>
      <c r="G235" t="inlineStr">
        <is>
          <t>LinkedIn</t>
        </is>
      </c>
      <c r="H235">
        <f>TEXT(C235,"mmm-yyyy")</f>
        <v/>
      </c>
      <c r="I235">
        <f>TEXT(D235,"mmm-yyyy")</f>
        <v/>
      </c>
      <c r="J235">
        <f>_xlfn.XLOOKUP(tbl_subscription[[#This Row],[Customer_ID]],tbl_clint[Customer_ID],tbl_clint[Country])</f>
        <v/>
      </c>
      <c r="K235">
        <f>_xlfn.XLOOKUP(tbl_subscription[[#This Row],[Customer_ID]],tbl_clint[[#This Row],[Customer_ID]],tbl_clint[[#This Row],[Industry]])</f>
        <v/>
      </c>
      <c r="L235">
        <f>_xlfn.XLOOKUP(tbl_subscription[[#This Row],[Customer_ID]],tbl_clint[[#This Row],[Customer_ID]],tbl_clint[[#This Row],[Company_Size]])</f>
        <v/>
      </c>
      <c r="M235">
        <f>YEAR(tbl_subscription[[#This Row],[Start_Date]])</f>
        <v/>
      </c>
    </row>
    <row r="236">
      <c r="A236" t="inlineStr">
        <is>
          <t>C0235</t>
        </is>
      </c>
      <c r="B236" t="inlineStr">
        <is>
          <t>Basic</t>
        </is>
      </c>
      <c r="C236" s="4" t="n">
        <v>44470</v>
      </c>
      <c r="D236" s="4" t="n">
        <v>45657</v>
      </c>
      <c r="E236" t="n">
        <v>15</v>
      </c>
      <c r="F236" t="inlineStr">
        <is>
          <t>Active</t>
        </is>
      </c>
      <c r="G236" t="inlineStr">
        <is>
          <t>Instagram</t>
        </is>
      </c>
      <c r="H236">
        <f>TEXT(C236,"mmm-yyyy")</f>
        <v/>
      </c>
      <c r="I236">
        <f>TEXT(D236,"mmm-yyyy")</f>
        <v/>
      </c>
      <c r="J236">
        <f>_xlfn.XLOOKUP(tbl_subscription[[#This Row],[Customer_ID]],tbl_clint[Customer_ID],tbl_clint[Country])</f>
        <v/>
      </c>
      <c r="K236">
        <f>_xlfn.XLOOKUP(tbl_subscription[[#This Row],[Customer_ID]],tbl_clint[[#This Row],[Customer_ID]],tbl_clint[[#This Row],[Industry]])</f>
        <v/>
      </c>
      <c r="L236">
        <f>_xlfn.XLOOKUP(tbl_subscription[[#This Row],[Customer_ID]],tbl_clint[[#This Row],[Customer_ID]],tbl_clint[[#This Row],[Company_Size]])</f>
        <v/>
      </c>
      <c r="M236">
        <f>YEAR(tbl_subscription[[#This Row],[Start_Date]])</f>
        <v/>
      </c>
    </row>
    <row r="237">
      <c r="A237" t="inlineStr">
        <is>
          <t>C0236</t>
        </is>
      </c>
      <c r="B237" t="inlineStr">
        <is>
          <t>Basic</t>
        </is>
      </c>
      <c r="C237" s="4" t="n">
        <v>44063</v>
      </c>
      <c r="D237" s="4" t="n">
        <v>45657</v>
      </c>
      <c r="E237" t="n">
        <v>15</v>
      </c>
      <c r="F237" t="inlineStr">
        <is>
          <t>Active</t>
        </is>
      </c>
      <c r="G237" t="inlineStr">
        <is>
          <t>Instagram</t>
        </is>
      </c>
      <c r="H237">
        <f>TEXT(C237,"mmm-yyyy")</f>
        <v/>
      </c>
      <c r="I237">
        <f>TEXT(D237,"mmm-yyyy")</f>
        <v/>
      </c>
      <c r="J237">
        <f>_xlfn.XLOOKUP(tbl_subscription[[#This Row],[Customer_ID]],tbl_clint[Customer_ID],tbl_clint[Country])</f>
        <v/>
      </c>
      <c r="K237">
        <f>_xlfn.XLOOKUP(tbl_subscription[[#This Row],[Customer_ID]],tbl_clint[[#This Row],[Customer_ID]],tbl_clint[[#This Row],[Industry]])</f>
        <v/>
      </c>
      <c r="L237">
        <f>_xlfn.XLOOKUP(tbl_subscription[[#This Row],[Customer_ID]],tbl_clint[[#This Row],[Customer_ID]],tbl_clint[[#This Row],[Company_Size]])</f>
        <v/>
      </c>
      <c r="M237">
        <f>YEAR(tbl_subscription[[#This Row],[Start_Date]])</f>
        <v/>
      </c>
    </row>
    <row r="238">
      <c r="A238" t="inlineStr">
        <is>
          <t>C0237</t>
        </is>
      </c>
      <c r="B238" t="inlineStr">
        <is>
          <t>Standard</t>
        </is>
      </c>
      <c r="C238" s="4" t="n">
        <v>45090</v>
      </c>
      <c r="D238" s="4" t="n">
        <v>45657</v>
      </c>
      <c r="E238" t="n">
        <v>25</v>
      </c>
      <c r="F238" t="inlineStr">
        <is>
          <t>Active</t>
        </is>
      </c>
      <c r="G238" t="inlineStr">
        <is>
          <t>Instagram</t>
        </is>
      </c>
      <c r="H238">
        <f>TEXT(C238,"mmm-yyyy")</f>
        <v/>
      </c>
      <c r="I238">
        <f>TEXT(D238,"mmm-yyyy")</f>
        <v/>
      </c>
      <c r="J238">
        <f>_xlfn.XLOOKUP(tbl_subscription[[#This Row],[Customer_ID]],tbl_clint[Customer_ID],tbl_clint[Country])</f>
        <v/>
      </c>
      <c r="K238">
        <f>_xlfn.XLOOKUP(tbl_subscription[[#This Row],[Customer_ID]],tbl_clint[[#This Row],[Customer_ID]],tbl_clint[[#This Row],[Industry]])</f>
        <v/>
      </c>
      <c r="L238">
        <f>_xlfn.XLOOKUP(tbl_subscription[[#This Row],[Customer_ID]],tbl_clint[[#This Row],[Customer_ID]],tbl_clint[[#This Row],[Company_Size]])</f>
        <v/>
      </c>
      <c r="M238">
        <f>YEAR(tbl_subscription[[#This Row],[Start_Date]])</f>
        <v/>
      </c>
    </row>
    <row r="239">
      <c r="A239" t="inlineStr">
        <is>
          <t>C0238</t>
        </is>
      </c>
      <c r="B239" t="inlineStr">
        <is>
          <t>Standard</t>
        </is>
      </c>
      <c r="C239" s="4" t="n">
        <v>44926</v>
      </c>
      <c r="D239" s="4" t="n">
        <v>45521</v>
      </c>
      <c r="E239" t="n">
        <v>25</v>
      </c>
      <c r="F239" t="inlineStr">
        <is>
          <t>Churned</t>
        </is>
      </c>
      <c r="G239" t="inlineStr">
        <is>
          <t>Google</t>
        </is>
      </c>
      <c r="H239">
        <f>TEXT(C239,"mmm-yyyy")</f>
        <v/>
      </c>
      <c r="I239">
        <f>TEXT(D239,"mmm-yyyy")</f>
        <v/>
      </c>
      <c r="J239">
        <f>_xlfn.XLOOKUP(tbl_subscription[[#This Row],[Customer_ID]],tbl_clint[Customer_ID],tbl_clint[Country])</f>
        <v/>
      </c>
      <c r="K239">
        <f>_xlfn.XLOOKUP(tbl_subscription[[#This Row],[Customer_ID]],tbl_clint[[#This Row],[Customer_ID]],tbl_clint[[#This Row],[Industry]])</f>
        <v/>
      </c>
      <c r="L239">
        <f>_xlfn.XLOOKUP(tbl_subscription[[#This Row],[Customer_ID]],tbl_clint[[#This Row],[Customer_ID]],tbl_clint[[#This Row],[Company_Size]])</f>
        <v/>
      </c>
      <c r="M239">
        <f>YEAR(tbl_subscription[[#This Row],[Start_Date]])</f>
        <v/>
      </c>
    </row>
    <row r="240">
      <c r="A240" t="inlineStr">
        <is>
          <t>C0239</t>
        </is>
      </c>
      <c r="B240" t="inlineStr">
        <is>
          <t>Standard</t>
        </is>
      </c>
      <c r="C240" s="4" t="n">
        <v>44703</v>
      </c>
      <c r="D240" s="4" t="n">
        <v>45657</v>
      </c>
      <c r="E240" t="n">
        <v>25</v>
      </c>
      <c r="F240" t="inlineStr">
        <is>
          <t>Active</t>
        </is>
      </c>
      <c r="G240" t="inlineStr">
        <is>
          <t>LinkedIn</t>
        </is>
      </c>
      <c r="H240">
        <f>TEXT(C240,"mmm-yyyy")</f>
        <v/>
      </c>
      <c r="I240">
        <f>TEXT(D240,"mmm-yyyy")</f>
        <v/>
      </c>
      <c r="J240">
        <f>_xlfn.XLOOKUP(tbl_subscription[[#This Row],[Customer_ID]],tbl_clint[Customer_ID],tbl_clint[Country])</f>
        <v/>
      </c>
      <c r="K240">
        <f>_xlfn.XLOOKUP(tbl_subscription[[#This Row],[Customer_ID]],tbl_clint[[#This Row],[Customer_ID]],tbl_clint[[#This Row],[Industry]])</f>
        <v/>
      </c>
      <c r="L240">
        <f>_xlfn.XLOOKUP(tbl_subscription[[#This Row],[Customer_ID]],tbl_clint[[#This Row],[Customer_ID]],tbl_clint[[#This Row],[Company_Size]])</f>
        <v/>
      </c>
      <c r="M240">
        <f>YEAR(tbl_subscription[[#This Row],[Start_Date]])</f>
        <v/>
      </c>
    </row>
    <row r="241">
      <c r="A241" t="inlineStr">
        <is>
          <t>C0240</t>
        </is>
      </c>
      <c r="B241" t="inlineStr">
        <is>
          <t>Basic</t>
        </is>
      </c>
      <c r="C241" s="4" t="n">
        <v>44340</v>
      </c>
      <c r="D241" s="4" t="n">
        <v>44750</v>
      </c>
      <c r="E241" t="n">
        <v>15</v>
      </c>
      <c r="F241" t="inlineStr">
        <is>
          <t>Churned</t>
        </is>
      </c>
      <c r="G241" t="inlineStr">
        <is>
          <t>Facebook</t>
        </is>
      </c>
      <c r="H241">
        <f>TEXT(C241,"mmm-yyyy")</f>
        <v/>
      </c>
      <c r="I241">
        <f>TEXT(D241,"mmm-yyyy")</f>
        <v/>
      </c>
      <c r="J241">
        <f>_xlfn.XLOOKUP(tbl_subscription[[#This Row],[Customer_ID]],tbl_clint[Customer_ID],tbl_clint[Country])</f>
        <v/>
      </c>
      <c r="K241">
        <f>_xlfn.XLOOKUP(tbl_subscription[[#This Row],[Customer_ID]],tbl_clint[[#This Row],[Customer_ID]],tbl_clint[[#This Row],[Industry]])</f>
        <v/>
      </c>
      <c r="L241">
        <f>_xlfn.XLOOKUP(tbl_subscription[[#This Row],[Customer_ID]],tbl_clint[[#This Row],[Customer_ID]],tbl_clint[[#This Row],[Company_Size]])</f>
        <v/>
      </c>
      <c r="M241">
        <f>YEAR(tbl_subscription[[#This Row],[Start_Date]])</f>
        <v/>
      </c>
    </row>
    <row r="242">
      <c r="A242" t="inlineStr">
        <is>
          <t>C0241</t>
        </is>
      </c>
      <c r="B242" t="inlineStr">
        <is>
          <t>Premium</t>
        </is>
      </c>
      <c r="C242" s="4" t="n">
        <v>44284</v>
      </c>
      <c r="D242" s="4" t="n">
        <v>45657</v>
      </c>
      <c r="E242" t="n">
        <v>40</v>
      </c>
      <c r="F242" t="inlineStr">
        <is>
          <t>Active</t>
        </is>
      </c>
      <c r="G242" t="inlineStr">
        <is>
          <t>LinkedIn</t>
        </is>
      </c>
      <c r="H242">
        <f>TEXT(C242,"mmm-yyyy")</f>
        <v/>
      </c>
      <c r="I242">
        <f>TEXT(D242,"mmm-yyyy")</f>
        <v/>
      </c>
      <c r="J242">
        <f>_xlfn.XLOOKUP(tbl_subscription[[#This Row],[Customer_ID]],tbl_clint[Customer_ID],tbl_clint[Country])</f>
        <v/>
      </c>
      <c r="K242">
        <f>_xlfn.XLOOKUP(tbl_subscription[[#This Row],[Customer_ID]],tbl_clint[[#This Row],[Customer_ID]],tbl_clint[[#This Row],[Industry]])</f>
        <v/>
      </c>
      <c r="L242">
        <f>_xlfn.XLOOKUP(tbl_subscription[[#This Row],[Customer_ID]],tbl_clint[[#This Row],[Customer_ID]],tbl_clint[[#This Row],[Company_Size]])</f>
        <v/>
      </c>
      <c r="M242">
        <f>YEAR(tbl_subscription[[#This Row],[Start_Date]])</f>
        <v/>
      </c>
    </row>
    <row r="243">
      <c r="A243" t="inlineStr">
        <is>
          <t>C0242</t>
        </is>
      </c>
      <c r="B243" t="inlineStr">
        <is>
          <t>Premium</t>
        </is>
      </c>
      <c r="C243" s="4" t="n">
        <v>44437</v>
      </c>
      <c r="D243" s="4" t="n">
        <v>45027</v>
      </c>
      <c r="E243" t="n">
        <v>40</v>
      </c>
      <c r="F243" t="inlineStr">
        <is>
          <t>Churned</t>
        </is>
      </c>
      <c r="G243" t="inlineStr">
        <is>
          <t>Referral</t>
        </is>
      </c>
      <c r="H243">
        <f>TEXT(C243,"mmm-yyyy")</f>
        <v/>
      </c>
      <c r="I243">
        <f>TEXT(D243,"mmm-yyyy")</f>
        <v/>
      </c>
      <c r="J243">
        <f>_xlfn.XLOOKUP(tbl_subscription[[#This Row],[Customer_ID]],tbl_clint[Customer_ID],tbl_clint[Country])</f>
        <v/>
      </c>
      <c r="K243">
        <f>_xlfn.XLOOKUP(tbl_subscription[[#This Row],[Customer_ID]],tbl_clint[[#This Row],[Customer_ID]],tbl_clint[[#This Row],[Industry]])</f>
        <v/>
      </c>
      <c r="L243">
        <f>_xlfn.XLOOKUP(tbl_subscription[[#This Row],[Customer_ID]],tbl_clint[[#This Row],[Customer_ID]],tbl_clint[[#This Row],[Company_Size]])</f>
        <v/>
      </c>
      <c r="M243">
        <f>YEAR(tbl_subscription[[#This Row],[Start_Date]])</f>
        <v/>
      </c>
    </row>
    <row r="244">
      <c r="A244" t="inlineStr">
        <is>
          <t>C0243</t>
        </is>
      </c>
      <c r="B244" t="inlineStr">
        <is>
          <t>Premium</t>
        </is>
      </c>
      <c r="C244" s="4" t="n">
        <v>44046</v>
      </c>
      <c r="D244" s="4" t="n">
        <v>44573</v>
      </c>
      <c r="E244" t="n">
        <v>40</v>
      </c>
      <c r="F244" t="inlineStr">
        <is>
          <t>Churned</t>
        </is>
      </c>
      <c r="G244" t="inlineStr">
        <is>
          <t>Google</t>
        </is>
      </c>
      <c r="H244">
        <f>TEXT(C244,"mmm-yyyy")</f>
        <v/>
      </c>
      <c r="I244">
        <f>TEXT(D244,"mmm-yyyy")</f>
        <v/>
      </c>
      <c r="J244">
        <f>_xlfn.XLOOKUP(tbl_subscription[[#This Row],[Customer_ID]],tbl_clint[Customer_ID],tbl_clint[Country])</f>
        <v/>
      </c>
      <c r="K244">
        <f>_xlfn.XLOOKUP(tbl_subscription[[#This Row],[Customer_ID]],tbl_clint[[#This Row],[Customer_ID]],tbl_clint[[#This Row],[Industry]])</f>
        <v/>
      </c>
      <c r="L244">
        <f>_xlfn.XLOOKUP(tbl_subscription[[#This Row],[Customer_ID]],tbl_clint[[#This Row],[Customer_ID]],tbl_clint[[#This Row],[Company_Size]])</f>
        <v/>
      </c>
      <c r="M244">
        <f>YEAR(tbl_subscription[[#This Row],[Start_Date]])</f>
        <v/>
      </c>
    </row>
    <row r="245">
      <c r="A245" t="inlineStr">
        <is>
          <t>C0244</t>
        </is>
      </c>
      <c r="B245" t="inlineStr">
        <is>
          <t>Premium</t>
        </is>
      </c>
      <c r="C245" s="4" t="n">
        <v>45169</v>
      </c>
      <c r="D245" s="4" t="n">
        <v>45657</v>
      </c>
      <c r="E245" t="n">
        <v>40</v>
      </c>
      <c r="F245" t="inlineStr">
        <is>
          <t>Active</t>
        </is>
      </c>
      <c r="G245" t="inlineStr">
        <is>
          <t>Referral</t>
        </is>
      </c>
      <c r="H245">
        <f>TEXT(C245,"mmm-yyyy")</f>
        <v/>
      </c>
      <c r="I245">
        <f>TEXT(D245,"mmm-yyyy")</f>
        <v/>
      </c>
      <c r="J245">
        <f>_xlfn.XLOOKUP(tbl_subscription[[#This Row],[Customer_ID]],tbl_clint[Customer_ID],tbl_clint[Country])</f>
        <v/>
      </c>
      <c r="K245">
        <f>_xlfn.XLOOKUP(tbl_subscription[[#This Row],[Customer_ID]],tbl_clint[[#This Row],[Customer_ID]],tbl_clint[[#This Row],[Industry]])</f>
        <v/>
      </c>
      <c r="L245">
        <f>_xlfn.XLOOKUP(tbl_subscription[[#This Row],[Customer_ID]],tbl_clint[[#This Row],[Customer_ID]],tbl_clint[[#This Row],[Company_Size]])</f>
        <v/>
      </c>
      <c r="M245">
        <f>YEAR(tbl_subscription[[#This Row],[Start_Date]])</f>
        <v/>
      </c>
    </row>
    <row r="246">
      <c r="A246" t="inlineStr">
        <is>
          <t>C0245</t>
        </is>
      </c>
      <c r="B246" t="inlineStr">
        <is>
          <t>Standard</t>
        </is>
      </c>
      <c r="C246" s="4" t="n">
        <v>44652</v>
      </c>
      <c r="D246" s="4" t="n">
        <v>45657</v>
      </c>
      <c r="E246" t="n">
        <v>25</v>
      </c>
      <c r="F246" t="inlineStr">
        <is>
          <t>Active</t>
        </is>
      </c>
      <c r="G246" t="inlineStr">
        <is>
          <t>Google</t>
        </is>
      </c>
      <c r="H246">
        <f>TEXT(C246,"mmm-yyyy")</f>
        <v/>
      </c>
      <c r="I246">
        <f>TEXT(D246,"mmm-yyyy")</f>
        <v/>
      </c>
      <c r="J246">
        <f>_xlfn.XLOOKUP(tbl_subscription[[#This Row],[Customer_ID]],tbl_clint[Customer_ID],tbl_clint[Country])</f>
        <v/>
      </c>
      <c r="K246">
        <f>_xlfn.XLOOKUP(tbl_subscription[[#This Row],[Customer_ID]],tbl_clint[[#This Row],[Customer_ID]],tbl_clint[[#This Row],[Industry]])</f>
        <v/>
      </c>
      <c r="L246">
        <f>_xlfn.XLOOKUP(tbl_subscription[[#This Row],[Customer_ID]],tbl_clint[[#This Row],[Customer_ID]],tbl_clint[[#This Row],[Company_Size]])</f>
        <v/>
      </c>
      <c r="M246">
        <f>YEAR(tbl_subscription[[#This Row],[Start_Date]])</f>
        <v/>
      </c>
    </row>
    <row r="247">
      <c r="A247" t="inlineStr">
        <is>
          <t>C0246</t>
        </is>
      </c>
      <c r="B247" t="inlineStr">
        <is>
          <t>Standard</t>
        </is>
      </c>
      <c r="C247" s="4" t="n">
        <v>45313</v>
      </c>
      <c r="D247" s="4" t="n">
        <v>45657</v>
      </c>
      <c r="E247" t="n">
        <v>25</v>
      </c>
      <c r="F247" t="inlineStr">
        <is>
          <t>Active</t>
        </is>
      </c>
      <c r="G247" t="inlineStr">
        <is>
          <t>LinkedIn</t>
        </is>
      </c>
      <c r="H247">
        <f>TEXT(C247,"mmm-yyyy")</f>
        <v/>
      </c>
      <c r="I247">
        <f>TEXT(D247,"mmm-yyyy")</f>
        <v/>
      </c>
      <c r="J247">
        <f>_xlfn.XLOOKUP(tbl_subscription[[#This Row],[Customer_ID]],tbl_clint[Customer_ID],tbl_clint[Country])</f>
        <v/>
      </c>
      <c r="K247">
        <f>_xlfn.XLOOKUP(tbl_subscription[[#This Row],[Customer_ID]],tbl_clint[[#This Row],[Customer_ID]],tbl_clint[[#This Row],[Industry]])</f>
        <v/>
      </c>
      <c r="L247">
        <f>_xlfn.XLOOKUP(tbl_subscription[[#This Row],[Customer_ID]],tbl_clint[[#This Row],[Customer_ID]],tbl_clint[[#This Row],[Company_Size]])</f>
        <v/>
      </c>
      <c r="M247">
        <f>YEAR(tbl_subscription[[#This Row],[Start_Date]])</f>
        <v/>
      </c>
    </row>
    <row r="248">
      <c r="A248" t="inlineStr">
        <is>
          <t>C0247</t>
        </is>
      </c>
      <c r="B248" t="inlineStr">
        <is>
          <t>Premium</t>
        </is>
      </c>
      <c r="C248" s="4" t="n">
        <v>43888</v>
      </c>
      <c r="D248" s="4" t="n">
        <v>45657</v>
      </c>
      <c r="E248" t="n">
        <v>40</v>
      </c>
      <c r="F248" t="inlineStr">
        <is>
          <t>Active</t>
        </is>
      </c>
      <c r="G248" t="inlineStr">
        <is>
          <t>LinkedIn</t>
        </is>
      </c>
      <c r="H248">
        <f>TEXT(C248,"mmm-yyyy")</f>
        <v/>
      </c>
      <c r="I248">
        <f>TEXT(D248,"mmm-yyyy")</f>
        <v/>
      </c>
      <c r="J248">
        <f>_xlfn.XLOOKUP(tbl_subscription[[#This Row],[Customer_ID]],tbl_clint[Customer_ID],tbl_clint[Country])</f>
        <v/>
      </c>
      <c r="K248">
        <f>_xlfn.XLOOKUP(tbl_subscription[[#This Row],[Customer_ID]],tbl_clint[[#This Row],[Customer_ID]],tbl_clint[[#This Row],[Industry]])</f>
        <v/>
      </c>
      <c r="L248">
        <f>_xlfn.XLOOKUP(tbl_subscription[[#This Row],[Customer_ID]],tbl_clint[[#This Row],[Customer_ID]],tbl_clint[[#This Row],[Company_Size]])</f>
        <v/>
      </c>
      <c r="M248">
        <f>YEAR(tbl_subscription[[#This Row],[Start_Date]])</f>
        <v/>
      </c>
    </row>
    <row r="249">
      <c r="A249" t="inlineStr">
        <is>
          <t>C0248</t>
        </is>
      </c>
      <c r="B249" t="inlineStr">
        <is>
          <t>Basic</t>
        </is>
      </c>
      <c r="C249" s="4" t="n">
        <v>44495</v>
      </c>
      <c r="D249" s="4" t="n">
        <v>45657</v>
      </c>
      <c r="E249" t="n">
        <v>15</v>
      </c>
      <c r="F249" t="inlineStr">
        <is>
          <t>Active</t>
        </is>
      </c>
      <c r="G249" t="inlineStr">
        <is>
          <t>Instagram</t>
        </is>
      </c>
      <c r="H249">
        <f>TEXT(C249,"mmm-yyyy")</f>
        <v/>
      </c>
      <c r="I249">
        <f>TEXT(D249,"mmm-yyyy")</f>
        <v/>
      </c>
      <c r="J249">
        <f>_xlfn.XLOOKUP(tbl_subscription[[#This Row],[Customer_ID]],tbl_clint[Customer_ID],tbl_clint[Country])</f>
        <v/>
      </c>
      <c r="K249">
        <f>_xlfn.XLOOKUP(tbl_subscription[[#This Row],[Customer_ID]],tbl_clint[[#This Row],[Customer_ID]],tbl_clint[[#This Row],[Industry]])</f>
        <v/>
      </c>
      <c r="L249">
        <f>_xlfn.XLOOKUP(tbl_subscription[[#This Row],[Customer_ID]],tbl_clint[[#This Row],[Customer_ID]],tbl_clint[[#This Row],[Company_Size]])</f>
        <v/>
      </c>
      <c r="M249">
        <f>YEAR(tbl_subscription[[#This Row],[Start_Date]])</f>
        <v/>
      </c>
    </row>
    <row r="250">
      <c r="A250" t="inlineStr">
        <is>
          <t>C0249</t>
        </is>
      </c>
      <c r="B250" t="inlineStr">
        <is>
          <t>Basic</t>
        </is>
      </c>
      <c r="C250" s="4" t="n">
        <v>43865</v>
      </c>
      <c r="D250" s="4" t="n">
        <v>45657</v>
      </c>
      <c r="E250" t="n">
        <v>15</v>
      </c>
      <c r="F250" t="inlineStr">
        <is>
          <t>Active</t>
        </is>
      </c>
      <c r="G250" t="inlineStr">
        <is>
          <t>Instagram</t>
        </is>
      </c>
      <c r="H250">
        <f>TEXT(C250,"mmm-yyyy")</f>
        <v/>
      </c>
      <c r="I250">
        <f>TEXT(D250,"mmm-yyyy")</f>
        <v/>
      </c>
      <c r="J250">
        <f>_xlfn.XLOOKUP(tbl_subscription[[#This Row],[Customer_ID]],tbl_clint[Customer_ID],tbl_clint[Country])</f>
        <v/>
      </c>
      <c r="K250">
        <f>_xlfn.XLOOKUP(tbl_subscription[[#This Row],[Customer_ID]],tbl_clint[[#This Row],[Customer_ID]],tbl_clint[[#This Row],[Industry]])</f>
        <v/>
      </c>
      <c r="L250">
        <f>_xlfn.XLOOKUP(tbl_subscription[[#This Row],[Customer_ID]],tbl_clint[[#This Row],[Customer_ID]],tbl_clint[[#This Row],[Company_Size]])</f>
        <v/>
      </c>
      <c r="M250">
        <f>YEAR(tbl_subscription[[#This Row],[Start_Date]])</f>
        <v/>
      </c>
    </row>
    <row r="251">
      <c r="A251" t="inlineStr">
        <is>
          <t>C0250</t>
        </is>
      </c>
      <c r="B251" t="inlineStr">
        <is>
          <t>Standard</t>
        </is>
      </c>
      <c r="C251" s="4" t="n">
        <v>43918</v>
      </c>
      <c r="D251" s="4" t="n">
        <v>45657</v>
      </c>
      <c r="E251" t="n">
        <v>25</v>
      </c>
      <c r="F251" t="inlineStr">
        <is>
          <t>Active</t>
        </is>
      </c>
      <c r="G251" t="inlineStr">
        <is>
          <t>Facebook</t>
        </is>
      </c>
      <c r="H251">
        <f>TEXT(C251,"mmm-yyyy")</f>
        <v/>
      </c>
      <c r="I251">
        <f>TEXT(D251,"mmm-yyyy")</f>
        <v/>
      </c>
      <c r="J251">
        <f>_xlfn.XLOOKUP(tbl_subscription[[#This Row],[Customer_ID]],tbl_clint[Customer_ID],tbl_clint[Country])</f>
        <v/>
      </c>
      <c r="K251">
        <f>_xlfn.XLOOKUP(tbl_subscription[[#This Row],[Customer_ID]],tbl_clint[[#This Row],[Customer_ID]],tbl_clint[[#This Row],[Industry]])</f>
        <v/>
      </c>
      <c r="L251">
        <f>_xlfn.XLOOKUP(tbl_subscription[[#This Row],[Customer_ID]],tbl_clint[[#This Row],[Customer_ID]],tbl_clint[[#This Row],[Company_Size]])</f>
        <v/>
      </c>
      <c r="M251">
        <f>YEAR(tbl_subscription[[#This Row],[Start_Date]])</f>
        <v/>
      </c>
    </row>
    <row r="252">
      <c r="A252" t="inlineStr">
        <is>
          <t>C0251</t>
        </is>
      </c>
      <c r="B252" t="inlineStr">
        <is>
          <t>Basic</t>
        </is>
      </c>
      <c r="C252" s="4" t="n">
        <v>44445</v>
      </c>
      <c r="D252" s="4" t="n">
        <v>45026</v>
      </c>
      <c r="E252" t="n">
        <v>15</v>
      </c>
      <c r="F252" t="inlineStr">
        <is>
          <t>Churned</t>
        </is>
      </c>
      <c r="G252" t="inlineStr">
        <is>
          <t>Facebook</t>
        </is>
      </c>
      <c r="H252">
        <f>TEXT(C252,"mmm-yyyy")</f>
        <v/>
      </c>
      <c r="I252">
        <f>TEXT(D252,"mmm-yyyy")</f>
        <v/>
      </c>
      <c r="J252">
        <f>_xlfn.XLOOKUP(tbl_subscription[[#This Row],[Customer_ID]],tbl_clint[Customer_ID],tbl_clint[Country])</f>
        <v/>
      </c>
      <c r="K252">
        <f>_xlfn.XLOOKUP(tbl_subscription[[#This Row],[Customer_ID]],tbl_clint[[#This Row],[Customer_ID]],tbl_clint[[#This Row],[Industry]])</f>
        <v/>
      </c>
      <c r="L252">
        <f>_xlfn.XLOOKUP(tbl_subscription[[#This Row],[Customer_ID]],tbl_clint[[#This Row],[Customer_ID]],tbl_clint[[#This Row],[Company_Size]])</f>
        <v/>
      </c>
      <c r="M252">
        <f>YEAR(tbl_subscription[[#This Row],[Start_Date]])</f>
        <v/>
      </c>
    </row>
    <row r="253">
      <c r="A253" t="inlineStr">
        <is>
          <t>C0252</t>
        </is>
      </c>
      <c r="B253" t="inlineStr">
        <is>
          <t>Premium</t>
        </is>
      </c>
      <c r="C253" s="4" t="n">
        <v>44733</v>
      </c>
      <c r="D253" s="4" t="n">
        <v>45253</v>
      </c>
      <c r="E253" t="n">
        <v>40</v>
      </c>
      <c r="F253" t="inlineStr">
        <is>
          <t>Churned</t>
        </is>
      </c>
      <c r="G253" t="inlineStr">
        <is>
          <t>Facebook</t>
        </is>
      </c>
      <c r="H253">
        <f>TEXT(C253,"mmm-yyyy")</f>
        <v/>
      </c>
      <c r="I253">
        <f>TEXT(D253,"mmm-yyyy")</f>
        <v/>
      </c>
      <c r="J253">
        <f>_xlfn.XLOOKUP(tbl_subscription[[#This Row],[Customer_ID]],tbl_clint[Customer_ID],tbl_clint[Country])</f>
        <v/>
      </c>
      <c r="K253">
        <f>_xlfn.XLOOKUP(tbl_subscription[[#This Row],[Customer_ID]],tbl_clint[[#This Row],[Customer_ID]],tbl_clint[[#This Row],[Industry]])</f>
        <v/>
      </c>
      <c r="L253">
        <f>_xlfn.XLOOKUP(tbl_subscription[[#This Row],[Customer_ID]],tbl_clint[[#This Row],[Customer_ID]],tbl_clint[[#This Row],[Company_Size]])</f>
        <v/>
      </c>
      <c r="M253">
        <f>YEAR(tbl_subscription[[#This Row],[Start_Date]])</f>
        <v/>
      </c>
    </row>
    <row r="254">
      <c r="A254" t="inlineStr">
        <is>
          <t>C0253</t>
        </is>
      </c>
      <c r="B254" t="inlineStr">
        <is>
          <t>Premium</t>
        </is>
      </c>
      <c r="C254" s="4" t="n">
        <v>45366</v>
      </c>
      <c r="D254" s="4" t="n">
        <v>45657</v>
      </c>
      <c r="E254" t="n">
        <v>40</v>
      </c>
      <c r="F254" t="inlineStr">
        <is>
          <t>Churned</t>
        </is>
      </c>
      <c r="G254" t="inlineStr">
        <is>
          <t>Instagram</t>
        </is>
      </c>
      <c r="H254">
        <f>TEXT(C254,"mmm-yyyy")</f>
        <v/>
      </c>
      <c r="I254">
        <f>TEXT(D254,"mmm-yyyy")</f>
        <v/>
      </c>
      <c r="J254">
        <f>_xlfn.XLOOKUP(tbl_subscription[[#This Row],[Customer_ID]],tbl_clint[Customer_ID],tbl_clint[Country])</f>
        <v/>
      </c>
      <c r="K254">
        <f>_xlfn.XLOOKUP(tbl_subscription[[#This Row],[Customer_ID]],tbl_clint[[#This Row],[Customer_ID]],tbl_clint[[#This Row],[Industry]])</f>
        <v/>
      </c>
      <c r="L254">
        <f>_xlfn.XLOOKUP(tbl_subscription[[#This Row],[Customer_ID]],tbl_clint[[#This Row],[Customer_ID]],tbl_clint[[#This Row],[Company_Size]])</f>
        <v/>
      </c>
      <c r="M254">
        <f>YEAR(tbl_subscription[[#This Row],[Start_Date]])</f>
        <v/>
      </c>
    </row>
    <row r="255">
      <c r="A255" t="inlineStr">
        <is>
          <t>C0254</t>
        </is>
      </c>
      <c r="B255" t="inlineStr">
        <is>
          <t>Standard</t>
        </is>
      </c>
      <c r="C255" s="4" t="n">
        <v>44128</v>
      </c>
      <c r="D255" s="4" t="n">
        <v>45657</v>
      </c>
      <c r="E255" t="n">
        <v>25</v>
      </c>
      <c r="F255" t="inlineStr">
        <is>
          <t>Active</t>
        </is>
      </c>
      <c r="G255" t="inlineStr">
        <is>
          <t>Instagram</t>
        </is>
      </c>
      <c r="H255">
        <f>TEXT(C255,"mmm-yyyy")</f>
        <v/>
      </c>
      <c r="I255">
        <f>TEXT(D255,"mmm-yyyy")</f>
        <v/>
      </c>
      <c r="J255">
        <f>_xlfn.XLOOKUP(tbl_subscription[[#This Row],[Customer_ID]],tbl_clint[Customer_ID],tbl_clint[Country])</f>
        <v/>
      </c>
      <c r="K255">
        <f>_xlfn.XLOOKUP(tbl_subscription[[#This Row],[Customer_ID]],tbl_clint[[#This Row],[Customer_ID]],tbl_clint[[#This Row],[Industry]])</f>
        <v/>
      </c>
      <c r="L255">
        <f>_xlfn.XLOOKUP(tbl_subscription[[#This Row],[Customer_ID]],tbl_clint[[#This Row],[Customer_ID]],tbl_clint[[#This Row],[Company_Size]])</f>
        <v/>
      </c>
      <c r="M255">
        <f>YEAR(tbl_subscription[[#This Row],[Start_Date]])</f>
        <v/>
      </c>
    </row>
    <row r="256">
      <c r="A256" t="inlineStr">
        <is>
          <t>C0255</t>
        </is>
      </c>
      <c r="B256" t="inlineStr">
        <is>
          <t>Standard</t>
        </is>
      </c>
      <c r="C256" s="4" t="n">
        <v>44203</v>
      </c>
      <c r="D256" s="4" t="n">
        <v>45657</v>
      </c>
      <c r="E256" t="n">
        <v>25</v>
      </c>
      <c r="F256" t="inlineStr">
        <is>
          <t>Active</t>
        </is>
      </c>
      <c r="G256" t="inlineStr">
        <is>
          <t>Facebook</t>
        </is>
      </c>
      <c r="H256">
        <f>TEXT(C256,"mmm-yyyy")</f>
        <v/>
      </c>
      <c r="I256">
        <f>TEXT(D256,"mmm-yyyy")</f>
        <v/>
      </c>
      <c r="J256">
        <f>_xlfn.XLOOKUP(tbl_subscription[[#This Row],[Customer_ID]],tbl_clint[Customer_ID],tbl_clint[Country])</f>
        <v/>
      </c>
      <c r="K256">
        <f>_xlfn.XLOOKUP(tbl_subscription[[#This Row],[Customer_ID]],tbl_clint[[#This Row],[Customer_ID]],tbl_clint[[#This Row],[Industry]])</f>
        <v/>
      </c>
      <c r="L256">
        <f>_xlfn.XLOOKUP(tbl_subscription[[#This Row],[Customer_ID]],tbl_clint[[#This Row],[Customer_ID]],tbl_clint[[#This Row],[Company_Size]])</f>
        <v/>
      </c>
      <c r="M256">
        <f>YEAR(tbl_subscription[[#This Row],[Start_Date]])</f>
        <v/>
      </c>
    </row>
    <row r="257">
      <c r="A257" t="inlineStr">
        <is>
          <t>C0256</t>
        </is>
      </c>
      <c r="B257" t="inlineStr">
        <is>
          <t>Premium</t>
        </is>
      </c>
      <c r="C257" s="4" t="n">
        <v>43988</v>
      </c>
      <c r="D257" s="4" t="n">
        <v>44388</v>
      </c>
      <c r="E257" t="n">
        <v>40</v>
      </c>
      <c r="F257" t="inlineStr">
        <is>
          <t>Churned</t>
        </is>
      </c>
      <c r="G257" t="inlineStr">
        <is>
          <t>LinkedIn</t>
        </is>
      </c>
      <c r="H257">
        <f>TEXT(C257,"mmm-yyyy")</f>
        <v/>
      </c>
      <c r="I257">
        <f>TEXT(D257,"mmm-yyyy")</f>
        <v/>
      </c>
      <c r="J257">
        <f>_xlfn.XLOOKUP(tbl_subscription[[#This Row],[Customer_ID]],tbl_clint[Customer_ID],tbl_clint[Country])</f>
        <v/>
      </c>
      <c r="K257">
        <f>_xlfn.XLOOKUP(tbl_subscription[[#This Row],[Customer_ID]],tbl_clint[[#This Row],[Customer_ID]],tbl_clint[[#This Row],[Industry]])</f>
        <v/>
      </c>
      <c r="L257">
        <f>_xlfn.XLOOKUP(tbl_subscription[[#This Row],[Customer_ID]],tbl_clint[[#This Row],[Customer_ID]],tbl_clint[[#This Row],[Company_Size]])</f>
        <v/>
      </c>
      <c r="M257">
        <f>YEAR(tbl_subscription[[#This Row],[Start_Date]])</f>
        <v/>
      </c>
    </row>
    <row r="258">
      <c r="A258" t="inlineStr">
        <is>
          <t>C0257</t>
        </is>
      </c>
      <c r="B258" t="inlineStr">
        <is>
          <t>Standard</t>
        </is>
      </c>
      <c r="C258" s="4" t="n">
        <v>44823</v>
      </c>
      <c r="D258" s="4" t="n">
        <v>45657</v>
      </c>
      <c r="E258" t="n">
        <v>25</v>
      </c>
      <c r="F258" t="inlineStr">
        <is>
          <t>Active</t>
        </is>
      </c>
      <c r="G258" t="inlineStr">
        <is>
          <t>Facebook</t>
        </is>
      </c>
      <c r="H258">
        <f>TEXT(C258,"mmm-yyyy")</f>
        <v/>
      </c>
      <c r="I258">
        <f>TEXT(D258,"mmm-yyyy")</f>
        <v/>
      </c>
      <c r="J258">
        <f>_xlfn.XLOOKUP(tbl_subscription[[#This Row],[Customer_ID]],tbl_clint[Customer_ID],tbl_clint[Country])</f>
        <v/>
      </c>
      <c r="K258">
        <f>_xlfn.XLOOKUP(tbl_subscription[[#This Row],[Customer_ID]],tbl_clint[[#This Row],[Customer_ID]],tbl_clint[[#This Row],[Industry]])</f>
        <v/>
      </c>
      <c r="L258">
        <f>_xlfn.XLOOKUP(tbl_subscription[[#This Row],[Customer_ID]],tbl_clint[[#This Row],[Customer_ID]],tbl_clint[[#This Row],[Company_Size]])</f>
        <v/>
      </c>
      <c r="M258">
        <f>YEAR(tbl_subscription[[#This Row],[Start_Date]])</f>
        <v/>
      </c>
    </row>
    <row r="259">
      <c r="A259" t="inlineStr">
        <is>
          <t>C0258</t>
        </is>
      </c>
      <c r="B259" t="inlineStr">
        <is>
          <t>Standard</t>
        </is>
      </c>
      <c r="C259" s="4" t="n">
        <v>44945</v>
      </c>
      <c r="D259" s="4" t="n">
        <v>45657</v>
      </c>
      <c r="E259" t="n">
        <v>25</v>
      </c>
      <c r="F259" t="inlineStr">
        <is>
          <t>Active</t>
        </is>
      </c>
      <c r="G259" t="inlineStr">
        <is>
          <t>Referral</t>
        </is>
      </c>
      <c r="H259">
        <f>TEXT(C259,"mmm-yyyy")</f>
        <v/>
      </c>
      <c r="I259">
        <f>TEXT(D259,"mmm-yyyy")</f>
        <v/>
      </c>
      <c r="J259">
        <f>_xlfn.XLOOKUP(tbl_subscription[[#This Row],[Customer_ID]],tbl_clint[Customer_ID],tbl_clint[Country])</f>
        <v/>
      </c>
      <c r="K259">
        <f>_xlfn.XLOOKUP(tbl_subscription[[#This Row],[Customer_ID]],tbl_clint[[#This Row],[Customer_ID]],tbl_clint[[#This Row],[Industry]])</f>
        <v/>
      </c>
      <c r="L259">
        <f>_xlfn.XLOOKUP(tbl_subscription[[#This Row],[Customer_ID]],tbl_clint[[#This Row],[Customer_ID]],tbl_clint[[#This Row],[Company_Size]])</f>
        <v/>
      </c>
      <c r="M259">
        <f>YEAR(tbl_subscription[[#This Row],[Start_Date]])</f>
        <v/>
      </c>
    </row>
    <row r="260">
      <c r="A260" t="inlineStr">
        <is>
          <t>C0259</t>
        </is>
      </c>
      <c r="B260" t="inlineStr">
        <is>
          <t>Standard</t>
        </is>
      </c>
      <c r="C260" s="4" t="n">
        <v>44062</v>
      </c>
      <c r="D260" s="4" t="n">
        <v>44869</v>
      </c>
      <c r="E260" t="n">
        <v>25</v>
      </c>
      <c r="F260" t="inlineStr">
        <is>
          <t>Churned</t>
        </is>
      </c>
      <c r="G260" t="inlineStr">
        <is>
          <t>Facebook</t>
        </is>
      </c>
      <c r="H260">
        <f>TEXT(C260,"mmm-yyyy")</f>
        <v/>
      </c>
      <c r="I260">
        <f>TEXT(D260,"mmm-yyyy")</f>
        <v/>
      </c>
      <c r="J260">
        <f>_xlfn.XLOOKUP(tbl_subscription[[#This Row],[Customer_ID]],tbl_clint[Customer_ID],tbl_clint[Country])</f>
        <v/>
      </c>
      <c r="K260">
        <f>_xlfn.XLOOKUP(tbl_subscription[[#This Row],[Customer_ID]],tbl_clint[[#This Row],[Customer_ID]],tbl_clint[[#This Row],[Industry]])</f>
        <v/>
      </c>
      <c r="L260">
        <f>_xlfn.XLOOKUP(tbl_subscription[[#This Row],[Customer_ID]],tbl_clint[[#This Row],[Customer_ID]],tbl_clint[[#This Row],[Company_Size]])</f>
        <v/>
      </c>
      <c r="M260">
        <f>YEAR(tbl_subscription[[#This Row],[Start_Date]])</f>
        <v/>
      </c>
    </row>
    <row r="261">
      <c r="A261" t="inlineStr">
        <is>
          <t>C0260</t>
        </is>
      </c>
      <c r="B261" t="inlineStr">
        <is>
          <t>Basic</t>
        </is>
      </c>
      <c r="C261" s="4" t="n">
        <v>43897</v>
      </c>
      <c r="D261" s="4" t="n">
        <v>45657</v>
      </c>
      <c r="E261" t="n">
        <v>15</v>
      </c>
      <c r="F261" t="inlineStr">
        <is>
          <t>Active</t>
        </is>
      </c>
      <c r="G261" t="inlineStr">
        <is>
          <t>Instagram</t>
        </is>
      </c>
      <c r="H261">
        <f>TEXT(C261,"mmm-yyyy")</f>
        <v/>
      </c>
      <c r="I261">
        <f>TEXT(D261,"mmm-yyyy")</f>
        <v/>
      </c>
      <c r="J261">
        <f>_xlfn.XLOOKUP(tbl_subscription[[#This Row],[Customer_ID]],tbl_clint[Customer_ID],tbl_clint[Country])</f>
        <v/>
      </c>
      <c r="K261">
        <f>_xlfn.XLOOKUP(tbl_subscription[[#This Row],[Customer_ID]],tbl_clint[[#This Row],[Customer_ID]],tbl_clint[[#This Row],[Industry]])</f>
        <v/>
      </c>
      <c r="L261">
        <f>_xlfn.XLOOKUP(tbl_subscription[[#This Row],[Customer_ID]],tbl_clint[[#This Row],[Customer_ID]],tbl_clint[[#This Row],[Company_Size]])</f>
        <v/>
      </c>
      <c r="M261">
        <f>YEAR(tbl_subscription[[#This Row],[Start_Date]])</f>
        <v/>
      </c>
    </row>
    <row r="262">
      <c r="A262" t="inlineStr">
        <is>
          <t>C0261</t>
        </is>
      </c>
      <c r="B262" t="inlineStr">
        <is>
          <t>Basic</t>
        </is>
      </c>
      <c r="C262" s="4" t="n">
        <v>44670</v>
      </c>
      <c r="D262" s="4" t="n">
        <v>45657</v>
      </c>
      <c r="E262" t="n">
        <v>15</v>
      </c>
      <c r="F262" t="inlineStr">
        <is>
          <t>Active</t>
        </is>
      </c>
      <c r="G262" t="inlineStr">
        <is>
          <t>Referral</t>
        </is>
      </c>
      <c r="H262">
        <f>TEXT(C262,"mmm-yyyy")</f>
        <v/>
      </c>
      <c r="I262">
        <f>TEXT(D262,"mmm-yyyy")</f>
        <v/>
      </c>
      <c r="J262">
        <f>_xlfn.XLOOKUP(tbl_subscription[[#This Row],[Customer_ID]],tbl_clint[Customer_ID],tbl_clint[Country])</f>
        <v/>
      </c>
      <c r="K262">
        <f>_xlfn.XLOOKUP(tbl_subscription[[#This Row],[Customer_ID]],tbl_clint[[#This Row],[Customer_ID]],tbl_clint[[#This Row],[Industry]])</f>
        <v/>
      </c>
      <c r="L262">
        <f>_xlfn.XLOOKUP(tbl_subscription[[#This Row],[Customer_ID]],tbl_clint[[#This Row],[Customer_ID]],tbl_clint[[#This Row],[Company_Size]])</f>
        <v/>
      </c>
      <c r="M262">
        <f>YEAR(tbl_subscription[[#This Row],[Start_Date]])</f>
        <v/>
      </c>
    </row>
    <row r="263">
      <c r="A263" t="inlineStr">
        <is>
          <t>C0262</t>
        </is>
      </c>
      <c r="B263" t="inlineStr">
        <is>
          <t>Premium</t>
        </is>
      </c>
      <c r="C263" s="4" t="n">
        <v>44442</v>
      </c>
      <c r="D263" s="4" t="n">
        <v>44635</v>
      </c>
      <c r="E263" t="n">
        <v>40</v>
      </c>
      <c r="F263" t="inlineStr">
        <is>
          <t>Churned</t>
        </is>
      </c>
      <c r="G263" t="inlineStr">
        <is>
          <t>Google</t>
        </is>
      </c>
      <c r="H263">
        <f>TEXT(C263,"mmm-yyyy")</f>
        <v/>
      </c>
      <c r="I263">
        <f>TEXT(D263,"mmm-yyyy")</f>
        <v/>
      </c>
      <c r="J263">
        <f>_xlfn.XLOOKUP(tbl_subscription[[#This Row],[Customer_ID]],tbl_clint[Customer_ID],tbl_clint[Country])</f>
        <v/>
      </c>
      <c r="K263">
        <f>_xlfn.XLOOKUP(tbl_subscription[[#This Row],[Customer_ID]],tbl_clint[[#This Row],[Customer_ID]],tbl_clint[[#This Row],[Industry]])</f>
        <v/>
      </c>
      <c r="L263">
        <f>_xlfn.XLOOKUP(tbl_subscription[[#This Row],[Customer_ID]],tbl_clint[[#This Row],[Customer_ID]],tbl_clint[[#This Row],[Company_Size]])</f>
        <v/>
      </c>
      <c r="M263">
        <f>YEAR(tbl_subscription[[#This Row],[Start_Date]])</f>
        <v/>
      </c>
    </row>
    <row r="264">
      <c r="A264" t="inlineStr">
        <is>
          <t>C0263</t>
        </is>
      </c>
      <c r="B264" t="inlineStr">
        <is>
          <t>Basic</t>
        </is>
      </c>
      <c r="C264" s="4" t="n">
        <v>44819</v>
      </c>
      <c r="D264" s="4" t="n">
        <v>45657</v>
      </c>
      <c r="E264" t="n">
        <v>15</v>
      </c>
      <c r="F264" t="inlineStr">
        <is>
          <t>Active</t>
        </is>
      </c>
      <c r="G264" t="inlineStr">
        <is>
          <t>Referral</t>
        </is>
      </c>
      <c r="H264">
        <f>TEXT(C264,"mmm-yyyy")</f>
        <v/>
      </c>
      <c r="I264">
        <f>TEXT(D264,"mmm-yyyy")</f>
        <v/>
      </c>
      <c r="J264">
        <f>_xlfn.XLOOKUP(tbl_subscription[[#This Row],[Customer_ID]],tbl_clint[Customer_ID],tbl_clint[Country])</f>
        <v/>
      </c>
      <c r="K264">
        <f>_xlfn.XLOOKUP(tbl_subscription[[#This Row],[Customer_ID]],tbl_clint[[#This Row],[Customer_ID]],tbl_clint[[#This Row],[Industry]])</f>
        <v/>
      </c>
      <c r="L264">
        <f>_xlfn.XLOOKUP(tbl_subscription[[#This Row],[Customer_ID]],tbl_clint[[#This Row],[Customer_ID]],tbl_clint[[#This Row],[Company_Size]])</f>
        <v/>
      </c>
      <c r="M264">
        <f>YEAR(tbl_subscription[[#This Row],[Start_Date]])</f>
        <v/>
      </c>
    </row>
    <row r="265">
      <c r="A265" t="inlineStr">
        <is>
          <t>C0264</t>
        </is>
      </c>
      <c r="B265" t="inlineStr">
        <is>
          <t>Premium</t>
        </is>
      </c>
      <c r="C265" s="4" t="n">
        <v>44842</v>
      </c>
      <c r="D265" s="4" t="n">
        <v>45657</v>
      </c>
      <c r="E265" t="n">
        <v>40</v>
      </c>
      <c r="F265" t="inlineStr">
        <is>
          <t>Active</t>
        </is>
      </c>
      <c r="G265" t="inlineStr">
        <is>
          <t>LinkedIn</t>
        </is>
      </c>
      <c r="H265">
        <f>TEXT(C265,"mmm-yyyy")</f>
        <v/>
      </c>
      <c r="I265">
        <f>TEXT(D265,"mmm-yyyy")</f>
        <v/>
      </c>
      <c r="J265">
        <f>_xlfn.XLOOKUP(tbl_subscription[[#This Row],[Customer_ID]],tbl_clint[Customer_ID],tbl_clint[Country])</f>
        <v/>
      </c>
      <c r="K265">
        <f>_xlfn.XLOOKUP(tbl_subscription[[#This Row],[Customer_ID]],tbl_clint[[#This Row],[Customer_ID]],tbl_clint[[#This Row],[Industry]])</f>
        <v/>
      </c>
      <c r="L265">
        <f>_xlfn.XLOOKUP(tbl_subscription[[#This Row],[Customer_ID]],tbl_clint[[#This Row],[Customer_ID]],tbl_clint[[#This Row],[Company_Size]])</f>
        <v/>
      </c>
      <c r="M265">
        <f>YEAR(tbl_subscription[[#This Row],[Start_Date]])</f>
        <v/>
      </c>
    </row>
    <row r="266">
      <c r="A266" t="inlineStr">
        <is>
          <t>C0265</t>
        </is>
      </c>
      <c r="B266" t="inlineStr">
        <is>
          <t>Premium</t>
        </is>
      </c>
      <c r="C266" s="4" t="n">
        <v>44016</v>
      </c>
      <c r="D266" s="4" t="n">
        <v>44686</v>
      </c>
      <c r="E266" t="n">
        <v>40</v>
      </c>
      <c r="F266" t="inlineStr">
        <is>
          <t>Churned</t>
        </is>
      </c>
      <c r="G266" t="inlineStr">
        <is>
          <t>Referral</t>
        </is>
      </c>
      <c r="H266">
        <f>TEXT(C266,"mmm-yyyy")</f>
        <v/>
      </c>
      <c r="I266">
        <f>TEXT(D266,"mmm-yyyy")</f>
        <v/>
      </c>
      <c r="J266">
        <f>_xlfn.XLOOKUP(tbl_subscription[[#This Row],[Customer_ID]],tbl_clint[Customer_ID],tbl_clint[Country])</f>
        <v/>
      </c>
      <c r="K266">
        <f>_xlfn.XLOOKUP(tbl_subscription[[#This Row],[Customer_ID]],tbl_clint[[#This Row],[Customer_ID]],tbl_clint[[#This Row],[Industry]])</f>
        <v/>
      </c>
      <c r="L266">
        <f>_xlfn.XLOOKUP(tbl_subscription[[#This Row],[Customer_ID]],tbl_clint[[#This Row],[Customer_ID]],tbl_clint[[#This Row],[Company_Size]])</f>
        <v/>
      </c>
      <c r="M266">
        <f>YEAR(tbl_subscription[[#This Row],[Start_Date]])</f>
        <v/>
      </c>
    </row>
    <row r="267">
      <c r="A267" t="inlineStr">
        <is>
          <t>C0266</t>
        </is>
      </c>
      <c r="B267" t="inlineStr">
        <is>
          <t>Standard</t>
        </is>
      </c>
      <c r="C267" s="4" t="n">
        <v>44323</v>
      </c>
      <c r="D267" s="4" t="n">
        <v>45657</v>
      </c>
      <c r="E267" t="n">
        <v>25</v>
      </c>
      <c r="F267" t="inlineStr">
        <is>
          <t>Active</t>
        </is>
      </c>
      <c r="G267" t="inlineStr">
        <is>
          <t>Facebook</t>
        </is>
      </c>
      <c r="H267">
        <f>TEXT(C267,"mmm-yyyy")</f>
        <v/>
      </c>
      <c r="I267">
        <f>TEXT(D267,"mmm-yyyy")</f>
        <v/>
      </c>
      <c r="J267">
        <f>_xlfn.XLOOKUP(tbl_subscription[[#This Row],[Customer_ID]],tbl_clint[Customer_ID],tbl_clint[Country])</f>
        <v/>
      </c>
      <c r="K267">
        <f>_xlfn.XLOOKUP(tbl_subscription[[#This Row],[Customer_ID]],tbl_clint[[#This Row],[Customer_ID]],tbl_clint[[#This Row],[Industry]])</f>
        <v/>
      </c>
      <c r="L267">
        <f>_xlfn.XLOOKUP(tbl_subscription[[#This Row],[Customer_ID]],tbl_clint[[#This Row],[Customer_ID]],tbl_clint[[#This Row],[Company_Size]])</f>
        <v/>
      </c>
      <c r="M267">
        <f>YEAR(tbl_subscription[[#This Row],[Start_Date]])</f>
        <v/>
      </c>
    </row>
    <row r="268">
      <c r="A268" t="inlineStr">
        <is>
          <t>C0267</t>
        </is>
      </c>
      <c r="B268" t="inlineStr">
        <is>
          <t>Standard</t>
        </is>
      </c>
      <c r="C268" s="4" t="n">
        <v>44471</v>
      </c>
      <c r="D268" s="4" t="n">
        <v>45657</v>
      </c>
      <c r="E268" t="n">
        <v>25</v>
      </c>
      <c r="F268" t="inlineStr">
        <is>
          <t>Active</t>
        </is>
      </c>
      <c r="G268" t="inlineStr">
        <is>
          <t>Referral</t>
        </is>
      </c>
      <c r="H268">
        <f>TEXT(C268,"mmm-yyyy")</f>
        <v/>
      </c>
      <c r="I268">
        <f>TEXT(D268,"mmm-yyyy")</f>
        <v/>
      </c>
      <c r="J268">
        <f>_xlfn.XLOOKUP(tbl_subscription[[#This Row],[Customer_ID]],tbl_clint[Customer_ID],tbl_clint[Country])</f>
        <v/>
      </c>
      <c r="K268">
        <f>_xlfn.XLOOKUP(tbl_subscription[[#This Row],[Customer_ID]],tbl_clint[[#This Row],[Customer_ID]],tbl_clint[[#This Row],[Industry]])</f>
        <v/>
      </c>
      <c r="L268">
        <f>_xlfn.XLOOKUP(tbl_subscription[[#This Row],[Customer_ID]],tbl_clint[[#This Row],[Customer_ID]],tbl_clint[[#This Row],[Company_Size]])</f>
        <v/>
      </c>
      <c r="M268">
        <f>YEAR(tbl_subscription[[#This Row],[Start_Date]])</f>
        <v/>
      </c>
    </row>
    <row r="269">
      <c r="A269" t="inlineStr">
        <is>
          <t>C0268</t>
        </is>
      </c>
      <c r="B269" t="inlineStr">
        <is>
          <t>Basic</t>
        </is>
      </c>
      <c r="C269" s="4" t="n">
        <v>44565</v>
      </c>
      <c r="D269" s="4" t="n">
        <v>45657</v>
      </c>
      <c r="E269" t="n">
        <v>15</v>
      </c>
      <c r="F269" t="inlineStr">
        <is>
          <t>Active</t>
        </is>
      </c>
      <c r="G269" t="inlineStr">
        <is>
          <t>Instagram</t>
        </is>
      </c>
      <c r="H269">
        <f>TEXT(C269,"mmm-yyyy")</f>
        <v/>
      </c>
      <c r="I269">
        <f>TEXT(D269,"mmm-yyyy")</f>
        <v/>
      </c>
      <c r="J269">
        <f>_xlfn.XLOOKUP(tbl_subscription[[#This Row],[Customer_ID]],tbl_clint[Customer_ID],tbl_clint[Country])</f>
        <v/>
      </c>
      <c r="K269">
        <f>_xlfn.XLOOKUP(tbl_subscription[[#This Row],[Customer_ID]],tbl_clint[[#This Row],[Customer_ID]],tbl_clint[[#This Row],[Industry]])</f>
        <v/>
      </c>
      <c r="L269">
        <f>_xlfn.XLOOKUP(tbl_subscription[[#This Row],[Customer_ID]],tbl_clint[[#This Row],[Customer_ID]],tbl_clint[[#This Row],[Company_Size]])</f>
        <v/>
      </c>
      <c r="M269">
        <f>YEAR(tbl_subscription[[#This Row],[Start_Date]])</f>
        <v/>
      </c>
    </row>
    <row r="270">
      <c r="A270" t="inlineStr">
        <is>
          <t>C0269</t>
        </is>
      </c>
      <c r="B270" t="inlineStr">
        <is>
          <t>Basic</t>
        </is>
      </c>
      <c r="C270" s="4" t="n">
        <v>44821</v>
      </c>
      <c r="D270" s="4" t="n">
        <v>45657</v>
      </c>
      <c r="E270" t="n">
        <v>15</v>
      </c>
      <c r="F270" t="inlineStr">
        <is>
          <t>Active</t>
        </is>
      </c>
      <c r="G270" t="inlineStr">
        <is>
          <t>Facebook</t>
        </is>
      </c>
      <c r="H270">
        <f>TEXT(C270,"mmm-yyyy")</f>
        <v/>
      </c>
      <c r="I270">
        <f>TEXT(D270,"mmm-yyyy")</f>
        <v/>
      </c>
      <c r="J270">
        <f>_xlfn.XLOOKUP(tbl_subscription[[#This Row],[Customer_ID]],tbl_clint[Customer_ID],tbl_clint[Country])</f>
        <v/>
      </c>
      <c r="K270">
        <f>_xlfn.XLOOKUP(tbl_subscription[[#This Row],[Customer_ID]],tbl_clint[[#This Row],[Customer_ID]],tbl_clint[[#This Row],[Industry]])</f>
        <v/>
      </c>
      <c r="L270">
        <f>_xlfn.XLOOKUP(tbl_subscription[[#This Row],[Customer_ID]],tbl_clint[[#This Row],[Customer_ID]],tbl_clint[[#This Row],[Company_Size]])</f>
        <v/>
      </c>
      <c r="M270">
        <f>YEAR(tbl_subscription[[#This Row],[Start_Date]])</f>
        <v/>
      </c>
    </row>
    <row r="271">
      <c r="A271" t="inlineStr">
        <is>
          <t>C0270</t>
        </is>
      </c>
      <c r="B271" t="inlineStr">
        <is>
          <t>Standard</t>
        </is>
      </c>
      <c r="C271" s="4" t="n">
        <v>43900</v>
      </c>
      <c r="D271" s="4" t="n">
        <v>45657</v>
      </c>
      <c r="E271" t="n">
        <v>25</v>
      </c>
      <c r="F271" t="inlineStr">
        <is>
          <t>Active</t>
        </is>
      </c>
      <c r="G271" t="inlineStr">
        <is>
          <t>Instagram</t>
        </is>
      </c>
      <c r="H271">
        <f>TEXT(C271,"mmm-yyyy")</f>
        <v/>
      </c>
      <c r="I271">
        <f>TEXT(D271,"mmm-yyyy")</f>
        <v/>
      </c>
      <c r="J271">
        <f>_xlfn.XLOOKUP(tbl_subscription[[#This Row],[Customer_ID]],tbl_clint[Customer_ID],tbl_clint[Country])</f>
        <v/>
      </c>
      <c r="K271">
        <f>_xlfn.XLOOKUP(tbl_subscription[[#This Row],[Customer_ID]],tbl_clint[[#This Row],[Customer_ID]],tbl_clint[[#This Row],[Industry]])</f>
        <v/>
      </c>
      <c r="L271">
        <f>_xlfn.XLOOKUP(tbl_subscription[[#This Row],[Customer_ID]],tbl_clint[[#This Row],[Customer_ID]],tbl_clint[[#This Row],[Company_Size]])</f>
        <v/>
      </c>
      <c r="M271">
        <f>YEAR(tbl_subscription[[#This Row],[Start_Date]])</f>
        <v/>
      </c>
    </row>
    <row r="272">
      <c r="A272" t="inlineStr">
        <is>
          <t>C0271</t>
        </is>
      </c>
      <c r="B272" t="inlineStr">
        <is>
          <t>Standard</t>
        </is>
      </c>
      <c r="C272" s="4" t="n">
        <v>44862</v>
      </c>
      <c r="D272" s="4" t="n">
        <v>45627</v>
      </c>
      <c r="E272" t="n">
        <v>25</v>
      </c>
      <c r="F272" t="inlineStr">
        <is>
          <t>Churned</t>
        </is>
      </c>
      <c r="G272" t="inlineStr">
        <is>
          <t>Google</t>
        </is>
      </c>
      <c r="H272">
        <f>TEXT(C272,"mmm-yyyy")</f>
        <v/>
      </c>
      <c r="I272">
        <f>TEXT(D272,"mmm-yyyy")</f>
        <v/>
      </c>
      <c r="J272">
        <f>_xlfn.XLOOKUP(tbl_subscription[[#This Row],[Customer_ID]],tbl_clint[Customer_ID],tbl_clint[Country])</f>
        <v/>
      </c>
      <c r="K272">
        <f>_xlfn.XLOOKUP(tbl_subscription[[#This Row],[Customer_ID]],tbl_clint[[#This Row],[Customer_ID]],tbl_clint[[#This Row],[Industry]])</f>
        <v/>
      </c>
      <c r="L272">
        <f>_xlfn.XLOOKUP(tbl_subscription[[#This Row],[Customer_ID]],tbl_clint[[#This Row],[Customer_ID]],tbl_clint[[#This Row],[Company_Size]])</f>
        <v/>
      </c>
      <c r="M272">
        <f>YEAR(tbl_subscription[[#This Row],[Start_Date]])</f>
        <v/>
      </c>
    </row>
    <row r="273">
      <c r="A273" t="inlineStr">
        <is>
          <t>C0272</t>
        </is>
      </c>
      <c r="B273" t="inlineStr">
        <is>
          <t>Standard</t>
        </is>
      </c>
      <c r="C273" s="4" t="n">
        <v>45311</v>
      </c>
      <c r="D273" s="4" t="n">
        <v>45657</v>
      </c>
      <c r="E273" t="n">
        <v>25</v>
      </c>
      <c r="F273" t="inlineStr">
        <is>
          <t>Active</t>
        </is>
      </c>
      <c r="G273" t="inlineStr">
        <is>
          <t>Referral</t>
        </is>
      </c>
      <c r="H273">
        <f>TEXT(C273,"mmm-yyyy")</f>
        <v/>
      </c>
      <c r="I273">
        <f>TEXT(D273,"mmm-yyyy")</f>
        <v/>
      </c>
      <c r="J273">
        <f>_xlfn.XLOOKUP(tbl_subscription[[#This Row],[Customer_ID]],tbl_clint[Customer_ID],tbl_clint[Country])</f>
        <v/>
      </c>
      <c r="K273">
        <f>_xlfn.XLOOKUP(tbl_subscription[[#This Row],[Customer_ID]],tbl_clint[[#This Row],[Customer_ID]],tbl_clint[[#This Row],[Industry]])</f>
        <v/>
      </c>
      <c r="L273">
        <f>_xlfn.XLOOKUP(tbl_subscription[[#This Row],[Customer_ID]],tbl_clint[[#This Row],[Customer_ID]],tbl_clint[[#This Row],[Company_Size]])</f>
        <v/>
      </c>
      <c r="M273">
        <f>YEAR(tbl_subscription[[#This Row],[Start_Date]])</f>
        <v/>
      </c>
    </row>
    <row r="274">
      <c r="A274" t="inlineStr">
        <is>
          <t>C0273</t>
        </is>
      </c>
      <c r="B274" t="inlineStr">
        <is>
          <t>Premium</t>
        </is>
      </c>
      <c r="C274" s="4" t="n">
        <v>44129</v>
      </c>
      <c r="D274" s="4" t="n">
        <v>44253</v>
      </c>
      <c r="E274" t="n">
        <v>40</v>
      </c>
      <c r="F274" t="inlineStr">
        <is>
          <t>Churned</t>
        </is>
      </c>
      <c r="G274" t="inlineStr">
        <is>
          <t>Instagram</t>
        </is>
      </c>
      <c r="H274">
        <f>TEXT(C274,"mmm-yyyy")</f>
        <v/>
      </c>
      <c r="I274">
        <f>TEXT(D274,"mmm-yyyy")</f>
        <v/>
      </c>
      <c r="J274">
        <f>_xlfn.XLOOKUP(tbl_subscription[[#This Row],[Customer_ID]],tbl_clint[Customer_ID],tbl_clint[Country])</f>
        <v/>
      </c>
      <c r="K274">
        <f>_xlfn.XLOOKUP(tbl_subscription[[#This Row],[Customer_ID]],tbl_clint[[#This Row],[Customer_ID]],tbl_clint[[#This Row],[Industry]])</f>
        <v/>
      </c>
      <c r="L274">
        <f>_xlfn.XLOOKUP(tbl_subscription[[#This Row],[Customer_ID]],tbl_clint[[#This Row],[Customer_ID]],tbl_clint[[#This Row],[Company_Size]])</f>
        <v/>
      </c>
      <c r="M274">
        <f>YEAR(tbl_subscription[[#This Row],[Start_Date]])</f>
        <v/>
      </c>
    </row>
    <row r="275">
      <c r="A275" t="inlineStr">
        <is>
          <t>C0274</t>
        </is>
      </c>
      <c r="B275" t="inlineStr">
        <is>
          <t>Premium</t>
        </is>
      </c>
      <c r="C275" s="4" t="n">
        <v>44490</v>
      </c>
      <c r="D275" s="4" t="n">
        <v>45657</v>
      </c>
      <c r="E275" t="n">
        <v>40</v>
      </c>
      <c r="F275" t="inlineStr">
        <is>
          <t>Active</t>
        </is>
      </c>
      <c r="G275" t="inlineStr">
        <is>
          <t>Referral</t>
        </is>
      </c>
      <c r="H275">
        <f>TEXT(C275,"mmm-yyyy")</f>
        <v/>
      </c>
      <c r="I275">
        <f>TEXT(D275,"mmm-yyyy")</f>
        <v/>
      </c>
      <c r="J275">
        <f>_xlfn.XLOOKUP(tbl_subscription[[#This Row],[Customer_ID]],tbl_clint[Customer_ID],tbl_clint[Country])</f>
        <v/>
      </c>
      <c r="K275">
        <f>_xlfn.XLOOKUP(tbl_subscription[[#This Row],[Customer_ID]],tbl_clint[[#This Row],[Customer_ID]],tbl_clint[[#This Row],[Industry]])</f>
        <v/>
      </c>
      <c r="L275">
        <f>_xlfn.XLOOKUP(tbl_subscription[[#This Row],[Customer_ID]],tbl_clint[[#This Row],[Customer_ID]],tbl_clint[[#This Row],[Company_Size]])</f>
        <v/>
      </c>
      <c r="M275">
        <f>YEAR(tbl_subscription[[#This Row],[Start_Date]])</f>
        <v/>
      </c>
    </row>
    <row r="276">
      <c r="A276" t="inlineStr">
        <is>
          <t>C0275</t>
        </is>
      </c>
      <c r="B276" t="inlineStr">
        <is>
          <t>Basic</t>
        </is>
      </c>
      <c r="C276" s="4" t="n">
        <v>44755</v>
      </c>
      <c r="D276" s="4" t="n">
        <v>45657</v>
      </c>
      <c r="E276" t="n">
        <v>15</v>
      </c>
      <c r="F276" t="inlineStr">
        <is>
          <t>Active</t>
        </is>
      </c>
      <c r="G276" t="inlineStr">
        <is>
          <t>LinkedIn</t>
        </is>
      </c>
      <c r="H276">
        <f>TEXT(C276,"mmm-yyyy")</f>
        <v/>
      </c>
      <c r="I276">
        <f>TEXT(D276,"mmm-yyyy")</f>
        <v/>
      </c>
      <c r="J276">
        <f>_xlfn.XLOOKUP(tbl_subscription[[#This Row],[Customer_ID]],tbl_clint[Customer_ID],tbl_clint[Country])</f>
        <v/>
      </c>
      <c r="K276">
        <f>_xlfn.XLOOKUP(tbl_subscription[[#This Row],[Customer_ID]],tbl_clint[[#This Row],[Customer_ID]],tbl_clint[[#This Row],[Industry]])</f>
        <v/>
      </c>
      <c r="L276">
        <f>_xlfn.XLOOKUP(tbl_subscription[[#This Row],[Customer_ID]],tbl_clint[[#This Row],[Customer_ID]],tbl_clint[[#This Row],[Company_Size]])</f>
        <v/>
      </c>
      <c r="M276">
        <f>YEAR(tbl_subscription[[#This Row],[Start_Date]])</f>
        <v/>
      </c>
    </row>
    <row r="277">
      <c r="A277" t="inlineStr">
        <is>
          <t>C0276</t>
        </is>
      </c>
      <c r="B277" t="inlineStr">
        <is>
          <t>Standard</t>
        </is>
      </c>
      <c r="C277" s="4" t="n">
        <v>45278</v>
      </c>
      <c r="D277" s="4" t="n">
        <v>45410</v>
      </c>
      <c r="E277" t="n">
        <v>25</v>
      </c>
      <c r="F277" t="inlineStr">
        <is>
          <t>Churned</t>
        </is>
      </c>
      <c r="G277" t="inlineStr">
        <is>
          <t>Instagram</t>
        </is>
      </c>
      <c r="H277">
        <f>TEXT(C277,"mmm-yyyy")</f>
        <v/>
      </c>
      <c r="I277">
        <f>TEXT(D277,"mmm-yyyy")</f>
        <v/>
      </c>
      <c r="J277">
        <f>_xlfn.XLOOKUP(tbl_subscription[[#This Row],[Customer_ID]],tbl_clint[Customer_ID],tbl_clint[Country])</f>
        <v/>
      </c>
      <c r="K277">
        <f>_xlfn.XLOOKUP(tbl_subscription[[#This Row],[Customer_ID]],tbl_clint[[#This Row],[Customer_ID]],tbl_clint[[#This Row],[Industry]])</f>
        <v/>
      </c>
      <c r="L277">
        <f>_xlfn.XLOOKUP(tbl_subscription[[#This Row],[Customer_ID]],tbl_clint[[#This Row],[Customer_ID]],tbl_clint[[#This Row],[Company_Size]])</f>
        <v/>
      </c>
      <c r="M277">
        <f>YEAR(tbl_subscription[[#This Row],[Start_Date]])</f>
        <v/>
      </c>
    </row>
    <row r="278">
      <c r="A278" t="inlineStr">
        <is>
          <t>C0277</t>
        </is>
      </c>
      <c r="B278" t="inlineStr">
        <is>
          <t>Standard</t>
        </is>
      </c>
      <c r="C278" s="4" t="n">
        <v>44716</v>
      </c>
      <c r="D278" s="4" t="n">
        <v>45657</v>
      </c>
      <c r="E278" t="n">
        <v>25</v>
      </c>
      <c r="F278" t="inlineStr">
        <is>
          <t>Active</t>
        </is>
      </c>
      <c r="G278" t="inlineStr">
        <is>
          <t>Google</t>
        </is>
      </c>
      <c r="H278">
        <f>TEXT(C278,"mmm-yyyy")</f>
        <v/>
      </c>
      <c r="I278">
        <f>TEXT(D278,"mmm-yyyy")</f>
        <v/>
      </c>
      <c r="J278">
        <f>_xlfn.XLOOKUP(tbl_subscription[[#This Row],[Customer_ID]],tbl_clint[Customer_ID],tbl_clint[Country])</f>
        <v/>
      </c>
      <c r="K278">
        <f>_xlfn.XLOOKUP(tbl_subscription[[#This Row],[Customer_ID]],tbl_clint[[#This Row],[Customer_ID]],tbl_clint[[#This Row],[Industry]])</f>
        <v/>
      </c>
      <c r="L278">
        <f>_xlfn.XLOOKUP(tbl_subscription[[#This Row],[Customer_ID]],tbl_clint[[#This Row],[Customer_ID]],tbl_clint[[#This Row],[Company_Size]])</f>
        <v/>
      </c>
      <c r="M278">
        <f>YEAR(tbl_subscription[[#This Row],[Start_Date]])</f>
        <v/>
      </c>
    </row>
    <row r="279">
      <c r="A279" t="inlineStr">
        <is>
          <t>C0278</t>
        </is>
      </c>
      <c r="B279" t="inlineStr">
        <is>
          <t>Premium</t>
        </is>
      </c>
      <c r="C279" s="4" t="n">
        <v>43849</v>
      </c>
      <c r="D279" s="4" t="n">
        <v>44312</v>
      </c>
      <c r="E279" t="n">
        <v>40</v>
      </c>
      <c r="F279" t="inlineStr">
        <is>
          <t>Churned</t>
        </is>
      </c>
      <c r="G279" t="inlineStr">
        <is>
          <t>Facebook</t>
        </is>
      </c>
      <c r="H279">
        <f>TEXT(C279,"mmm-yyyy")</f>
        <v/>
      </c>
      <c r="I279">
        <f>TEXT(D279,"mmm-yyyy")</f>
        <v/>
      </c>
      <c r="J279">
        <f>_xlfn.XLOOKUP(tbl_subscription[[#This Row],[Customer_ID]],tbl_clint[Customer_ID],tbl_clint[Country])</f>
        <v/>
      </c>
      <c r="K279">
        <f>_xlfn.XLOOKUP(tbl_subscription[[#This Row],[Customer_ID]],tbl_clint[[#This Row],[Customer_ID]],tbl_clint[[#This Row],[Industry]])</f>
        <v/>
      </c>
      <c r="L279">
        <f>_xlfn.XLOOKUP(tbl_subscription[[#This Row],[Customer_ID]],tbl_clint[[#This Row],[Customer_ID]],tbl_clint[[#This Row],[Company_Size]])</f>
        <v/>
      </c>
      <c r="M279">
        <f>YEAR(tbl_subscription[[#This Row],[Start_Date]])</f>
        <v/>
      </c>
    </row>
    <row r="280">
      <c r="A280" t="inlineStr">
        <is>
          <t>C0279</t>
        </is>
      </c>
      <c r="B280" t="inlineStr">
        <is>
          <t>Basic</t>
        </is>
      </c>
      <c r="C280" s="4" t="n">
        <v>45041</v>
      </c>
      <c r="D280" s="4" t="n">
        <v>45657</v>
      </c>
      <c r="E280" t="n">
        <v>15</v>
      </c>
      <c r="F280" t="inlineStr">
        <is>
          <t>Active</t>
        </is>
      </c>
      <c r="G280" t="inlineStr">
        <is>
          <t>Facebook</t>
        </is>
      </c>
      <c r="H280">
        <f>TEXT(C280,"mmm-yyyy")</f>
        <v/>
      </c>
      <c r="I280">
        <f>TEXT(D280,"mmm-yyyy")</f>
        <v/>
      </c>
      <c r="J280">
        <f>_xlfn.XLOOKUP(tbl_subscription[[#This Row],[Customer_ID]],tbl_clint[Customer_ID],tbl_clint[Country])</f>
        <v/>
      </c>
      <c r="K280">
        <f>_xlfn.XLOOKUP(tbl_subscription[[#This Row],[Customer_ID]],tbl_clint[[#This Row],[Customer_ID]],tbl_clint[[#This Row],[Industry]])</f>
        <v/>
      </c>
      <c r="L280">
        <f>_xlfn.XLOOKUP(tbl_subscription[[#This Row],[Customer_ID]],tbl_clint[[#This Row],[Customer_ID]],tbl_clint[[#This Row],[Company_Size]])</f>
        <v/>
      </c>
      <c r="M280">
        <f>YEAR(tbl_subscription[[#This Row],[Start_Date]])</f>
        <v/>
      </c>
    </row>
    <row r="281">
      <c r="A281" t="inlineStr">
        <is>
          <t>C0280</t>
        </is>
      </c>
      <c r="B281" t="inlineStr">
        <is>
          <t>Basic</t>
        </is>
      </c>
      <c r="C281" s="4" t="n">
        <v>45110</v>
      </c>
      <c r="D281" s="4" t="n">
        <v>45657</v>
      </c>
      <c r="E281" t="n">
        <v>15</v>
      </c>
      <c r="F281" t="inlineStr">
        <is>
          <t>Churned</t>
        </is>
      </c>
      <c r="G281" t="inlineStr">
        <is>
          <t>Google</t>
        </is>
      </c>
      <c r="H281">
        <f>TEXT(C281,"mmm-yyyy")</f>
        <v/>
      </c>
      <c r="I281">
        <f>TEXT(D281,"mmm-yyyy")</f>
        <v/>
      </c>
      <c r="J281">
        <f>_xlfn.XLOOKUP(tbl_subscription[[#This Row],[Customer_ID]],tbl_clint[Customer_ID],tbl_clint[Country])</f>
        <v/>
      </c>
      <c r="K281">
        <f>_xlfn.XLOOKUP(tbl_subscription[[#This Row],[Customer_ID]],tbl_clint[[#This Row],[Customer_ID]],tbl_clint[[#This Row],[Industry]])</f>
        <v/>
      </c>
      <c r="L281">
        <f>_xlfn.XLOOKUP(tbl_subscription[[#This Row],[Customer_ID]],tbl_clint[[#This Row],[Customer_ID]],tbl_clint[[#This Row],[Company_Size]])</f>
        <v/>
      </c>
      <c r="M281">
        <f>YEAR(tbl_subscription[[#This Row],[Start_Date]])</f>
        <v/>
      </c>
    </row>
    <row r="282">
      <c r="A282" t="inlineStr">
        <is>
          <t>C0281</t>
        </is>
      </c>
      <c r="B282" t="inlineStr">
        <is>
          <t>Basic</t>
        </is>
      </c>
      <c r="C282" s="4" t="n">
        <v>45327</v>
      </c>
      <c r="D282" s="4" t="n">
        <v>45657</v>
      </c>
      <c r="E282" t="n">
        <v>15</v>
      </c>
      <c r="F282" t="inlineStr">
        <is>
          <t>Active</t>
        </is>
      </c>
      <c r="G282" t="inlineStr">
        <is>
          <t>Google</t>
        </is>
      </c>
      <c r="H282">
        <f>TEXT(C282,"mmm-yyyy")</f>
        <v/>
      </c>
      <c r="I282">
        <f>TEXT(D282,"mmm-yyyy")</f>
        <v/>
      </c>
      <c r="J282">
        <f>_xlfn.XLOOKUP(tbl_subscription[[#This Row],[Customer_ID]],tbl_clint[Customer_ID],tbl_clint[Country])</f>
        <v/>
      </c>
      <c r="K282">
        <f>_xlfn.XLOOKUP(tbl_subscription[[#This Row],[Customer_ID]],tbl_clint[[#This Row],[Customer_ID]],tbl_clint[[#This Row],[Industry]])</f>
        <v/>
      </c>
      <c r="L282">
        <f>_xlfn.XLOOKUP(tbl_subscription[[#This Row],[Customer_ID]],tbl_clint[[#This Row],[Customer_ID]],tbl_clint[[#This Row],[Company_Size]])</f>
        <v/>
      </c>
      <c r="M282">
        <f>YEAR(tbl_subscription[[#This Row],[Start_Date]])</f>
        <v/>
      </c>
    </row>
    <row r="283">
      <c r="A283" t="inlineStr">
        <is>
          <t>C0282</t>
        </is>
      </c>
      <c r="B283" t="inlineStr">
        <is>
          <t>Premium</t>
        </is>
      </c>
      <c r="C283" s="4" t="n">
        <v>44163</v>
      </c>
      <c r="D283" s="4" t="n">
        <v>44884</v>
      </c>
      <c r="E283" t="n">
        <v>40</v>
      </c>
      <c r="F283" t="inlineStr">
        <is>
          <t>Churned</t>
        </is>
      </c>
      <c r="G283" t="inlineStr">
        <is>
          <t>LinkedIn</t>
        </is>
      </c>
      <c r="H283">
        <f>TEXT(C283,"mmm-yyyy")</f>
        <v/>
      </c>
      <c r="I283">
        <f>TEXT(D283,"mmm-yyyy")</f>
        <v/>
      </c>
      <c r="J283">
        <f>_xlfn.XLOOKUP(tbl_subscription[[#This Row],[Customer_ID]],tbl_clint[Customer_ID],tbl_clint[Country])</f>
        <v/>
      </c>
      <c r="K283">
        <f>_xlfn.XLOOKUP(tbl_subscription[[#This Row],[Customer_ID]],tbl_clint[[#This Row],[Customer_ID]],tbl_clint[[#This Row],[Industry]])</f>
        <v/>
      </c>
      <c r="L283">
        <f>_xlfn.XLOOKUP(tbl_subscription[[#This Row],[Customer_ID]],tbl_clint[[#This Row],[Customer_ID]],tbl_clint[[#This Row],[Company_Size]])</f>
        <v/>
      </c>
      <c r="M283">
        <f>YEAR(tbl_subscription[[#This Row],[Start_Date]])</f>
        <v/>
      </c>
    </row>
    <row r="284">
      <c r="A284" t="inlineStr">
        <is>
          <t>C0283</t>
        </is>
      </c>
      <c r="B284" t="inlineStr">
        <is>
          <t>Standard</t>
        </is>
      </c>
      <c r="C284" s="4" t="n">
        <v>43939</v>
      </c>
      <c r="D284" s="4" t="n">
        <v>44701</v>
      </c>
      <c r="E284" t="n">
        <v>25</v>
      </c>
      <c r="F284" t="inlineStr">
        <is>
          <t>Churned</t>
        </is>
      </c>
      <c r="G284" t="inlineStr">
        <is>
          <t>Referral</t>
        </is>
      </c>
      <c r="H284">
        <f>TEXT(C284,"mmm-yyyy")</f>
        <v/>
      </c>
      <c r="I284">
        <f>TEXT(D284,"mmm-yyyy")</f>
        <v/>
      </c>
      <c r="J284">
        <f>_xlfn.XLOOKUP(tbl_subscription[[#This Row],[Customer_ID]],tbl_clint[Customer_ID],tbl_clint[Country])</f>
        <v/>
      </c>
      <c r="K284">
        <f>_xlfn.XLOOKUP(tbl_subscription[[#This Row],[Customer_ID]],tbl_clint[[#This Row],[Customer_ID]],tbl_clint[[#This Row],[Industry]])</f>
        <v/>
      </c>
      <c r="L284">
        <f>_xlfn.XLOOKUP(tbl_subscription[[#This Row],[Customer_ID]],tbl_clint[[#This Row],[Customer_ID]],tbl_clint[[#This Row],[Company_Size]])</f>
        <v/>
      </c>
      <c r="M284">
        <f>YEAR(tbl_subscription[[#This Row],[Start_Date]])</f>
        <v/>
      </c>
    </row>
    <row r="285">
      <c r="A285" t="inlineStr">
        <is>
          <t>C0284</t>
        </is>
      </c>
      <c r="B285" t="inlineStr">
        <is>
          <t>Standard</t>
        </is>
      </c>
      <c r="C285" s="4" t="n">
        <v>44484</v>
      </c>
      <c r="D285" s="4" t="n">
        <v>45198</v>
      </c>
      <c r="E285" t="n">
        <v>25</v>
      </c>
      <c r="F285" t="inlineStr">
        <is>
          <t>Churned</t>
        </is>
      </c>
      <c r="G285" t="inlineStr">
        <is>
          <t>Facebook</t>
        </is>
      </c>
      <c r="H285">
        <f>TEXT(C285,"mmm-yyyy")</f>
        <v/>
      </c>
      <c r="I285">
        <f>TEXT(D285,"mmm-yyyy")</f>
        <v/>
      </c>
      <c r="J285">
        <f>_xlfn.XLOOKUP(tbl_subscription[[#This Row],[Customer_ID]],tbl_clint[Customer_ID],tbl_clint[Country])</f>
        <v/>
      </c>
      <c r="K285">
        <f>_xlfn.XLOOKUP(tbl_subscription[[#This Row],[Customer_ID]],tbl_clint[[#This Row],[Customer_ID]],tbl_clint[[#This Row],[Industry]])</f>
        <v/>
      </c>
      <c r="L285">
        <f>_xlfn.XLOOKUP(tbl_subscription[[#This Row],[Customer_ID]],tbl_clint[[#This Row],[Customer_ID]],tbl_clint[[#This Row],[Company_Size]])</f>
        <v/>
      </c>
      <c r="M285">
        <f>YEAR(tbl_subscription[[#This Row],[Start_Date]])</f>
        <v/>
      </c>
    </row>
    <row r="286">
      <c r="A286" t="inlineStr">
        <is>
          <t>C0285</t>
        </is>
      </c>
      <c r="B286" t="inlineStr">
        <is>
          <t>Standard</t>
        </is>
      </c>
      <c r="C286" s="4" t="n">
        <v>45146</v>
      </c>
      <c r="D286" s="4" t="n">
        <v>45657</v>
      </c>
      <c r="E286" t="n">
        <v>25</v>
      </c>
      <c r="F286" t="inlineStr">
        <is>
          <t>Active</t>
        </is>
      </c>
      <c r="G286" t="inlineStr">
        <is>
          <t>Facebook</t>
        </is>
      </c>
      <c r="H286">
        <f>TEXT(C286,"mmm-yyyy")</f>
        <v/>
      </c>
      <c r="I286">
        <f>TEXT(D286,"mmm-yyyy")</f>
        <v/>
      </c>
      <c r="J286">
        <f>_xlfn.XLOOKUP(tbl_subscription[[#This Row],[Customer_ID]],tbl_clint[Customer_ID],tbl_clint[Country])</f>
        <v/>
      </c>
      <c r="K286">
        <f>_xlfn.XLOOKUP(tbl_subscription[[#This Row],[Customer_ID]],tbl_clint[[#This Row],[Customer_ID]],tbl_clint[[#This Row],[Industry]])</f>
        <v/>
      </c>
      <c r="L286">
        <f>_xlfn.XLOOKUP(tbl_subscription[[#This Row],[Customer_ID]],tbl_clint[[#This Row],[Customer_ID]],tbl_clint[[#This Row],[Company_Size]])</f>
        <v/>
      </c>
      <c r="M286">
        <f>YEAR(tbl_subscription[[#This Row],[Start_Date]])</f>
        <v/>
      </c>
    </row>
    <row r="287">
      <c r="A287" t="inlineStr">
        <is>
          <t>C0286</t>
        </is>
      </c>
      <c r="B287" t="inlineStr">
        <is>
          <t>Basic</t>
        </is>
      </c>
      <c r="C287" s="4" t="n">
        <v>45475</v>
      </c>
      <c r="D287" s="4" t="n">
        <v>45657</v>
      </c>
      <c r="E287" t="n">
        <v>15</v>
      </c>
      <c r="F287" t="inlineStr">
        <is>
          <t>Active</t>
        </is>
      </c>
      <c r="G287" t="inlineStr">
        <is>
          <t>Referral</t>
        </is>
      </c>
      <c r="H287">
        <f>TEXT(C287,"mmm-yyyy")</f>
        <v/>
      </c>
      <c r="I287">
        <f>TEXT(D287,"mmm-yyyy")</f>
        <v/>
      </c>
      <c r="J287">
        <f>_xlfn.XLOOKUP(tbl_subscription[[#This Row],[Customer_ID]],tbl_clint[Customer_ID],tbl_clint[Country])</f>
        <v/>
      </c>
      <c r="K287">
        <f>_xlfn.XLOOKUP(tbl_subscription[[#This Row],[Customer_ID]],tbl_clint[[#This Row],[Customer_ID]],tbl_clint[[#This Row],[Industry]])</f>
        <v/>
      </c>
      <c r="L287">
        <f>_xlfn.XLOOKUP(tbl_subscription[[#This Row],[Customer_ID]],tbl_clint[[#This Row],[Customer_ID]],tbl_clint[[#This Row],[Company_Size]])</f>
        <v/>
      </c>
      <c r="M287">
        <f>YEAR(tbl_subscription[[#This Row],[Start_Date]])</f>
        <v/>
      </c>
    </row>
    <row r="288">
      <c r="A288" t="inlineStr">
        <is>
          <t>C0287</t>
        </is>
      </c>
      <c r="B288" t="inlineStr">
        <is>
          <t>Basic</t>
        </is>
      </c>
      <c r="C288" s="4" t="n">
        <v>44374</v>
      </c>
      <c r="D288" s="4" t="n">
        <v>44977</v>
      </c>
      <c r="E288" t="n">
        <v>15</v>
      </c>
      <c r="F288" t="inlineStr">
        <is>
          <t>Churned</t>
        </is>
      </c>
      <c r="G288" t="inlineStr">
        <is>
          <t>Referral</t>
        </is>
      </c>
      <c r="H288">
        <f>TEXT(C288,"mmm-yyyy")</f>
        <v/>
      </c>
      <c r="I288">
        <f>TEXT(D288,"mmm-yyyy")</f>
        <v/>
      </c>
      <c r="J288">
        <f>_xlfn.XLOOKUP(tbl_subscription[[#This Row],[Customer_ID]],tbl_clint[Customer_ID],tbl_clint[Country])</f>
        <v/>
      </c>
      <c r="K288">
        <f>_xlfn.XLOOKUP(tbl_subscription[[#This Row],[Customer_ID]],tbl_clint[[#This Row],[Customer_ID]],tbl_clint[[#This Row],[Industry]])</f>
        <v/>
      </c>
      <c r="L288">
        <f>_xlfn.XLOOKUP(tbl_subscription[[#This Row],[Customer_ID]],tbl_clint[[#This Row],[Customer_ID]],tbl_clint[[#This Row],[Company_Size]])</f>
        <v/>
      </c>
      <c r="M288">
        <f>YEAR(tbl_subscription[[#This Row],[Start_Date]])</f>
        <v/>
      </c>
    </row>
    <row r="289">
      <c r="A289" t="inlineStr">
        <is>
          <t>C0288</t>
        </is>
      </c>
      <c r="B289" t="inlineStr">
        <is>
          <t>Basic</t>
        </is>
      </c>
      <c r="C289" s="4" t="n">
        <v>44422</v>
      </c>
      <c r="D289" s="4" t="n">
        <v>45657</v>
      </c>
      <c r="E289" t="n">
        <v>15</v>
      </c>
      <c r="F289" t="inlineStr">
        <is>
          <t>Active</t>
        </is>
      </c>
      <c r="G289" t="inlineStr">
        <is>
          <t>Facebook</t>
        </is>
      </c>
      <c r="H289">
        <f>TEXT(C289,"mmm-yyyy")</f>
        <v/>
      </c>
      <c r="I289">
        <f>TEXT(D289,"mmm-yyyy")</f>
        <v/>
      </c>
      <c r="J289">
        <f>_xlfn.XLOOKUP(tbl_subscription[[#This Row],[Customer_ID]],tbl_clint[Customer_ID],tbl_clint[Country])</f>
        <v/>
      </c>
      <c r="K289">
        <f>_xlfn.XLOOKUP(tbl_subscription[[#This Row],[Customer_ID]],tbl_clint[[#This Row],[Customer_ID]],tbl_clint[[#This Row],[Industry]])</f>
        <v/>
      </c>
      <c r="L289">
        <f>_xlfn.XLOOKUP(tbl_subscription[[#This Row],[Customer_ID]],tbl_clint[[#This Row],[Customer_ID]],tbl_clint[[#This Row],[Company_Size]])</f>
        <v/>
      </c>
      <c r="M289">
        <f>YEAR(tbl_subscription[[#This Row],[Start_Date]])</f>
        <v/>
      </c>
    </row>
    <row r="290">
      <c r="A290" t="inlineStr">
        <is>
          <t>C0289</t>
        </is>
      </c>
      <c r="B290" t="inlineStr">
        <is>
          <t>Standard</t>
        </is>
      </c>
      <c r="C290" s="4" t="n">
        <v>45299</v>
      </c>
      <c r="D290" s="4" t="n">
        <v>45657</v>
      </c>
      <c r="E290" t="n">
        <v>25</v>
      </c>
      <c r="F290" t="inlineStr">
        <is>
          <t>Active</t>
        </is>
      </c>
      <c r="G290" t="inlineStr">
        <is>
          <t>Instagram</t>
        </is>
      </c>
      <c r="H290">
        <f>TEXT(C290,"mmm-yyyy")</f>
        <v/>
      </c>
      <c r="I290">
        <f>TEXT(D290,"mmm-yyyy")</f>
        <v/>
      </c>
      <c r="J290">
        <f>_xlfn.XLOOKUP(tbl_subscription[[#This Row],[Customer_ID]],tbl_clint[Customer_ID],tbl_clint[Country])</f>
        <v/>
      </c>
      <c r="K290">
        <f>_xlfn.XLOOKUP(tbl_subscription[[#This Row],[Customer_ID]],tbl_clint[[#This Row],[Customer_ID]],tbl_clint[[#This Row],[Industry]])</f>
        <v/>
      </c>
      <c r="L290">
        <f>_xlfn.XLOOKUP(tbl_subscription[[#This Row],[Customer_ID]],tbl_clint[[#This Row],[Customer_ID]],tbl_clint[[#This Row],[Company_Size]])</f>
        <v/>
      </c>
      <c r="M290">
        <f>YEAR(tbl_subscription[[#This Row],[Start_Date]])</f>
        <v/>
      </c>
    </row>
    <row r="291">
      <c r="A291" t="inlineStr">
        <is>
          <t>C0290</t>
        </is>
      </c>
      <c r="B291" t="inlineStr">
        <is>
          <t>Basic</t>
        </is>
      </c>
      <c r="C291" s="4" t="n">
        <v>45023</v>
      </c>
      <c r="D291" s="4" t="n">
        <v>45657</v>
      </c>
      <c r="E291" t="n">
        <v>15</v>
      </c>
      <c r="F291" t="inlineStr">
        <is>
          <t>Active</t>
        </is>
      </c>
      <c r="G291" t="inlineStr">
        <is>
          <t>LinkedIn</t>
        </is>
      </c>
      <c r="H291">
        <f>TEXT(C291,"mmm-yyyy")</f>
        <v/>
      </c>
      <c r="I291">
        <f>TEXT(D291,"mmm-yyyy")</f>
        <v/>
      </c>
      <c r="J291">
        <f>_xlfn.XLOOKUP(tbl_subscription[[#This Row],[Customer_ID]],tbl_clint[Customer_ID],tbl_clint[Country])</f>
        <v/>
      </c>
      <c r="K291">
        <f>_xlfn.XLOOKUP(tbl_subscription[[#This Row],[Customer_ID]],tbl_clint[[#This Row],[Customer_ID]],tbl_clint[[#This Row],[Industry]])</f>
        <v/>
      </c>
      <c r="L291">
        <f>_xlfn.XLOOKUP(tbl_subscription[[#This Row],[Customer_ID]],tbl_clint[[#This Row],[Customer_ID]],tbl_clint[[#This Row],[Company_Size]])</f>
        <v/>
      </c>
      <c r="M291">
        <f>YEAR(tbl_subscription[[#This Row],[Start_Date]])</f>
        <v/>
      </c>
    </row>
    <row r="292">
      <c r="A292" t="inlineStr">
        <is>
          <t>C0291</t>
        </is>
      </c>
      <c r="B292" t="inlineStr">
        <is>
          <t>Premium</t>
        </is>
      </c>
      <c r="C292" s="4" t="n">
        <v>45330</v>
      </c>
      <c r="D292" s="4" t="n">
        <v>45422</v>
      </c>
      <c r="E292" t="n">
        <v>40</v>
      </c>
      <c r="F292" t="inlineStr">
        <is>
          <t>Churned</t>
        </is>
      </c>
      <c r="G292" t="inlineStr">
        <is>
          <t>Google</t>
        </is>
      </c>
      <c r="H292">
        <f>TEXT(C292,"mmm-yyyy")</f>
        <v/>
      </c>
      <c r="I292">
        <f>TEXT(D292,"mmm-yyyy")</f>
        <v/>
      </c>
      <c r="J292">
        <f>_xlfn.XLOOKUP(tbl_subscription[[#This Row],[Customer_ID]],tbl_clint[Customer_ID],tbl_clint[Country])</f>
        <v/>
      </c>
      <c r="K292">
        <f>_xlfn.XLOOKUP(tbl_subscription[[#This Row],[Customer_ID]],tbl_clint[[#This Row],[Customer_ID]],tbl_clint[[#This Row],[Industry]])</f>
        <v/>
      </c>
      <c r="L292">
        <f>_xlfn.XLOOKUP(tbl_subscription[[#This Row],[Customer_ID]],tbl_clint[[#This Row],[Customer_ID]],tbl_clint[[#This Row],[Company_Size]])</f>
        <v/>
      </c>
      <c r="M292">
        <f>YEAR(tbl_subscription[[#This Row],[Start_Date]])</f>
        <v/>
      </c>
    </row>
    <row r="293">
      <c r="A293" t="inlineStr">
        <is>
          <t>C0292</t>
        </is>
      </c>
      <c r="B293" t="inlineStr">
        <is>
          <t>Standard</t>
        </is>
      </c>
      <c r="C293" s="4" t="n">
        <v>44340</v>
      </c>
      <c r="D293" s="4" t="n">
        <v>45657</v>
      </c>
      <c r="E293" t="n">
        <v>25</v>
      </c>
      <c r="F293" t="inlineStr">
        <is>
          <t>Active</t>
        </is>
      </c>
      <c r="G293" t="inlineStr">
        <is>
          <t>Referral</t>
        </is>
      </c>
      <c r="H293">
        <f>TEXT(C293,"mmm-yyyy")</f>
        <v/>
      </c>
      <c r="I293">
        <f>TEXT(D293,"mmm-yyyy")</f>
        <v/>
      </c>
      <c r="J293">
        <f>_xlfn.XLOOKUP(tbl_subscription[[#This Row],[Customer_ID]],tbl_clint[Customer_ID],tbl_clint[Country])</f>
        <v/>
      </c>
      <c r="K293">
        <f>_xlfn.XLOOKUP(tbl_subscription[[#This Row],[Customer_ID]],tbl_clint[[#This Row],[Customer_ID]],tbl_clint[[#This Row],[Industry]])</f>
        <v/>
      </c>
      <c r="L293">
        <f>_xlfn.XLOOKUP(tbl_subscription[[#This Row],[Customer_ID]],tbl_clint[[#This Row],[Customer_ID]],tbl_clint[[#This Row],[Company_Size]])</f>
        <v/>
      </c>
      <c r="M293">
        <f>YEAR(tbl_subscription[[#This Row],[Start_Date]])</f>
        <v/>
      </c>
    </row>
    <row r="294">
      <c r="A294" t="inlineStr">
        <is>
          <t>C0293</t>
        </is>
      </c>
      <c r="B294" t="inlineStr">
        <is>
          <t>Basic</t>
        </is>
      </c>
      <c r="C294" s="4" t="n">
        <v>45006</v>
      </c>
      <c r="D294" s="4" t="n">
        <v>45657</v>
      </c>
      <c r="E294" t="n">
        <v>15</v>
      </c>
      <c r="F294" t="inlineStr">
        <is>
          <t>Active</t>
        </is>
      </c>
      <c r="G294" t="inlineStr">
        <is>
          <t>Referral</t>
        </is>
      </c>
      <c r="H294">
        <f>TEXT(C294,"mmm-yyyy")</f>
        <v/>
      </c>
      <c r="I294">
        <f>TEXT(D294,"mmm-yyyy")</f>
        <v/>
      </c>
      <c r="J294">
        <f>_xlfn.XLOOKUP(tbl_subscription[[#This Row],[Customer_ID]],tbl_clint[Customer_ID],tbl_clint[Country])</f>
        <v/>
      </c>
      <c r="K294">
        <f>_xlfn.XLOOKUP(tbl_subscription[[#This Row],[Customer_ID]],tbl_clint[[#This Row],[Customer_ID]],tbl_clint[[#This Row],[Industry]])</f>
        <v/>
      </c>
      <c r="L294">
        <f>_xlfn.XLOOKUP(tbl_subscription[[#This Row],[Customer_ID]],tbl_clint[[#This Row],[Customer_ID]],tbl_clint[[#This Row],[Company_Size]])</f>
        <v/>
      </c>
      <c r="M294">
        <f>YEAR(tbl_subscription[[#This Row],[Start_Date]])</f>
        <v/>
      </c>
    </row>
    <row r="295">
      <c r="A295" t="inlineStr">
        <is>
          <t>C0294</t>
        </is>
      </c>
      <c r="B295" t="inlineStr">
        <is>
          <t>Premium</t>
        </is>
      </c>
      <c r="C295" s="4" t="n">
        <v>44554</v>
      </c>
      <c r="D295" s="4" t="n">
        <v>45657</v>
      </c>
      <c r="E295" t="n">
        <v>40</v>
      </c>
      <c r="F295" t="inlineStr">
        <is>
          <t>Active</t>
        </is>
      </c>
      <c r="G295" t="inlineStr">
        <is>
          <t>Referral</t>
        </is>
      </c>
      <c r="H295">
        <f>TEXT(C295,"mmm-yyyy")</f>
        <v/>
      </c>
      <c r="I295">
        <f>TEXT(D295,"mmm-yyyy")</f>
        <v/>
      </c>
      <c r="J295">
        <f>_xlfn.XLOOKUP(tbl_subscription[[#This Row],[Customer_ID]],tbl_clint[Customer_ID],tbl_clint[Country])</f>
        <v/>
      </c>
      <c r="K295">
        <f>_xlfn.XLOOKUP(tbl_subscription[[#This Row],[Customer_ID]],tbl_clint[[#This Row],[Customer_ID]],tbl_clint[[#This Row],[Industry]])</f>
        <v/>
      </c>
      <c r="L295">
        <f>_xlfn.XLOOKUP(tbl_subscription[[#This Row],[Customer_ID]],tbl_clint[[#This Row],[Customer_ID]],tbl_clint[[#This Row],[Company_Size]])</f>
        <v/>
      </c>
      <c r="M295">
        <f>YEAR(tbl_subscription[[#This Row],[Start_Date]])</f>
        <v/>
      </c>
    </row>
    <row r="296">
      <c r="A296" t="inlineStr">
        <is>
          <t>C0295</t>
        </is>
      </c>
      <c r="B296" t="inlineStr">
        <is>
          <t>Basic</t>
        </is>
      </c>
      <c r="C296" s="4" t="n">
        <v>44811</v>
      </c>
      <c r="D296" s="4" t="n">
        <v>45657</v>
      </c>
      <c r="E296" t="n">
        <v>15</v>
      </c>
      <c r="F296" t="inlineStr">
        <is>
          <t>Active</t>
        </is>
      </c>
      <c r="G296" t="inlineStr">
        <is>
          <t>Facebook</t>
        </is>
      </c>
      <c r="H296">
        <f>TEXT(C296,"mmm-yyyy")</f>
        <v/>
      </c>
      <c r="I296">
        <f>TEXT(D296,"mmm-yyyy")</f>
        <v/>
      </c>
      <c r="J296">
        <f>_xlfn.XLOOKUP(tbl_subscription[[#This Row],[Customer_ID]],tbl_clint[Customer_ID],tbl_clint[Country])</f>
        <v/>
      </c>
      <c r="K296">
        <f>_xlfn.XLOOKUP(tbl_subscription[[#This Row],[Customer_ID]],tbl_clint[[#This Row],[Customer_ID]],tbl_clint[[#This Row],[Industry]])</f>
        <v/>
      </c>
      <c r="L296">
        <f>_xlfn.XLOOKUP(tbl_subscription[[#This Row],[Customer_ID]],tbl_clint[[#This Row],[Customer_ID]],tbl_clint[[#This Row],[Company_Size]])</f>
        <v/>
      </c>
      <c r="M296">
        <f>YEAR(tbl_subscription[[#This Row],[Start_Date]])</f>
        <v/>
      </c>
    </row>
    <row r="297">
      <c r="A297" t="inlineStr">
        <is>
          <t>C0296</t>
        </is>
      </c>
      <c r="B297" t="inlineStr">
        <is>
          <t>Basic</t>
        </is>
      </c>
      <c r="C297" s="4" t="n">
        <v>45110</v>
      </c>
      <c r="D297" s="4" t="n">
        <v>45657</v>
      </c>
      <c r="E297" t="n">
        <v>15</v>
      </c>
      <c r="F297" t="inlineStr">
        <is>
          <t>Churned</t>
        </is>
      </c>
      <c r="G297" t="inlineStr">
        <is>
          <t>LinkedIn</t>
        </is>
      </c>
      <c r="H297">
        <f>TEXT(C297,"mmm-yyyy")</f>
        <v/>
      </c>
      <c r="I297">
        <f>TEXT(D297,"mmm-yyyy")</f>
        <v/>
      </c>
      <c r="J297">
        <f>_xlfn.XLOOKUP(tbl_subscription[[#This Row],[Customer_ID]],tbl_clint[Customer_ID],tbl_clint[Country])</f>
        <v/>
      </c>
      <c r="K297">
        <f>_xlfn.XLOOKUP(tbl_subscription[[#This Row],[Customer_ID]],tbl_clint[[#This Row],[Customer_ID]],tbl_clint[[#This Row],[Industry]])</f>
        <v/>
      </c>
      <c r="L297">
        <f>_xlfn.XLOOKUP(tbl_subscription[[#This Row],[Customer_ID]],tbl_clint[[#This Row],[Customer_ID]],tbl_clint[[#This Row],[Company_Size]])</f>
        <v/>
      </c>
      <c r="M297">
        <f>YEAR(tbl_subscription[[#This Row],[Start_Date]])</f>
        <v/>
      </c>
    </row>
    <row r="298">
      <c r="A298" t="inlineStr">
        <is>
          <t>C0297</t>
        </is>
      </c>
      <c r="B298" t="inlineStr">
        <is>
          <t>Premium</t>
        </is>
      </c>
      <c r="C298" s="4" t="n">
        <v>44421</v>
      </c>
      <c r="D298" s="4" t="n">
        <v>45657</v>
      </c>
      <c r="E298" t="n">
        <v>40</v>
      </c>
      <c r="F298" t="inlineStr">
        <is>
          <t>Active</t>
        </is>
      </c>
      <c r="G298" t="inlineStr">
        <is>
          <t>Instagram</t>
        </is>
      </c>
      <c r="H298">
        <f>TEXT(C298,"mmm-yyyy")</f>
        <v/>
      </c>
      <c r="I298">
        <f>TEXT(D298,"mmm-yyyy")</f>
        <v/>
      </c>
      <c r="J298">
        <f>_xlfn.XLOOKUP(tbl_subscription[[#This Row],[Customer_ID]],tbl_clint[Customer_ID],tbl_clint[Country])</f>
        <v/>
      </c>
      <c r="K298">
        <f>_xlfn.XLOOKUP(tbl_subscription[[#This Row],[Customer_ID]],tbl_clint[[#This Row],[Customer_ID]],tbl_clint[[#This Row],[Industry]])</f>
        <v/>
      </c>
      <c r="L298">
        <f>_xlfn.XLOOKUP(tbl_subscription[[#This Row],[Customer_ID]],tbl_clint[[#This Row],[Customer_ID]],tbl_clint[[#This Row],[Company_Size]])</f>
        <v/>
      </c>
      <c r="M298">
        <f>YEAR(tbl_subscription[[#This Row],[Start_Date]])</f>
        <v/>
      </c>
    </row>
    <row r="299">
      <c r="A299" t="inlineStr">
        <is>
          <t>C0298</t>
        </is>
      </c>
      <c r="B299" t="inlineStr">
        <is>
          <t>Basic</t>
        </is>
      </c>
      <c r="C299" s="4" t="n">
        <v>43973</v>
      </c>
      <c r="D299" s="4" t="n">
        <v>45657</v>
      </c>
      <c r="E299" t="n">
        <v>15</v>
      </c>
      <c r="F299" t="inlineStr">
        <is>
          <t>Active</t>
        </is>
      </c>
      <c r="G299" t="inlineStr">
        <is>
          <t>Instagram</t>
        </is>
      </c>
      <c r="H299">
        <f>TEXT(C299,"mmm-yyyy")</f>
        <v/>
      </c>
      <c r="I299">
        <f>TEXT(D299,"mmm-yyyy")</f>
        <v/>
      </c>
      <c r="J299">
        <f>_xlfn.XLOOKUP(tbl_subscription[[#This Row],[Customer_ID]],tbl_clint[Customer_ID],tbl_clint[Country])</f>
        <v/>
      </c>
      <c r="K299">
        <f>_xlfn.XLOOKUP(tbl_subscription[[#This Row],[Customer_ID]],tbl_clint[[#This Row],[Customer_ID]],tbl_clint[[#This Row],[Industry]])</f>
        <v/>
      </c>
      <c r="L299">
        <f>_xlfn.XLOOKUP(tbl_subscription[[#This Row],[Customer_ID]],tbl_clint[[#This Row],[Customer_ID]],tbl_clint[[#This Row],[Company_Size]])</f>
        <v/>
      </c>
      <c r="M299">
        <f>YEAR(tbl_subscription[[#This Row],[Start_Date]])</f>
        <v/>
      </c>
    </row>
    <row r="300">
      <c r="A300" t="inlineStr">
        <is>
          <t>C0299</t>
        </is>
      </c>
      <c r="B300" t="inlineStr">
        <is>
          <t>Standard</t>
        </is>
      </c>
      <c r="C300" s="4" t="n">
        <v>44161</v>
      </c>
      <c r="D300" s="4" t="n">
        <v>44761</v>
      </c>
      <c r="E300" t="n">
        <v>25</v>
      </c>
      <c r="F300" t="inlineStr">
        <is>
          <t>Churned</t>
        </is>
      </c>
      <c r="G300" t="inlineStr">
        <is>
          <t>Google</t>
        </is>
      </c>
      <c r="H300">
        <f>TEXT(C300,"mmm-yyyy")</f>
        <v/>
      </c>
      <c r="I300">
        <f>TEXT(D300,"mmm-yyyy")</f>
        <v/>
      </c>
      <c r="J300">
        <f>_xlfn.XLOOKUP(tbl_subscription[[#This Row],[Customer_ID]],tbl_clint[Customer_ID],tbl_clint[Country])</f>
        <v/>
      </c>
      <c r="K300">
        <f>_xlfn.XLOOKUP(tbl_subscription[[#This Row],[Customer_ID]],tbl_clint[[#This Row],[Customer_ID]],tbl_clint[[#This Row],[Industry]])</f>
        <v/>
      </c>
      <c r="L300">
        <f>_xlfn.XLOOKUP(tbl_subscription[[#This Row],[Customer_ID]],tbl_clint[[#This Row],[Customer_ID]],tbl_clint[[#This Row],[Company_Size]])</f>
        <v/>
      </c>
      <c r="M300">
        <f>YEAR(tbl_subscription[[#This Row],[Start_Date]])</f>
        <v/>
      </c>
    </row>
    <row r="301">
      <c r="A301" t="inlineStr">
        <is>
          <t>C0300</t>
        </is>
      </c>
      <c r="B301" t="inlineStr">
        <is>
          <t>Standard</t>
        </is>
      </c>
      <c r="C301" s="4" t="n">
        <v>44007</v>
      </c>
      <c r="D301" s="4" t="n">
        <v>44727</v>
      </c>
      <c r="E301" t="n">
        <v>25</v>
      </c>
      <c r="F301" t="inlineStr">
        <is>
          <t>Churned</t>
        </is>
      </c>
      <c r="G301" t="inlineStr">
        <is>
          <t>LinkedIn</t>
        </is>
      </c>
      <c r="H301">
        <f>TEXT(C301,"mmm-yyyy")</f>
        <v/>
      </c>
      <c r="I301">
        <f>TEXT(D301,"mmm-yyyy")</f>
        <v/>
      </c>
      <c r="J301">
        <f>_xlfn.XLOOKUP(tbl_subscription[[#This Row],[Customer_ID]],tbl_clint[Customer_ID],tbl_clint[Country])</f>
        <v/>
      </c>
      <c r="K301">
        <f>_xlfn.XLOOKUP(tbl_subscription[[#This Row],[Customer_ID]],tbl_clint[[#This Row],[Customer_ID]],tbl_clint[[#This Row],[Industry]])</f>
        <v/>
      </c>
      <c r="L301">
        <f>_xlfn.XLOOKUP(tbl_subscription[[#This Row],[Customer_ID]],tbl_clint[[#This Row],[Customer_ID]],tbl_clint[[#This Row],[Company_Size]])</f>
        <v/>
      </c>
      <c r="M301">
        <f>YEAR(tbl_subscription[[#This Row],[Start_Date]])</f>
        <v/>
      </c>
    </row>
    <row r="302">
      <c r="A302" t="inlineStr">
        <is>
          <t>C0301</t>
        </is>
      </c>
      <c r="B302" t="inlineStr">
        <is>
          <t>Basic</t>
        </is>
      </c>
      <c r="C302" s="4" t="n">
        <v>44088</v>
      </c>
      <c r="D302" s="4" t="n">
        <v>45657</v>
      </c>
      <c r="E302" t="n">
        <v>15</v>
      </c>
      <c r="F302" t="inlineStr">
        <is>
          <t>Active</t>
        </is>
      </c>
      <c r="G302" t="inlineStr">
        <is>
          <t>LinkedIn</t>
        </is>
      </c>
      <c r="H302">
        <f>TEXT(C302,"mmm-yyyy")</f>
        <v/>
      </c>
      <c r="I302">
        <f>TEXT(D302,"mmm-yyyy")</f>
        <v/>
      </c>
      <c r="J302">
        <f>_xlfn.XLOOKUP(tbl_subscription[[#This Row],[Customer_ID]],tbl_clint[Customer_ID],tbl_clint[Country])</f>
        <v/>
      </c>
      <c r="K302">
        <f>_xlfn.XLOOKUP(tbl_subscription[[#This Row],[Customer_ID]],tbl_clint[[#This Row],[Customer_ID]],tbl_clint[[#This Row],[Industry]])</f>
        <v/>
      </c>
      <c r="L302">
        <f>_xlfn.XLOOKUP(tbl_subscription[[#This Row],[Customer_ID]],tbl_clint[[#This Row],[Customer_ID]],tbl_clint[[#This Row],[Company_Size]])</f>
        <v/>
      </c>
      <c r="M302">
        <f>YEAR(tbl_subscription[[#This Row],[Start_Date]])</f>
        <v/>
      </c>
    </row>
    <row r="303">
      <c r="A303" t="inlineStr">
        <is>
          <t>C0302</t>
        </is>
      </c>
      <c r="B303" t="inlineStr">
        <is>
          <t>Basic</t>
        </is>
      </c>
      <c r="C303" s="4" t="n">
        <v>44289</v>
      </c>
      <c r="D303" s="4" t="n">
        <v>45657</v>
      </c>
      <c r="E303" t="n">
        <v>15</v>
      </c>
      <c r="F303" t="inlineStr">
        <is>
          <t>Active</t>
        </is>
      </c>
      <c r="G303" t="inlineStr">
        <is>
          <t>Facebook</t>
        </is>
      </c>
      <c r="H303">
        <f>TEXT(C303,"mmm-yyyy")</f>
        <v/>
      </c>
      <c r="I303">
        <f>TEXT(D303,"mmm-yyyy")</f>
        <v/>
      </c>
      <c r="J303">
        <f>_xlfn.XLOOKUP(tbl_subscription[[#This Row],[Customer_ID]],tbl_clint[Customer_ID],tbl_clint[Country])</f>
        <v/>
      </c>
      <c r="K303">
        <f>_xlfn.XLOOKUP(tbl_subscription[[#This Row],[Customer_ID]],tbl_clint[[#This Row],[Customer_ID]],tbl_clint[[#This Row],[Industry]])</f>
        <v/>
      </c>
      <c r="L303">
        <f>_xlfn.XLOOKUP(tbl_subscription[[#This Row],[Customer_ID]],tbl_clint[[#This Row],[Customer_ID]],tbl_clint[[#This Row],[Company_Size]])</f>
        <v/>
      </c>
      <c r="M303">
        <f>YEAR(tbl_subscription[[#This Row],[Start_Date]])</f>
        <v/>
      </c>
    </row>
    <row r="304">
      <c r="A304" t="inlineStr">
        <is>
          <t>C0303</t>
        </is>
      </c>
      <c r="B304" t="inlineStr">
        <is>
          <t>Premium</t>
        </is>
      </c>
      <c r="C304" s="4" t="n">
        <v>45378</v>
      </c>
      <c r="D304" s="4" t="n">
        <v>45657</v>
      </c>
      <c r="E304" t="n">
        <v>40</v>
      </c>
      <c r="F304" t="inlineStr">
        <is>
          <t>Active</t>
        </is>
      </c>
      <c r="G304" t="inlineStr">
        <is>
          <t>Google</t>
        </is>
      </c>
      <c r="H304">
        <f>TEXT(C304,"mmm-yyyy")</f>
        <v/>
      </c>
      <c r="I304">
        <f>TEXT(D304,"mmm-yyyy")</f>
        <v/>
      </c>
      <c r="J304">
        <f>_xlfn.XLOOKUP(tbl_subscription[[#This Row],[Customer_ID]],tbl_clint[Customer_ID],tbl_clint[Country])</f>
        <v/>
      </c>
      <c r="K304">
        <f>_xlfn.XLOOKUP(tbl_subscription[[#This Row],[Customer_ID]],tbl_clint[[#This Row],[Customer_ID]],tbl_clint[[#This Row],[Industry]])</f>
        <v/>
      </c>
      <c r="L304">
        <f>_xlfn.XLOOKUP(tbl_subscription[[#This Row],[Customer_ID]],tbl_clint[[#This Row],[Customer_ID]],tbl_clint[[#This Row],[Company_Size]])</f>
        <v/>
      </c>
      <c r="M304">
        <f>YEAR(tbl_subscription[[#This Row],[Start_Date]])</f>
        <v/>
      </c>
    </row>
    <row r="305">
      <c r="A305" t="inlineStr">
        <is>
          <t>C0304</t>
        </is>
      </c>
      <c r="B305" t="inlineStr">
        <is>
          <t>Standard</t>
        </is>
      </c>
      <c r="C305" s="4" t="n">
        <v>44371</v>
      </c>
      <c r="D305" s="4" t="n">
        <v>45657</v>
      </c>
      <c r="E305" t="n">
        <v>25</v>
      </c>
      <c r="F305" t="inlineStr">
        <is>
          <t>Active</t>
        </is>
      </c>
      <c r="G305" t="inlineStr">
        <is>
          <t>Facebook</t>
        </is>
      </c>
      <c r="H305">
        <f>TEXT(C305,"mmm-yyyy")</f>
        <v/>
      </c>
      <c r="I305">
        <f>TEXT(D305,"mmm-yyyy")</f>
        <v/>
      </c>
      <c r="J305">
        <f>_xlfn.XLOOKUP(tbl_subscription[[#This Row],[Customer_ID]],tbl_clint[Customer_ID],tbl_clint[Country])</f>
        <v/>
      </c>
      <c r="K305">
        <f>_xlfn.XLOOKUP(tbl_subscription[[#This Row],[Customer_ID]],tbl_clint[[#This Row],[Customer_ID]],tbl_clint[[#This Row],[Industry]])</f>
        <v/>
      </c>
      <c r="L305">
        <f>_xlfn.XLOOKUP(tbl_subscription[[#This Row],[Customer_ID]],tbl_clint[[#This Row],[Customer_ID]],tbl_clint[[#This Row],[Company_Size]])</f>
        <v/>
      </c>
      <c r="M305">
        <f>YEAR(tbl_subscription[[#This Row],[Start_Date]])</f>
        <v/>
      </c>
    </row>
    <row r="306">
      <c r="A306" t="inlineStr">
        <is>
          <t>C0305</t>
        </is>
      </c>
      <c r="B306" t="inlineStr">
        <is>
          <t>Standard</t>
        </is>
      </c>
      <c r="C306" s="4" t="n">
        <v>44998</v>
      </c>
      <c r="D306" s="4" t="n">
        <v>45657</v>
      </c>
      <c r="E306" t="n">
        <v>25</v>
      </c>
      <c r="F306" t="inlineStr">
        <is>
          <t>Active</t>
        </is>
      </c>
      <c r="G306" t="inlineStr">
        <is>
          <t>LinkedIn</t>
        </is>
      </c>
      <c r="H306">
        <f>TEXT(C306,"mmm-yyyy")</f>
        <v/>
      </c>
      <c r="I306">
        <f>TEXT(D306,"mmm-yyyy")</f>
        <v/>
      </c>
      <c r="J306">
        <f>_xlfn.XLOOKUP(tbl_subscription[[#This Row],[Customer_ID]],tbl_clint[Customer_ID],tbl_clint[Country])</f>
        <v/>
      </c>
      <c r="K306">
        <f>_xlfn.XLOOKUP(tbl_subscription[[#This Row],[Customer_ID]],tbl_clint[[#This Row],[Customer_ID]],tbl_clint[[#This Row],[Industry]])</f>
        <v/>
      </c>
      <c r="L306">
        <f>_xlfn.XLOOKUP(tbl_subscription[[#This Row],[Customer_ID]],tbl_clint[[#This Row],[Customer_ID]],tbl_clint[[#This Row],[Company_Size]])</f>
        <v/>
      </c>
      <c r="M306">
        <f>YEAR(tbl_subscription[[#This Row],[Start_Date]])</f>
        <v/>
      </c>
    </row>
    <row r="307">
      <c r="A307" t="inlineStr">
        <is>
          <t>C0306</t>
        </is>
      </c>
      <c r="B307" t="inlineStr">
        <is>
          <t>Premium</t>
        </is>
      </c>
      <c r="C307" s="4" t="n">
        <v>43910</v>
      </c>
      <c r="D307" s="4" t="n">
        <v>45657</v>
      </c>
      <c r="E307" t="n">
        <v>40</v>
      </c>
      <c r="F307" t="inlineStr">
        <is>
          <t>Active</t>
        </is>
      </c>
      <c r="G307" t="inlineStr">
        <is>
          <t>Referral</t>
        </is>
      </c>
      <c r="H307">
        <f>TEXT(C307,"mmm-yyyy")</f>
        <v/>
      </c>
      <c r="I307">
        <f>TEXT(D307,"mmm-yyyy")</f>
        <v/>
      </c>
      <c r="J307">
        <f>_xlfn.XLOOKUP(tbl_subscription[[#This Row],[Customer_ID]],tbl_clint[Customer_ID],tbl_clint[Country])</f>
        <v/>
      </c>
      <c r="K307">
        <f>_xlfn.XLOOKUP(tbl_subscription[[#This Row],[Customer_ID]],tbl_clint[[#This Row],[Customer_ID]],tbl_clint[[#This Row],[Industry]])</f>
        <v/>
      </c>
      <c r="L307">
        <f>_xlfn.XLOOKUP(tbl_subscription[[#This Row],[Customer_ID]],tbl_clint[[#This Row],[Customer_ID]],tbl_clint[[#This Row],[Company_Size]])</f>
        <v/>
      </c>
      <c r="M307">
        <f>YEAR(tbl_subscription[[#This Row],[Start_Date]])</f>
        <v/>
      </c>
    </row>
    <row r="308">
      <c r="A308" t="inlineStr">
        <is>
          <t>C0307</t>
        </is>
      </c>
      <c r="B308" t="inlineStr">
        <is>
          <t>Premium</t>
        </is>
      </c>
      <c r="C308" s="4" t="n">
        <v>44263</v>
      </c>
      <c r="D308" s="4" t="n">
        <v>44903</v>
      </c>
      <c r="E308" t="n">
        <v>40</v>
      </c>
      <c r="F308" t="inlineStr">
        <is>
          <t>Churned</t>
        </is>
      </c>
      <c r="G308" t="inlineStr">
        <is>
          <t>Google</t>
        </is>
      </c>
      <c r="H308">
        <f>TEXT(C308,"mmm-yyyy")</f>
        <v/>
      </c>
      <c r="I308">
        <f>TEXT(D308,"mmm-yyyy")</f>
        <v/>
      </c>
      <c r="J308">
        <f>_xlfn.XLOOKUP(tbl_subscription[[#This Row],[Customer_ID]],tbl_clint[Customer_ID],tbl_clint[Country])</f>
        <v/>
      </c>
      <c r="K308">
        <f>_xlfn.XLOOKUP(tbl_subscription[[#This Row],[Customer_ID]],tbl_clint[[#This Row],[Customer_ID]],tbl_clint[[#This Row],[Industry]])</f>
        <v/>
      </c>
      <c r="L308">
        <f>_xlfn.XLOOKUP(tbl_subscription[[#This Row],[Customer_ID]],tbl_clint[[#This Row],[Customer_ID]],tbl_clint[[#This Row],[Company_Size]])</f>
        <v/>
      </c>
      <c r="M308">
        <f>YEAR(tbl_subscription[[#This Row],[Start_Date]])</f>
        <v/>
      </c>
    </row>
    <row r="309">
      <c r="A309" t="inlineStr">
        <is>
          <t>C0308</t>
        </is>
      </c>
      <c r="B309" t="inlineStr">
        <is>
          <t>Premium</t>
        </is>
      </c>
      <c r="C309" s="4" t="n">
        <v>44892</v>
      </c>
      <c r="D309" s="4" t="n">
        <v>45657</v>
      </c>
      <c r="E309" t="n">
        <v>40</v>
      </c>
      <c r="F309" t="inlineStr">
        <is>
          <t>Active</t>
        </is>
      </c>
      <c r="G309" t="inlineStr">
        <is>
          <t>Facebook</t>
        </is>
      </c>
      <c r="H309">
        <f>TEXT(C309,"mmm-yyyy")</f>
        <v/>
      </c>
      <c r="I309">
        <f>TEXT(D309,"mmm-yyyy")</f>
        <v/>
      </c>
      <c r="J309">
        <f>_xlfn.XLOOKUP(tbl_subscription[[#This Row],[Customer_ID]],tbl_clint[Customer_ID],tbl_clint[Country])</f>
        <v/>
      </c>
      <c r="K309">
        <f>_xlfn.XLOOKUP(tbl_subscription[[#This Row],[Customer_ID]],tbl_clint[[#This Row],[Customer_ID]],tbl_clint[[#This Row],[Industry]])</f>
        <v/>
      </c>
      <c r="L309">
        <f>_xlfn.XLOOKUP(tbl_subscription[[#This Row],[Customer_ID]],tbl_clint[[#This Row],[Customer_ID]],tbl_clint[[#This Row],[Company_Size]])</f>
        <v/>
      </c>
      <c r="M309">
        <f>YEAR(tbl_subscription[[#This Row],[Start_Date]])</f>
        <v/>
      </c>
    </row>
    <row r="310">
      <c r="A310" t="inlineStr">
        <is>
          <t>C0309</t>
        </is>
      </c>
      <c r="B310" t="inlineStr">
        <is>
          <t>Basic</t>
        </is>
      </c>
      <c r="C310" s="4" t="n">
        <v>45440</v>
      </c>
      <c r="D310" s="4" t="n">
        <v>45657</v>
      </c>
      <c r="E310" t="n">
        <v>15</v>
      </c>
      <c r="F310" t="inlineStr">
        <is>
          <t>Active</t>
        </is>
      </c>
      <c r="G310" t="inlineStr">
        <is>
          <t>Referral</t>
        </is>
      </c>
      <c r="H310">
        <f>TEXT(C310,"mmm-yyyy")</f>
        <v/>
      </c>
      <c r="I310">
        <f>TEXT(D310,"mmm-yyyy")</f>
        <v/>
      </c>
      <c r="J310">
        <f>_xlfn.XLOOKUP(tbl_subscription[[#This Row],[Customer_ID]],tbl_clint[Customer_ID],tbl_clint[Country])</f>
        <v/>
      </c>
      <c r="K310">
        <f>_xlfn.XLOOKUP(tbl_subscription[[#This Row],[Customer_ID]],tbl_clint[[#This Row],[Customer_ID]],tbl_clint[[#This Row],[Industry]])</f>
        <v/>
      </c>
      <c r="L310">
        <f>_xlfn.XLOOKUP(tbl_subscription[[#This Row],[Customer_ID]],tbl_clint[[#This Row],[Customer_ID]],tbl_clint[[#This Row],[Company_Size]])</f>
        <v/>
      </c>
      <c r="M310">
        <f>YEAR(tbl_subscription[[#This Row],[Start_Date]])</f>
        <v/>
      </c>
    </row>
    <row r="311">
      <c r="A311" t="inlineStr">
        <is>
          <t>C0310</t>
        </is>
      </c>
      <c r="B311" t="inlineStr">
        <is>
          <t>Basic</t>
        </is>
      </c>
      <c r="C311" s="4" t="n">
        <v>44574</v>
      </c>
      <c r="D311" s="4" t="n">
        <v>45657</v>
      </c>
      <c r="E311" t="n">
        <v>15</v>
      </c>
      <c r="F311" t="inlineStr">
        <is>
          <t>Active</t>
        </is>
      </c>
      <c r="G311" t="inlineStr">
        <is>
          <t>Facebook</t>
        </is>
      </c>
      <c r="H311">
        <f>TEXT(C311,"mmm-yyyy")</f>
        <v/>
      </c>
      <c r="I311">
        <f>TEXT(D311,"mmm-yyyy")</f>
        <v/>
      </c>
      <c r="J311">
        <f>_xlfn.XLOOKUP(tbl_subscription[[#This Row],[Customer_ID]],tbl_clint[Customer_ID],tbl_clint[Country])</f>
        <v/>
      </c>
      <c r="K311">
        <f>_xlfn.XLOOKUP(tbl_subscription[[#This Row],[Customer_ID]],tbl_clint[[#This Row],[Customer_ID]],tbl_clint[[#This Row],[Industry]])</f>
        <v/>
      </c>
      <c r="L311">
        <f>_xlfn.XLOOKUP(tbl_subscription[[#This Row],[Customer_ID]],tbl_clint[[#This Row],[Customer_ID]],tbl_clint[[#This Row],[Company_Size]])</f>
        <v/>
      </c>
      <c r="M311">
        <f>YEAR(tbl_subscription[[#This Row],[Start_Date]])</f>
        <v/>
      </c>
    </row>
    <row r="312">
      <c r="A312" t="inlineStr">
        <is>
          <t>C0311</t>
        </is>
      </c>
      <c r="B312" t="inlineStr">
        <is>
          <t>Standard</t>
        </is>
      </c>
      <c r="C312" s="4" t="n">
        <v>45062</v>
      </c>
      <c r="D312" s="4" t="n">
        <v>45657</v>
      </c>
      <c r="E312" t="n">
        <v>25</v>
      </c>
      <c r="F312" t="inlineStr">
        <is>
          <t>Active</t>
        </is>
      </c>
      <c r="G312" t="inlineStr">
        <is>
          <t>Referral</t>
        </is>
      </c>
      <c r="H312">
        <f>TEXT(C312,"mmm-yyyy")</f>
        <v/>
      </c>
      <c r="I312">
        <f>TEXT(D312,"mmm-yyyy")</f>
        <v/>
      </c>
      <c r="J312">
        <f>_xlfn.XLOOKUP(tbl_subscription[[#This Row],[Customer_ID]],tbl_clint[Customer_ID],tbl_clint[Country])</f>
        <v/>
      </c>
      <c r="K312">
        <f>_xlfn.XLOOKUP(tbl_subscription[[#This Row],[Customer_ID]],tbl_clint[[#This Row],[Customer_ID]],tbl_clint[[#This Row],[Industry]])</f>
        <v/>
      </c>
      <c r="L312">
        <f>_xlfn.XLOOKUP(tbl_subscription[[#This Row],[Customer_ID]],tbl_clint[[#This Row],[Customer_ID]],tbl_clint[[#This Row],[Company_Size]])</f>
        <v/>
      </c>
      <c r="M312">
        <f>YEAR(tbl_subscription[[#This Row],[Start_Date]])</f>
        <v/>
      </c>
    </row>
    <row r="313">
      <c r="A313" t="inlineStr">
        <is>
          <t>C0312</t>
        </is>
      </c>
      <c r="B313" t="inlineStr">
        <is>
          <t>Basic</t>
        </is>
      </c>
      <c r="C313" s="4" t="n">
        <v>44212</v>
      </c>
      <c r="D313" s="4" t="n">
        <v>45657</v>
      </c>
      <c r="E313" t="n">
        <v>15</v>
      </c>
      <c r="F313" t="inlineStr">
        <is>
          <t>Active</t>
        </is>
      </c>
      <c r="G313" t="inlineStr">
        <is>
          <t>Instagram</t>
        </is>
      </c>
      <c r="H313">
        <f>TEXT(C313,"mmm-yyyy")</f>
        <v/>
      </c>
      <c r="I313">
        <f>TEXT(D313,"mmm-yyyy")</f>
        <v/>
      </c>
      <c r="J313">
        <f>_xlfn.XLOOKUP(tbl_subscription[[#This Row],[Customer_ID]],tbl_clint[Customer_ID],tbl_clint[Country])</f>
        <v/>
      </c>
      <c r="K313">
        <f>_xlfn.XLOOKUP(tbl_subscription[[#This Row],[Customer_ID]],tbl_clint[[#This Row],[Customer_ID]],tbl_clint[[#This Row],[Industry]])</f>
        <v/>
      </c>
      <c r="L313">
        <f>_xlfn.XLOOKUP(tbl_subscription[[#This Row],[Customer_ID]],tbl_clint[[#This Row],[Customer_ID]],tbl_clint[[#This Row],[Company_Size]])</f>
        <v/>
      </c>
      <c r="M313">
        <f>YEAR(tbl_subscription[[#This Row],[Start_Date]])</f>
        <v/>
      </c>
    </row>
    <row r="314">
      <c r="A314" t="inlineStr">
        <is>
          <t>C0313</t>
        </is>
      </c>
      <c r="B314" t="inlineStr">
        <is>
          <t>Premium</t>
        </is>
      </c>
      <c r="C314" s="4" t="n">
        <v>44347</v>
      </c>
      <c r="D314" s="4" t="n">
        <v>45657</v>
      </c>
      <c r="E314" t="n">
        <v>40</v>
      </c>
      <c r="F314" t="inlineStr">
        <is>
          <t>Active</t>
        </is>
      </c>
      <c r="G314" t="inlineStr">
        <is>
          <t>Google</t>
        </is>
      </c>
      <c r="H314">
        <f>TEXT(C314,"mmm-yyyy")</f>
        <v/>
      </c>
      <c r="I314">
        <f>TEXT(D314,"mmm-yyyy")</f>
        <v/>
      </c>
      <c r="J314">
        <f>_xlfn.XLOOKUP(tbl_subscription[[#This Row],[Customer_ID]],tbl_clint[Customer_ID],tbl_clint[Country])</f>
        <v/>
      </c>
      <c r="K314">
        <f>_xlfn.XLOOKUP(tbl_subscription[[#This Row],[Customer_ID]],tbl_clint[[#This Row],[Customer_ID]],tbl_clint[[#This Row],[Industry]])</f>
        <v/>
      </c>
      <c r="L314">
        <f>_xlfn.XLOOKUP(tbl_subscription[[#This Row],[Customer_ID]],tbl_clint[[#This Row],[Customer_ID]],tbl_clint[[#This Row],[Company_Size]])</f>
        <v/>
      </c>
      <c r="M314">
        <f>YEAR(tbl_subscription[[#This Row],[Start_Date]])</f>
        <v/>
      </c>
    </row>
    <row r="315">
      <c r="A315" t="inlineStr">
        <is>
          <t>C0314</t>
        </is>
      </c>
      <c r="B315" t="inlineStr">
        <is>
          <t>Basic</t>
        </is>
      </c>
      <c r="C315" s="4" t="n">
        <v>45340</v>
      </c>
      <c r="D315" s="4" t="n">
        <v>45657</v>
      </c>
      <c r="E315" t="n">
        <v>15</v>
      </c>
      <c r="F315" t="inlineStr">
        <is>
          <t>Active</t>
        </is>
      </c>
      <c r="G315" t="inlineStr">
        <is>
          <t>Facebook</t>
        </is>
      </c>
      <c r="H315">
        <f>TEXT(C315,"mmm-yyyy")</f>
        <v/>
      </c>
      <c r="I315">
        <f>TEXT(D315,"mmm-yyyy")</f>
        <v/>
      </c>
      <c r="J315">
        <f>_xlfn.XLOOKUP(tbl_subscription[[#This Row],[Customer_ID]],tbl_clint[Customer_ID],tbl_clint[Country])</f>
        <v/>
      </c>
      <c r="K315">
        <f>_xlfn.XLOOKUP(tbl_subscription[[#This Row],[Customer_ID]],tbl_clint[[#This Row],[Customer_ID]],tbl_clint[[#This Row],[Industry]])</f>
        <v/>
      </c>
      <c r="L315">
        <f>_xlfn.XLOOKUP(tbl_subscription[[#This Row],[Customer_ID]],tbl_clint[[#This Row],[Customer_ID]],tbl_clint[[#This Row],[Company_Size]])</f>
        <v/>
      </c>
      <c r="M315">
        <f>YEAR(tbl_subscription[[#This Row],[Start_Date]])</f>
        <v/>
      </c>
    </row>
    <row r="316">
      <c r="A316" t="inlineStr">
        <is>
          <t>C0315</t>
        </is>
      </c>
      <c r="B316" t="inlineStr">
        <is>
          <t>Basic</t>
        </is>
      </c>
      <c r="C316" s="4" t="n">
        <v>43859</v>
      </c>
      <c r="D316" s="4" t="n">
        <v>45657</v>
      </c>
      <c r="E316" t="n">
        <v>15</v>
      </c>
      <c r="F316" t="inlineStr">
        <is>
          <t>Active</t>
        </is>
      </c>
      <c r="G316" t="inlineStr">
        <is>
          <t>Instagram</t>
        </is>
      </c>
      <c r="H316">
        <f>TEXT(C316,"mmm-yyyy")</f>
        <v/>
      </c>
      <c r="I316">
        <f>TEXT(D316,"mmm-yyyy")</f>
        <v/>
      </c>
      <c r="J316">
        <f>_xlfn.XLOOKUP(tbl_subscription[[#This Row],[Customer_ID]],tbl_clint[Customer_ID],tbl_clint[Country])</f>
        <v/>
      </c>
      <c r="K316">
        <f>_xlfn.XLOOKUP(tbl_subscription[[#This Row],[Customer_ID]],tbl_clint[[#This Row],[Customer_ID]],tbl_clint[[#This Row],[Industry]])</f>
        <v/>
      </c>
      <c r="L316">
        <f>_xlfn.XLOOKUP(tbl_subscription[[#This Row],[Customer_ID]],tbl_clint[[#This Row],[Customer_ID]],tbl_clint[[#This Row],[Company_Size]])</f>
        <v/>
      </c>
      <c r="M316">
        <f>YEAR(tbl_subscription[[#This Row],[Start_Date]])</f>
        <v/>
      </c>
    </row>
    <row r="317">
      <c r="A317" t="inlineStr">
        <is>
          <t>C0316</t>
        </is>
      </c>
      <c r="B317" t="inlineStr">
        <is>
          <t>Premium</t>
        </is>
      </c>
      <c r="C317" s="4" t="n">
        <v>44223</v>
      </c>
      <c r="D317" s="4" t="n">
        <v>44679</v>
      </c>
      <c r="E317" t="n">
        <v>40</v>
      </c>
      <c r="F317" t="inlineStr">
        <is>
          <t>Churned</t>
        </is>
      </c>
      <c r="G317" t="inlineStr">
        <is>
          <t>Google</t>
        </is>
      </c>
      <c r="H317">
        <f>TEXT(C317,"mmm-yyyy")</f>
        <v/>
      </c>
      <c r="I317">
        <f>TEXT(D317,"mmm-yyyy")</f>
        <v/>
      </c>
      <c r="J317">
        <f>_xlfn.XLOOKUP(tbl_subscription[[#This Row],[Customer_ID]],tbl_clint[Customer_ID],tbl_clint[Country])</f>
        <v/>
      </c>
      <c r="K317">
        <f>_xlfn.XLOOKUP(tbl_subscription[[#This Row],[Customer_ID]],tbl_clint[[#This Row],[Customer_ID]],tbl_clint[[#This Row],[Industry]])</f>
        <v/>
      </c>
      <c r="L317">
        <f>_xlfn.XLOOKUP(tbl_subscription[[#This Row],[Customer_ID]],tbl_clint[[#This Row],[Customer_ID]],tbl_clint[[#This Row],[Company_Size]])</f>
        <v/>
      </c>
      <c r="M317">
        <f>YEAR(tbl_subscription[[#This Row],[Start_Date]])</f>
        <v/>
      </c>
    </row>
    <row r="318">
      <c r="A318" t="inlineStr">
        <is>
          <t>C0317</t>
        </is>
      </c>
      <c r="B318" t="inlineStr">
        <is>
          <t>Standard</t>
        </is>
      </c>
      <c r="C318" s="4" t="n">
        <v>43876</v>
      </c>
      <c r="D318" s="4" t="n">
        <v>45657</v>
      </c>
      <c r="E318" t="n">
        <v>25</v>
      </c>
      <c r="F318" t="inlineStr">
        <is>
          <t>Active</t>
        </is>
      </c>
      <c r="G318" t="inlineStr">
        <is>
          <t>LinkedIn</t>
        </is>
      </c>
      <c r="H318">
        <f>TEXT(C318,"mmm-yyyy")</f>
        <v/>
      </c>
      <c r="I318">
        <f>TEXT(D318,"mmm-yyyy")</f>
        <v/>
      </c>
      <c r="J318">
        <f>_xlfn.XLOOKUP(tbl_subscription[[#This Row],[Customer_ID]],tbl_clint[Customer_ID],tbl_clint[Country])</f>
        <v/>
      </c>
      <c r="K318">
        <f>_xlfn.XLOOKUP(tbl_subscription[[#This Row],[Customer_ID]],tbl_clint[[#This Row],[Customer_ID]],tbl_clint[[#This Row],[Industry]])</f>
        <v/>
      </c>
      <c r="L318">
        <f>_xlfn.XLOOKUP(tbl_subscription[[#This Row],[Customer_ID]],tbl_clint[[#This Row],[Customer_ID]],tbl_clint[[#This Row],[Company_Size]])</f>
        <v/>
      </c>
      <c r="M318">
        <f>YEAR(tbl_subscription[[#This Row],[Start_Date]])</f>
        <v/>
      </c>
    </row>
    <row r="319">
      <c r="A319" t="inlineStr">
        <is>
          <t>C0318</t>
        </is>
      </c>
      <c r="B319" t="inlineStr">
        <is>
          <t>Basic</t>
        </is>
      </c>
      <c r="C319" s="4" t="n">
        <v>45341</v>
      </c>
      <c r="D319" s="4" t="n">
        <v>45657</v>
      </c>
      <c r="E319" t="n">
        <v>15</v>
      </c>
      <c r="F319" t="inlineStr">
        <is>
          <t>Active</t>
        </is>
      </c>
      <c r="G319" t="inlineStr">
        <is>
          <t>Facebook</t>
        </is>
      </c>
      <c r="H319">
        <f>TEXT(C319,"mmm-yyyy")</f>
        <v/>
      </c>
      <c r="I319">
        <f>TEXT(D319,"mmm-yyyy")</f>
        <v/>
      </c>
      <c r="J319">
        <f>_xlfn.XLOOKUP(tbl_subscription[[#This Row],[Customer_ID]],tbl_clint[Customer_ID],tbl_clint[Country])</f>
        <v/>
      </c>
      <c r="K319">
        <f>_xlfn.XLOOKUP(tbl_subscription[[#This Row],[Customer_ID]],tbl_clint[[#This Row],[Customer_ID]],tbl_clint[[#This Row],[Industry]])</f>
        <v/>
      </c>
      <c r="L319">
        <f>_xlfn.XLOOKUP(tbl_subscription[[#This Row],[Customer_ID]],tbl_clint[[#This Row],[Customer_ID]],tbl_clint[[#This Row],[Company_Size]])</f>
        <v/>
      </c>
      <c r="M319">
        <f>YEAR(tbl_subscription[[#This Row],[Start_Date]])</f>
        <v/>
      </c>
    </row>
    <row r="320">
      <c r="A320" t="inlineStr">
        <is>
          <t>C0319</t>
        </is>
      </c>
      <c r="B320" t="inlineStr">
        <is>
          <t>Premium</t>
        </is>
      </c>
      <c r="C320" s="4" t="n">
        <v>43846</v>
      </c>
      <c r="D320" s="4" t="n">
        <v>45657</v>
      </c>
      <c r="E320" t="n">
        <v>40</v>
      </c>
      <c r="F320" t="inlineStr">
        <is>
          <t>Active</t>
        </is>
      </c>
      <c r="G320" t="inlineStr">
        <is>
          <t>Google</t>
        </is>
      </c>
      <c r="H320">
        <f>TEXT(C320,"mmm-yyyy")</f>
        <v/>
      </c>
      <c r="I320">
        <f>TEXT(D320,"mmm-yyyy")</f>
        <v/>
      </c>
      <c r="J320">
        <f>_xlfn.XLOOKUP(tbl_subscription[[#This Row],[Customer_ID]],tbl_clint[Customer_ID],tbl_clint[Country])</f>
        <v/>
      </c>
      <c r="K320">
        <f>_xlfn.XLOOKUP(tbl_subscription[[#This Row],[Customer_ID]],tbl_clint[[#This Row],[Customer_ID]],tbl_clint[[#This Row],[Industry]])</f>
        <v/>
      </c>
      <c r="L320">
        <f>_xlfn.XLOOKUP(tbl_subscription[[#This Row],[Customer_ID]],tbl_clint[[#This Row],[Customer_ID]],tbl_clint[[#This Row],[Company_Size]])</f>
        <v/>
      </c>
      <c r="M320">
        <f>YEAR(tbl_subscription[[#This Row],[Start_Date]])</f>
        <v/>
      </c>
    </row>
    <row r="321">
      <c r="A321" t="inlineStr">
        <is>
          <t>C0320</t>
        </is>
      </c>
      <c r="B321" t="inlineStr">
        <is>
          <t>Premium</t>
        </is>
      </c>
      <c r="C321" s="4" t="n">
        <v>44995</v>
      </c>
      <c r="D321" s="4" t="n">
        <v>45657</v>
      </c>
      <c r="E321" t="n">
        <v>40</v>
      </c>
      <c r="F321" t="inlineStr">
        <is>
          <t>Active</t>
        </is>
      </c>
      <c r="G321" t="inlineStr">
        <is>
          <t>LinkedIn</t>
        </is>
      </c>
      <c r="H321">
        <f>TEXT(C321,"mmm-yyyy")</f>
        <v/>
      </c>
      <c r="I321">
        <f>TEXT(D321,"mmm-yyyy")</f>
        <v/>
      </c>
      <c r="J321">
        <f>_xlfn.XLOOKUP(tbl_subscription[[#This Row],[Customer_ID]],tbl_clint[Customer_ID],tbl_clint[Country])</f>
        <v/>
      </c>
      <c r="K321">
        <f>_xlfn.XLOOKUP(tbl_subscription[[#This Row],[Customer_ID]],tbl_clint[[#This Row],[Customer_ID]],tbl_clint[[#This Row],[Industry]])</f>
        <v/>
      </c>
      <c r="L321">
        <f>_xlfn.XLOOKUP(tbl_subscription[[#This Row],[Customer_ID]],tbl_clint[[#This Row],[Customer_ID]],tbl_clint[[#This Row],[Company_Size]])</f>
        <v/>
      </c>
      <c r="M321">
        <f>YEAR(tbl_subscription[[#This Row],[Start_Date]])</f>
        <v/>
      </c>
    </row>
    <row r="322">
      <c r="A322" t="inlineStr">
        <is>
          <t>C0321</t>
        </is>
      </c>
      <c r="B322" t="inlineStr">
        <is>
          <t>Basic</t>
        </is>
      </c>
      <c r="C322" s="4" t="n">
        <v>45339</v>
      </c>
      <c r="D322" s="4" t="n">
        <v>45657</v>
      </c>
      <c r="E322" t="n">
        <v>15</v>
      </c>
      <c r="F322" t="inlineStr">
        <is>
          <t>Active</t>
        </is>
      </c>
      <c r="G322" t="inlineStr">
        <is>
          <t>Google</t>
        </is>
      </c>
      <c r="H322">
        <f>TEXT(C322,"mmm-yyyy")</f>
        <v/>
      </c>
      <c r="I322">
        <f>TEXT(D322,"mmm-yyyy")</f>
        <v/>
      </c>
      <c r="J322">
        <f>_xlfn.XLOOKUP(tbl_subscription[[#This Row],[Customer_ID]],tbl_clint[Customer_ID],tbl_clint[Country])</f>
        <v/>
      </c>
      <c r="K322">
        <f>_xlfn.XLOOKUP(tbl_subscription[[#This Row],[Customer_ID]],tbl_clint[[#This Row],[Customer_ID]],tbl_clint[[#This Row],[Industry]])</f>
        <v/>
      </c>
      <c r="L322">
        <f>_xlfn.XLOOKUP(tbl_subscription[[#This Row],[Customer_ID]],tbl_clint[[#This Row],[Customer_ID]],tbl_clint[[#This Row],[Company_Size]])</f>
        <v/>
      </c>
      <c r="M322">
        <f>YEAR(tbl_subscription[[#This Row],[Start_Date]])</f>
        <v/>
      </c>
    </row>
    <row r="323">
      <c r="A323" t="inlineStr">
        <is>
          <t>C0322</t>
        </is>
      </c>
      <c r="B323" t="inlineStr">
        <is>
          <t>Standard</t>
        </is>
      </c>
      <c r="C323" s="4" t="n">
        <v>44162</v>
      </c>
      <c r="D323" s="4" t="n">
        <v>45657</v>
      </c>
      <c r="E323" t="n">
        <v>25</v>
      </c>
      <c r="F323" t="inlineStr">
        <is>
          <t>Active</t>
        </is>
      </c>
      <c r="G323" t="inlineStr">
        <is>
          <t>Instagram</t>
        </is>
      </c>
      <c r="H323">
        <f>TEXT(C323,"mmm-yyyy")</f>
        <v/>
      </c>
      <c r="I323">
        <f>TEXT(D323,"mmm-yyyy")</f>
        <v/>
      </c>
      <c r="J323">
        <f>_xlfn.XLOOKUP(tbl_subscription[[#This Row],[Customer_ID]],tbl_clint[Customer_ID],tbl_clint[Country])</f>
        <v/>
      </c>
      <c r="K323">
        <f>_xlfn.XLOOKUP(tbl_subscription[[#This Row],[Customer_ID]],tbl_clint[[#This Row],[Customer_ID]],tbl_clint[[#This Row],[Industry]])</f>
        <v/>
      </c>
      <c r="L323">
        <f>_xlfn.XLOOKUP(tbl_subscription[[#This Row],[Customer_ID]],tbl_clint[[#This Row],[Customer_ID]],tbl_clint[[#This Row],[Company_Size]])</f>
        <v/>
      </c>
      <c r="M323">
        <f>YEAR(tbl_subscription[[#This Row],[Start_Date]])</f>
        <v/>
      </c>
    </row>
    <row r="324">
      <c r="A324" t="inlineStr">
        <is>
          <t>C0323</t>
        </is>
      </c>
      <c r="B324" t="inlineStr">
        <is>
          <t>Basic</t>
        </is>
      </c>
      <c r="C324" s="4" t="n">
        <v>44258</v>
      </c>
      <c r="D324" s="4" t="n">
        <v>44363</v>
      </c>
      <c r="E324" t="n">
        <v>15</v>
      </c>
      <c r="F324" t="inlineStr">
        <is>
          <t>Churned</t>
        </is>
      </c>
      <c r="G324" t="inlineStr">
        <is>
          <t>Google</t>
        </is>
      </c>
      <c r="H324">
        <f>TEXT(C324,"mmm-yyyy")</f>
        <v/>
      </c>
      <c r="I324">
        <f>TEXT(D324,"mmm-yyyy")</f>
        <v/>
      </c>
      <c r="J324">
        <f>_xlfn.XLOOKUP(tbl_subscription[[#This Row],[Customer_ID]],tbl_clint[Customer_ID],tbl_clint[Country])</f>
        <v/>
      </c>
      <c r="K324">
        <f>_xlfn.XLOOKUP(tbl_subscription[[#This Row],[Customer_ID]],tbl_clint[[#This Row],[Customer_ID]],tbl_clint[[#This Row],[Industry]])</f>
        <v/>
      </c>
      <c r="L324">
        <f>_xlfn.XLOOKUP(tbl_subscription[[#This Row],[Customer_ID]],tbl_clint[[#This Row],[Customer_ID]],tbl_clint[[#This Row],[Company_Size]])</f>
        <v/>
      </c>
      <c r="M324">
        <f>YEAR(tbl_subscription[[#This Row],[Start_Date]])</f>
        <v/>
      </c>
    </row>
    <row r="325">
      <c r="A325" t="inlineStr">
        <is>
          <t>C0324</t>
        </is>
      </c>
      <c r="B325" t="inlineStr">
        <is>
          <t>Standard</t>
        </is>
      </c>
      <c r="C325" s="4" t="n">
        <v>44344</v>
      </c>
      <c r="D325" s="4" t="n">
        <v>45657</v>
      </c>
      <c r="E325" t="n">
        <v>25</v>
      </c>
      <c r="F325" t="inlineStr">
        <is>
          <t>Active</t>
        </is>
      </c>
      <c r="G325" t="inlineStr">
        <is>
          <t>LinkedIn</t>
        </is>
      </c>
      <c r="H325">
        <f>TEXT(C325,"mmm-yyyy")</f>
        <v/>
      </c>
      <c r="I325">
        <f>TEXT(D325,"mmm-yyyy")</f>
        <v/>
      </c>
      <c r="J325">
        <f>_xlfn.XLOOKUP(tbl_subscription[[#This Row],[Customer_ID]],tbl_clint[Customer_ID],tbl_clint[Country])</f>
        <v/>
      </c>
      <c r="K325">
        <f>_xlfn.XLOOKUP(tbl_subscription[[#This Row],[Customer_ID]],tbl_clint[[#This Row],[Customer_ID]],tbl_clint[[#This Row],[Industry]])</f>
        <v/>
      </c>
      <c r="L325">
        <f>_xlfn.XLOOKUP(tbl_subscription[[#This Row],[Customer_ID]],tbl_clint[[#This Row],[Customer_ID]],tbl_clint[[#This Row],[Company_Size]])</f>
        <v/>
      </c>
      <c r="M325">
        <f>YEAR(tbl_subscription[[#This Row],[Start_Date]])</f>
        <v/>
      </c>
    </row>
    <row r="326">
      <c r="A326" t="inlineStr">
        <is>
          <t>C0325</t>
        </is>
      </c>
      <c r="B326" t="inlineStr">
        <is>
          <t>Basic</t>
        </is>
      </c>
      <c r="C326" s="4" t="n">
        <v>44575</v>
      </c>
      <c r="D326" s="4" t="n">
        <v>45228</v>
      </c>
      <c r="E326" t="n">
        <v>15</v>
      </c>
      <c r="F326" t="inlineStr">
        <is>
          <t>Churned</t>
        </is>
      </c>
      <c r="G326" t="inlineStr">
        <is>
          <t>Instagram</t>
        </is>
      </c>
      <c r="H326">
        <f>TEXT(C326,"mmm-yyyy")</f>
        <v/>
      </c>
      <c r="I326">
        <f>TEXT(D326,"mmm-yyyy")</f>
        <v/>
      </c>
      <c r="J326">
        <f>_xlfn.XLOOKUP(tbl_subscription[[#This Row],[Customer_ID]],tbl_clint[Customer_ID],tbl_clint[Country])</f>
        <v/>
      </c>
      <c r="K326">
        <f>_xlfn.XLOOKUP(tbl_subscription[[#This Row],[Customer_ID]],tbl_clint[[#This Row],[Customer_ID]],tbl_clint[[#This Row],[Industry]])</f>
        <v/>
      </c>
      <c r="L326">
        <f>_xlfn.XLOOKUP(tbl_subscription[[#This Row],[Customer_ID]],tbl_clint[[#This Row],[Customer_ID]],tbl_clint[[#This Row],[Company_Size]])</f>
        <v/>
      </c>
      <c r="M326">
        <f>YEAR(tbl_subscription[[#This Row],[Start_Date]])</f>
        <v/>
      </c>
    </row>
    <row r="327">
      <c r="A327" t="inlineStr">
        <is>
          <t>C0326</t>
        </is>
      </c>
      <c r="B327" t="inlineStr">
        <is>
          <t>Standard</t>
        </is>
      </c>
      <c r="C327" s="4" t="n">
        <v>44360</v>
      </c>
      <c r="D327" s="4" t="n">
        <v>45657</v>
      </c>
      <c r="E327" t="n">
        <v>25</v>
      </c>
      <c r="F327" t="inlineStr">
        <is>
          <t>Active</t>
        </is>
      </c>
      <c r="G327" t="inlineStr">
        <is>
          <t>Facebook</t>
        </is>
      </c>
      <c r="H327">
        <f>TEXT(C327,"mmm-yyyy")</f>
        <v/>
      </c>
      <c r="I327">
        <f>TEXT(D327,"mmm-yyyy")</f>
        <v/>
      </c>
      <c r="J327">
        <f>_xlfn.XLOOKUP(tbl_subscription[[#This Row],[Customer_ID]],tbl_clint[Customer_ID],tbl_clint[Country])</f>
        <v/>
      </c>
      <c r="K327">
        <f>_xlfn.XLOOKUP(tbl_subscription[[#This Row],[Customer_ID]],tbl_clint[[#This Row],[Customer_ID]],tbl_clint[[#This Row],[Industry]])</f>
        <v/>
      </c>
      <c r="L327">
        <f>_xlfn.XLOOKUP(tbl_subscription[[#This Row],[Customer_ID]],tbl_clint[[#This Row],[Customer_ID]],tbl_clint[[#This Row],[Company_Size]])</f>
        <v/>
      </c>
      <c r="M327">
        <f>YEAR(tbl_subscription[[#This Row],[Start_Date]])</f>
        <v/>
      </c>
    </row>
    <row r="328">
      <c r="A328" t="inlineStr">
        <is>
          <t>C0327</t>
        </is>
      </c>
      <c r="B328" t="inlineStr">
        <is>
          <t>Basic</t>
        </is>
      </c>
      <c r="C328" s="4" t="n">
        <v>44587</v>
      </c>
      <c r="D328" s="4" t="n">
        <v>45657</v>
      </c>
      <c r="E328" t="n">
        <v>15</v>
      </c>
      <c r="F328" t="inlineStr">
        <is>
          <t>Active</t>
        </is>
      </c>
      <c r="G328" t="inlineStr">
        <is>
          <t>Referral</t>
        </is>
      </c>
      <c r="H328">
        <f>TEXT(C328,"mmm-yyyy")</f>
        <v/>
      </c>
      <c r="I328">
        <f>TEXT(D328,"mmm-yyyy")</f>
        <v/>
      </c>
      <c r="J328">
        <f>_xlfn.XLOOKUP(tbl_subscription[[#This Row],[Customer_ID]],tbl_clint[Customer_ID],tbl_clint[Country])</f>
        <v/>
      </c>
      <c r="K328">
        <f>_xlfn.XLOOKUP(tbl_subscription[[#This Row],[Customer_ID]],tbl_clint[[#This Row],[Customer_ID]],tbl_clint[[#This Row],[Industry]])</f>
        <v/>
      </c>
      <c r="L328">
        <f>_xlfn.XLOOKUP(tbl_subscription[[#This Row],[Customer_ID]],tbl_clint[[#This Row],[Customer_ID]],tbl_clint[[#This Row],[Company_Size]])</f>
        <v/>
      </c>
      <c r="M328">
        <f>YEAR(tbl_subscription[[#This Row],[Start_Date]])</f>
        <v/>
      </c>
    </row>
    <row r="329">
      <c r="A329" t="inlineStr">
        <is>
          <t>C0328</t>
        </is>
      </c>
      <c r="B329" t="inlineStr">
        <is>
          <t>Basic</t>
        </is>
      </c>
      <c r="C329" s="4" t="n">
        <v>44087</v>
      </c>
      <c r="D329" s="4" t="n">
        <v>45657</v>
      </c>
      <c r="E329" t="n">
        <v>15</v>
      </c>
      <c r="F329" t="inlineStr">
        <is>
          <t>Active</t>
        </is>
      </c>
      <c r="G329" t="inlineStr">
        <is>
          <t>Google</t>
        </is>
      </c>
      <c r="H329">
        <f>TEXT(C329,"mmm-yyyy")</f>
        <v/>
      </c>
      <c r="I329">
        <f>TEXT(D329,"mmm-yyyy")</f>
        <v/>
      </c>
      <c r="J329">
        <f>_xlfn.XLOOKUP(tbl_subscription[[#This Row],[Customer_ID]],tbl_clint[Customer_ID],tbl_clint[Country])</f>
        <v/>
      </c>
      <c r="K329">
        <f>_xlfn.XLOOKUP(tbl_subscription[[#This Row],[Customer_ID]],tbl_clint[[#This Row],[Customer_ID]],tbl_clint[[#This Row],[Industry]])</f>
        <v/>
      </c>
      <c r="L329">
        <f>_xlfn.XLOOKUP(tbl_subscription[[#This Row],[Customer_ID]],tbl_clint[[#This Row],[Customer_ID]],tbl_clint[[#This Row],[Company_Size]])</f>
        <v/>
      </c>
      <c r="M329">
        <f>YEAR(tbl_subscription[[#This Row],[Start_Date]])</f>
        <v/>
      </c>
    </row>
    <row r="330">
      <c r="A330" t="inlineStr">
        <is>
          <t>C0329</t>
        </is>
      </c>
      <c r="B330" t="inlineStr">
        <is>
          <t>Premium</t>
        </is>
      </c>
      <c r="C330" s="4" t="n">
        <v>45338</v>
      </c>
      <c r="D330" s="4" t="n">
        <v>45657</v>
      </c>
      <c r="E330" t="n">
        <v>40</v>
      </c>
      <c r="F330" t="inlineStr">
        <is>
          <t>Churned</t>
        </is>
      </c>
      <c r="G330" t="inlineStr">
        <is>
          <t>Referral</t>
        </is>
      </c>
      <c r="H330">
        <f>TEXT(C330,"mmm-yyyy")</f>
        <v/>
      </c>
      <c r="I330">
        <f>TEXT(D330,"mmm-yyyy")</f>
        <v/>
      </c>
      <c r="J330">
        <f>_xlfn.XLOOKUP(tbl_subscription[[#This Row],[Customer_ID]],tbl_clint[Customer_ID],tbl_clint[Country])</f>
        <v/>
      </c>
      <c r="K330">
        <f>_xlfn.XLOOKUP(tbl_subscription[[#This Row],[Customer_ID]],tbl_clint[[#This Row],[Customer_ID]],tbl_clint[[#This Row],[Industry]])</f>
        <v/>
      </c>
      <c r="L330">
        <f>_xlfn.XLOOKUP(tbl_subscription[[#This Row],[Customer_ID]],tbl_clint[[#This Row],[Customer_ID]],tbl_clint[[#This Row],[Company_Size]])</f>
        <v/>
      </c>
      <c r="M330">
        <f>YEAR(tbl_subscription[[#This Row],[Start_Date]])</f>
        <v/>
      </c>
    </row>
    <row r="331">
      <c r="A331" t="inlineStr">
        <is>
          <t>C0330</t>
        </is>
      </c>
      <c r="B331" t="inlineStr">
        <is>
          <t>Premium</t>
        </is>
      </c>
      <c r="C331" s="4" t="n">
        <v>44662</v>
      </c>
      <c r="D331" s="4" t="n">
        <v>45657</v>
      </c>
      <c r="E331" t="n">
        <v>40</v>
      </c>
      <c r="F331" t="inlineStr">
        <is>
          <t>Active</t>
        </is>
      </c>
      <c r="G331" t="inlineStr">
        <is>
          <t>Instagram</t>
        </is>
      </c>
      <c r="H331">
        <f>TEXT(C331,"mmm-yyyy")</f>
        <v/>
      </c>
      <c r="I331">
        <f>TEXT(D331,"mmm-yyyy")</f>
        <v/>
      </c>
      <c r="J331">
        <f>_xlfn.XLOOKUP(tbl_subscription[[#This Row],[Customer_ID]],tbl_clint[Customer_ID],tbl_clint[Country])</f>
        <v/>
      </c>
      <c r="K331">
        <f>_xlfn.XLOOKUP(tbl_subscription[[#This Row],[Customer_ID]],tbl_clint[[#This Row],[Customer_ID]],tbl_clint[[#This Row],[Industry]])</f>
        <v/>
      </c>
      <c r="L331">
        <f>_xlfn.XLOOKUP(tbl_subscription[[#This Row],[Customer_ID]],tbl_clint[[#This Row],[Customer_ID]],tbl_clint[[#This Row],[Company_Size]])</f>
        <v/>
      </c>
      <c r="M331">
        <f>YEAR(tbl_subscription[[#This Row],[Start_Date]])</f>
        <v/>
      </c>
    </row>
    <row r="332">
      <c r="A332" t="inlineStr">
        <is>
          <t>C0331</t>
        </is>
      </c>
      <c r="B332" t="inlineStr">
        <is>
          <t>Basic</t>
        </is>
      </c>
      <c r="C332" s="4" t="n">
        <v>44283</v>
      </c>
      <c r="D332" s="4" t="n">
        <v>45657</v>
      </c>
      <c r="E332" t="n">
        <v>15</v>
      </c>
      <c r="F332" t="inlineStr">
        <is>
          <t>Active</t>
        </is>
      </c>
      <c r="G332" t="inlineStr">
        <is>
          <t>Facebook</t>
        </is>
      </c>
      <c r="H332">
        <f>TEXT(C332,"mmm-yyyy")</f>
        <v/>
      </c>
      <c r="I332">
        <f>TEXT(D332,"mmm-yyyy")</f>
        <v/>
      </c>
      <c r="J332">
        <f>_xlfn.XLOOKUP(tbl_subscription[[#This Row],[Customer_ID]],tbl_clint[Customer_ID],tbl_clint[Country])</f>
        <v/>
      </c>
      <c r="K332">
        <f>_xlfn.XLOOKUP(tbl_subscription[[#This Row],[Customer_ID]],tbl_clint[[#This Row],[Customer_ID]],tbl_clint[[#This Row],[Industry]])</f>
        <v/>
      </c>
      <c r="L332">
        <f>_xlfn.XLOOKUP(tbl_subscription[[#This Row],[Customer_ID]],tbl_clint[[#This Row],[Customer_ID]],tbl_clint[[#This Row],[Company_Size]])</f>
        <v/>
      </c>
      <c r="M332">
        <f>YEAR(tbl_subscription[[#This Row],[Start_Date]])</f>
        <v/>
      </c>
    </row>
    <row r="333">
      <c r="A333" t="inlineStr">
        <is>
          <t>C0332</t>
        </is>
      </c>
      <c r="B333" t="inlineStr">
        <is>
          <t>Premium</t>
        </is>
      </c>
      <c r="C333" s="4" t="n">
        <v>44811</v>
      </c>
      <c r="D333" s="4" t="n">
        <v>45529</v>
      </c>
      <c r="E333" t="n">
        <v>40</v>
      </c>
      <c r="F333" t="inlineStr">
        <is>
          <t>Churned</t>
        </is>
      </c>
      <c r="G333" t="inlineStr">
        <is>
          <t>LinkedIn</t>
        </is>
      </c>
      <c r="H333">
        <f>TEXT(C333,"mmm-yyyy")</f>
        <v/>
      </c>
      <c r="I333">
        <f>TEXT(D333,"mmm-yyyy")</f>
        <v/>
      </c>
      <c r="J333">
        <f>_xlfn.XLOOKUP(tbl_subscription[[#This Row],[Customer_ID]],tbl_clint[Customer_ID],tbl_clint[Country])</f>
        <v/>
      </c>
      <c r="K333">
        <f>_xlfn.XLOOKUP(tbl_subscription[[#This Row],[Customer_ID]],tbl_clint[[#This Row],[Customer_ID]],tbl_clint[[#This Row],[Industry]])</f>
        <v/>
      </c>
      <c r="L333">
        <f>_xlfn.XLOOKUP(tbl_subscription[[#This Row],[Customer_ID]],tbl_clint[[#This Row],[Customer_ID]],tbl_clint[[#This Row],[Company_Size]])</f>
        <v/>
      </c>
      <c r="M333">
        <f>YEAR(tbl_subscription[[#This Row],[Start_Date]])</f>
        <v/>
      </c>
    </row>
    <row r="334">
      <c r="A334" t="inlineStr">
        <is>
          <t>C0333</t>
        </is>
      </c>
      <c r="B334" t="inlineStr">
        <is>
          <t>Standard</t>
        </is>
      </c>
      <c r="C334" s="4" t="n">
        <v>44114</v>
      </c>
      <c r="D334" s="4" t="n">
        <v>45657</v>
      </c>
      <c r="E334" t="n">
        <v>25</v>
      </c>
      <c r="F334" t="inlineStr">
        <is>
          <t>Active</t>
        </is>
      </c>
      <c r="G334" t="inlineStr">
        <is>
          <t>Google</t>
        </is>
      </c>
      <c r="H334">
        <f>TEXT(C334,"mmm-yyyy")</f>
        <v/>
      </c>
      <c r="I334">
        <f>TEXT(D334,"mmm-yyyy")</f>
        <v/>
      </c>
      <c r="J334">
        <f>_xlfn.XLOOKUP(tbl_subscription[[#This Row],[Customer_ID]],tbl_clint[Customer_ID],tbl_clint[Country])</f>
        <v/>
      </c>
      <c r="K334">
        <f>_xlfn.XLOOKUP(tbl_subscription[[#This Row],[Customer_ID]],tbl_clint[[#This Row],[Customer_ID]],tbl_clint[[#This Row],[Industry]])</f>
        <v/>
      </c>
      <c r="L334">
        <f>_xlfn.XLOOKUP(tbl_subscription[[#This Row],[Customer_ID]],tbl_clint[[#This Row],[Customer_ID]],tbl_clint[[#This Row],[Company_Size]])</f>
        <v/>
      </c>
      <c r="M334">
        <f>YEAR(tbl_subscription[[#This Row],[Start_Date]])</f>
        <v/>
      </c>
    </row>
    <row r="335">
      <c r="A335" t="inlineStr">
        <is>
          <t>C0334</t>
        </is>
      </c>
      <c r="B335" t="inlineStr">
        <is>
          <t>Basic</t>
        </is>
      </c>
      <c r="C335" s="4" t="n">
        <v>44069</v>
      </c>
      <c r="D335" s="4" t="n">
        <v>44266</v>
      </c>
      <c r="E335" t="n">
        <v>15</v>
      </c>
      <c r="F335" t="inlineStr">
        <is>
          <t>Churned</t>
        </is>
      </c>
      <c r="G335" t="inlineStr">
        <is>
          <t>Facebook</t>
        </is>
      </c>
      <c r="H335">
        <f>TEXT(C335,"mmm-yyyy")</f>
        <v/>
      </c>
      <c r="I335">
        <f>TEXT(D335,"mmm-yyyy")</f>
        <v/>
      </c>
      <c r="J335">
        <f>_xlfn.XLOOKUP(tbl_subscription[[#This Row],[Customer_ID]],tbl_clint[Customer_ID],tbl_clint[Country])</f>
        <v/>
      </c>
      <c r="K335">
        <f>_xlfn.XLOOKUP(tbl_subscription[[#This Row],[Customer_ID]],tbl_clint[[#This Row],[Customer_ID]],tbl_clint[[#This Row],[Industry]])</f>
        <v/>
      </c>
      <c r="L335">
        <f>_xlfn.XLOOKUP(tbl_subscription[[#This Row],[Customer_ID]],tbl_clint[[#This Row],[Customer_ID]],tbl_clint[[#This Row],[Company_Size]])</f>
        <v/>
      </c>
      <c r="M335">
        <f>YEAR(tbl_subscription[[#This Row],[Start_Date]])</f>
        <v/>
      </c>
    </row>
    <row r="336">
      <c r="A336" t="inlineStr">
        <is>
          <t>C0335</t>
        </is>
      </c>
      <c r="B336" t="inlineStr">
        <is>
          <t>Standard</t>
        </is>
      </c>
      <c r="C336" s="4" t="n">
        <v>45249</v>
      </c>
      <c r="D336" s="4" t="n">
        <v>45556</v>
      </c>
      <c r="E336" t="n">
        <v>25</v>
      </c>
      <c r="F336" t="inlineStr">
        <is>
          <t>Churned</t>
        </is>
      </c>
      <c r="G336" t="inlineStr">
        <is>
          <t>Instagram</t>
        </is>
      </c>
      <c r="H336">
        <f>TEXT(C336,"mmm-yyyy")</f>
        <v/>
      </c>
      <c r="I336">
        <f>TEXT(D336,"mmm-yyyy")</f>
        <v/>
      </c>
      <c r="J336">
        <f>_xlfn.XLOOKUP(tbl_subscription[[#This Row],[Customer_ID]],tbl_clint[Customer_ID],tbl_clint[Country])</f>
        <v/>
      </c>
      <c r="K336">
        <f>_xlfn.XLOOKUP(tbl_subscription[[#This Row],[Customer_ID]],tbl_clint[[#This Row],[Customer_ID]],tbl_clint[[#This Row],[Industry]])</f>
        <v/>
      </c>
      <c r="L336">
        <f>_xlfn.XLOOKUP(tbl_subscription[[#This Row],[Customer_ID]],tbl_clint[[#This Row],[Customer_ID]],tbl_clint[[#This Row],[Company_Size]])</f>
        <v/>
      </c>
      <c r="M336">
        <f>YEAR(tbl_subscription[[#This Row],[Start_Date]])</f>
        <v/>
      </c>
    </row>
    <row r="337">
      <c r="A337" t="inlineStr">
        <is>
          <t>C0336</t>
        </is>
      </c>
      <c r="B337" t="inlineStr">
        <is>
          <t>Standard</t>
        </is>
      </c>
      <c r="C337" s="4" t="n">
        <v>44515</v>
      </c>
      <c r="D337" s="4" t="n">
        <v>45657</v>
      </c>
      <c r="E337" t="n">
        <v>25</v>
      </c>
      <c r="F337" t="inlineStr">
        <is>
          <t>Active</t>
        </is>
      </c>
      <c r="G337" t="inlineStr">
        <is>
          <t>Instagram</t>
        </is>
      </c>
      <c r="H337">
        <f>TEXT(C337,"mmm-yyyy")</f>
        <v/>
      </c>
      <c r="I337">
        <f>TEXT(D337,"mmm-yyyy")</f>
        <v/>
      </c>
      <c r="J337">
        <f>_xlfn.XLOOKUP(tbl_subscription[[#This Row],[Customer_ID]],tbl_clint[Customer_ID],tbl_clint[Country])</f>
        <v/>
      </c>
      <c r="K337">
        <f>_xlfn.XLOOKUP(tbl_subscription[[#This Row],[Customer_ID]],tbl_clint[[#This Row],[Customer_ID]],tbl_clint[[#This Row],[Industry]])</f>
        <v/>
      </c>
      <c r="L337">
        <f>_xlfn.XLOOKUP(tbl_subscription[[#This Row],[Customer_ID]],tbl_clint[[#This Row],[Customer_ID]],tbl_clint[[#This Row],[Company_Size]])</f>
        <v/>
      </c>
      <c r="M337">
        <f>YEAR(tbl_subscription[[#This Row],[Start_Date]])</f>
        <v/>
      </c>
    </row>
    <row r="338">
      <c r="A338" t="inlineStr">
        <is>
          <t>C0337</t>
        </is>
      </c>
      <c r="B338" t="inlineStr">
        <is>
          <t>Basic</t>
        </is>
      </c>
      <c r="C338" s="4" t="n">
        <v>45214</v>
      </c>
      <c r="D338" s="4" t="n">
        <v>45657</v>
      </c>
      <c r="E338" t="n">
        <v>15</v>
      </c>
      <c r="F338" t="inlineStr">
        <is>
          <t>Active</t>
        </is>
      </c>
      <c r="G338" t="inlineStr">
        <is>
          <t>LinkedIn</t>
        </is>
      </c>
      <c r="H338">
        <f>TEXT(C338,"mmm-yyyy")</f>
        <v/>
      </c>
      <c r="I338">
        <f>TEXT(D338,"mmm-yyyy")</f>
        <v/>
      </c>
      <c r="J338">
        <f>_xlfn.XLOOKUP(tbl_subscription[[#This Row],[Customer_ID]],tbl_clint[Customer_ID],tbl_clint[Country])</f>
        <v/>
      </c>
      <c r="K338">
        <f>_xlfn.XLOOKUP(tbl_subscription[[#This Row],[Customer_ID]],tbl_clint[[#This Row],[Customer_ID]],tbl_clint[[#This Row],[Industry]])</f>
        <v/>
      </c>
      <c r="L338">
        <f>_xlfn.XLOOKUP(tbl_subscription[[#This Row],[Customer_ID]],tbl_clint[[#This Row],[Customer_ID]],tbl_clint[[#This Row],[Company_Size]])</f>
        <v/>
      </c>
      <c r="M338">
        <f>YEAR(tbl_subscription[[#This Row],[Start_Date]])</f>
        <v/>
      </c>
    </row>
    <row r="339">
      <c r="A339" t="inlineStr">
        <is>
          <t>C0338</t>
        </is>
      </c>
      <c r="B339" t="inlineStr">
        <is>
          <t>Premium</t>
        </is>
      </c>
      <c r="C339" s="4" t="n">
        <v>45243</v>
      </c>
      <c r="D339" s="4" t="n">
        <v>45657</v>
      </c>
      <c r="E339" t="n">
        <v>40</v>
      </c>
      <c r="F339" t="inlineStr">
        <is>
          <t>Active</t>
        </is>
      </c>
      <c r="G339" t="inlineStr">
        <is>
          <t>Google</t>
        </is>
      </c>
      <c r="H339">
        <f>TEXT(C339,"mmm-yyyy")</f>
        <v/>
      </c>
      <c r="I339">
        <f>TEXT(D339,"mmm-yyyy")</f>
        <v/>
      </c>
      <c r="J339">
        <f>_xlfn.XLOOKUP(tbl_subscription[[#This Row],[Customer_ID]],tbl_clint[Customer_ID],tbl_clint[Country])</f>
        <v/>
      </c>
      <c r="K339">
        <f>_xlfn.XLOOKUP(tbl_subscription[[#This Row],[Customer_ID]],tbl_clint[[#This Row],[Customer_ID]],tbl_clint[[#This Row],[Industry]])</f>
        <v/>
      </c>
      <c r="L339">
        <f>_xlfn.XLOOKUP(tbl_subscription[[#This Row],[Customer_ID]],tbl_clint[[#This Row],[Customer_ID]],tbl_clint[[#This Row],[Company_Size]])</f>
        <v/>
      </c>
      <c r="M339">
        <f>YEAR(tbl_subscription[[#This Row],[Start_Date]])</f>
        <v/>
      </c>
    </row>
    <row r="340">
      <c r="A340" t="inlineStr">
        <is>
          <t>C0339</t>
        </is>
      </c>
      <c r="B340" t="inlineStr">
        <is>
          <t>Standard</t>
        </is>
      </c>
      <c r="C340" s="4" t="n">
        <v>45472</v>
      </c>
      <c r="D340" s="4" t="n">
        <v>45657</v>
      </c>
      <c r="E340" t="n">
        <v>25</v>
      </c>
      <c r="F340" t="inlineStr">
        <is>
          <t>Active</t>
        </is>
      </c>
      <c r="G340" t="inlineStr">
        <is>
          <t>LinkedIn</t>
        </is>
      </c>
      <c r="H340">
        <f>TEXT(C340,"mmm-yyyy")</f>
        <v/>
      </c>
      <c r="I340">
        <f>TEXT(D340,"mmm-yyyy")</f>
        <v/>
      </c>
      <c r="J340">
        <f>_xlfn.XLOOKUP(tbl_subscription[[#This Row],[Customer_ID]],tbl_clint[Customer_ID],tbl_clint[Country])</f>
        <v/>
      </c>
      <c r="K340">
        <f>_xlfn.XLOOKUP(tbl_subscription[[#This Row],[Customer_ID]],tbl_clint[[#This Row],[Customer_ID]],tbl_clint[[#This Row],[Industry]])</f>
        <v/>
      </c>
      <c r="L340">
        <f>_xlfn.XLOOKUP(tbl_subscription[[#This Row],[Customer_ID]],tbl_clint[[#This Row],[Customer_ID]],tbl_clint[[#This Row],[Company_Size]])</f>
        <v/>
      </c>
      <c r="M340">
        <f>YEAR(tbl_subscription[[#This Row],[Start_Date]])</f>
        <v/>
      </c>
    </row>
    <row r="341">
      <c r="A341" t="inlineStr">
        <is>
          <t>C0340</t>
        </is>
      </c>
      <c r="B341" t="inlineStr">
        <is>
          <t>Basic</t>
        </is>
      </c>
      <c r="C341" s="4" t="n">
        <v>44851</v>
      </c>
      <c r="D341" s="4" t="n">
        <v>45424</v>
      </c>
      <c r="E341" t="n">
        <v>15</v>
      </c>
      <c r="F341" t="inlineStr">
        <is>
          <t>Churned</t>
        </is>
      </c>
      <c r="G341" t="inlineStr">
        <is>
          <t>Google</t>
        </is>
      </c>
      <c r="H341">
        <f>TEXT(C341,"mmm-yyyy")</f>
        <v/>
      </c>
      <c r="I341">
        <f>TEXT(D341,"mmm-yyyy")</f>
        <v/>
      </c>
      <c r="J341">
        <f>_xlfn.XLOOKUP(tbl_subscription[[#This Row],[Customer_ID]],tbl_clint[Customer_ID],tbl_clint[Country])</f>
        <v/>
      </c>
      <c r="K341">
        <f>_xlfn.XLOOKUP(tbl_subscription[[#This Row],[Customer_ID]],tbl_clint[[#This Row],[Customer_ID]],tbl_clint[[#This Row],[Industry]])</f>
        <v/>
      </c>
      <c r="L341">
        <f>_xlfn.XLOOKUP(tbl_subscription[[#This Row],[Customer_ID]],tbl_clint[[#This Row],[Customer_ID]],tbl_clint[[#This Row],[Company_Size]])</f>
        <v/>
      </c>
      <c r="M341">
        <f>YEAR(tbl_subscription[[#This Row],[Start_Date]])</f>
        <v/>
      </c>
    </row>
    <row r="342">
      <c r="A342" t="inlineStr">
        <is>
          <t>C0341</t>
        </is>
      </c>
      <c r="B342" t="inlineStr">
        <is>
          <t>Basic</t>
        </is>
      </c>
      <c r="C342" s="4" t="n">
        <v>44783</v>
      </c>
      <c r="D342" s="4" t="n">
        <v>45657</v>
      </c>
      <c r="E342" t="n">
        <v>15</v>
      </c>
      <c r="F342" t="inlineStr">
        <is>
          <t>Active</t>
        </is>
      </c>
      <c r="G342" t="inlineStr">
        <is>
          <t>Referral</t>
        </is>
      </c>
      <c r="H342">
        <f>TEXT(C342,"mmm-yyyy")</f>
        <v/>
      </c>
      <c r="I342">
        <f>TEXT(D342,"mmm-yyyy")</f>
        <v/>
      </c>
      <c r="J342">
        <f>_xlfn.XLOOKUP(tbl_subscription[[#This Row],[Customer_ID]],tbl_clint[Customer_ID],tbl_clint[Country])</f>
        <v/>
      </c>
      <c r="K342">
        <f>_xlfn.XLOOKUP(tbl_subscription[[#This Row],[Customer_ID]],tbl_clint[[#This Row],[Customer_ID]],tbl_clint[[#This Row],[Industry]])</f>
        <v/>
      </c>
      <c r="L342">
        <f>_xlfn.XLOOKUP(tbl_subscription[[#This Row],[Customer_ID]],tbl_clint[[#This Row],[Customer_ID]],tbl_clint[[#This Row],[Company_Size]])</f>
        <v/>
      </c>
      <c r="M342">
        <f>YEAR(tbl_subscription[[#This Row],[Start_Date]])</f>
        <v/>
      </c>
    </row>
    <row r="343">
      <c r="A343" t="inlineStr">
        <is>
          <t>C0342</t>
        </is>
      </c>
      <c r="B343" t="inlineStr">
        <is>
          <t>Basic</t>
        </is>
      </c>
      <c r="C343" s="4" t="n">
        <v>44866</v>
      </c>
      <c r="D343" s="4" t="n">
        <v>45657</v>
      </c>
      <c r="E343" t="n">
        <v>15</v>
      </c>
      <c r="F343" t="inlineStr">
        <is>
          <t>Active</t>
        </is>
      </c>
      <c r="G343" t="inlineStr">
        <is>
          <t>Facebook</t>
        </is>
      </c>
      <c r="H343">
        <f>TEXT(C343,"mmm-yyyy")</f>
        <v/>
      </c>
      <c r="I343">
        <f>TEXT(D343,"mmm-yyyy")</f>
        <v/>
      </c>
      <c r="J343">
        <f>_xlfn.XLOOKUP(tbl_subscription[[#This Row],[Customer_ID]],tbl_clint[Customer_ID],tbl_clint[Country])</f>
        <v/>
      </c>
      <c r="K343">
        <f>_xlfn.XLOOKUP(tbl_subscription[[#This Row],[Customer_ID]],tbl_clint[[#This Row],[Customer_ID]],tbl_clint[[#This Row],[Industry]])</f>
        <v/>
      </c>
      <c r="L343">
        <f>_xlfn.XLOOKUP(tbl_subscription[[#This Row],[Customer_ID]],tbl_clint[[#This Row],[Customer_ID]],tbl_clint[[#This Row],[Company_Size]])</f>
        <v/>
      </c>
      <c r="M343">
        <f>YEAR(tbl_subscription[[#This Row],[Start_Date]])</f>
        <v/>
      </c>
    </row>
    <row r="344">
      <c r="A344" t="inlineStr">
        <is>
          <t>C0343</t>
        </is>
      </c>
      <c r="B344" t="inlineStr">
        <is>
          <t>Basic</t>
        </is>
      </c>
      <c r="C344" s="4" t="n">
        <v>44518</v>
      </c>
      <c r="D344" s="4" t="n">
        <v>44583</v>
      </c>
      <c r="E344" t="n">
        <v>15</v>
      </c>
      <c r="F344" t="inlineStr">
        <is>
          <t>Churned</t>
        </is>
      </c>
      <c r="G344" t="inlineStr">
        <is>
          <t>Google</t>
        </is>
      </c>
      <c r="H344">
        <f>TEXT(C344,"mmm-yyyy")</f>
        <v/>
      </c>
      <c r="I344">
        <f>TEXT(D344,"mmm-yyyy")</f>
        <v/>
      </c>
      <c r="J344">
        <f>_xlfn.XLOOKUP(tbl_subscription[[#This Row],[Customer_ID]],tbl_clint[Customer_ID],tbl_clint[Country])</f>
        <v/>
      </c>
      <c r="K344">
        <f>_xlfn.XLOOKUP(tbl_subscription[[#This Row],[Customer_ID]],tbl_clint[[#This Row],[Customer_ID]],tbl_clint[[#This Row],[Industry]])</f>
        <v/>
      </c>
      <c r="L344">
        <f>_xlfn.XLOOKUP(tbl_subscription[[#This Row],[Customer_ID]],tbl_clint[[#This Row],[Customer_ID]],tbl_clint[[#This Row],[Company_Size]])</f>
        <v/>
      </c>
      <c r="M344">
        <f>YEAR(tbl_subscription[[#This Row],[Start_Date]])</f>
        <v/>
      </c>
    </row>
    <row r="345">
      <c r="A345" t="inlineStr">
        <is>
          <t>C0344</t>
        </is>
      </c>
      <c r="B345" t="inlineStr">
        <is>
          <t>Basic</t>
        </is>
      </c>
      <c r="C345" s="4" t="n">
        <v>44392</v>
      </c>
      <c r="D345" s="4" t="n">
        <v>44751</v>
      </c>
      <c r="E345" t="n">
        <v>15</v>
      </c>
      <c r="F345" t="inlineStr">
        <is>
          <t>Churned</t>
        </is>
      </c>
      <c r="G345" t="inlineStr">
        <is>
          <t>LinkedIn</t>
        </is>
      </c>
      <c r="H345">
        <f>TEXT(C345,"mmm-yyyy")</f>
        <v/>
      </c>
      <c r="I345">
        <f>TEXT(D345,"mmm-yyyy")</f>
        <v/>
      </c>
      <c r="J345">
        <f>_xlfn.XLOOKUP(tbl_subscription[[#This Row],[Customer_ID]],tbl_clint[Customer_ID],tbl_clint[Country])</f>
        <v/>
      </c>
      <c r="K345">
        <f>_xlfn.XLOOKUP(tbl_subscription[[#This Row],[Customer_ID]],tbl_clint[[#This Row],[Customer_ID]],tbl_clint[[#This Row],[Industry]])</f>
        <v/>
      </c>
      <c r="L345">
        <f>_xlfn.XLOOKUP(tbl_subscription[[#This Row],[Customer_ID]],tbl_clint[[#This Row],[Customer_ID]],tbl_clint[[#This Row],[Company_Size]])</f>
        <v/>
      </c>
      <c r="M345">
        <f>YEAR(tbl_subscription[[#This Row],[Start_Date]])</f>
        <v/>
      </c>
    </row>
    <row r="346">
      <c r="A346" t="inlineStr">
        <is>
          <t>C0345</t>
        </is>
      </c>
      <c r="B346" t="inlineStr">
        <is>
          <t>Basic</t>
        </is>
      </c>
      <c r="C346" s="4" t="n">
        <v>44858</v>
      </c>
      <c r="D346" s="4" t="n">
        <v>45019</v>
      </c>
      <c r="E346" t="n">
        <v>15</v>
      </c>
      <c r="F346" t="inlineStr">
        <is>
          <t>Churned</t>
        </is>
      </c>
      <c r="G346" t="inlineStr">
        <is>
          <t>Facebook</t>
        </is>
      </c>
      <c r="H346">
        <f>TEXT(C346,"mmm-yyyy")</f>
        <v/>
      </c>
      <c r="I346">
        <f>TEXT(D346,"mmm-yyyy")</f>
        <v/>
      </c>
      <c r="J346">
        <f>_xlfn.XLOOKUP(tbl_subscription[[#This Row],[Customer_ID]],tbl_clint[Customer_ID],tbl_clint[Country])</f>
        <v/>
      </c>
      <c r="K346">
        <f>_xlfn.XLOOKUP(tbl_subscription[[#This Row],[Customer_ID]],tbl_clint[[#This Row],[Customer_ID]],tbl_clint[[#This Row],[Industry]])</f>
        <v/>
      </c>
      <c r="L346">
        <f>_xlfn.XLOOKUP(tbl_subscription[[#This Row],[Customer_ID]],tbl_clint[[#This Row],[Customer_ID]],tbl_clint[[#This Row],[Company_Size]])</f>
        <v/>
      </c>
      <c r="M346">
        <f>YEAR(tbl_subscription[[#This Row],[Start_Date]])</f>
        <v/>
      </c>
    </row>
    <row r="347">
      <c r="A347" t="inlineStr">
        <is>
          <t>C0346</t>
        </is>
      </c>
      <c r="B347" t="inlineStr">
        <is>
          <t>Premium</t>
        </is>
      </c>
      <c r="C347" s="4" t="n">
        <v>44889</v>
      </c>
      <c r="D347" s="4" t="n">
        <v>45657</v>
      </c>
      <c r="E347" t="n">
        <v>40</v>
      </c>
      <c r="F347" t="inlineStr">
        <is>
          <t>Active</t>
        </is>
      </c>
      <c r="G347" t="inlineStr">
        <is>
          <t>Referral</t>
        </is>
      </c>
      <c r="H347">
        <f>TEXT(C347,"mmm-yyyy")</f>
        <v/>
      </c>
      <c r="I347">
        <f>TEXT(D347,"mmm-yyyy")</f>
        <v/>
      </c>
      <c r="J347">
        <f>_xlfn.XLOOKUP(tbl_subscription[[#This Row],[Customer_ID]],tbl_clint[Customer_ID],tbl_clint[Country])</f>
        <v/>
      </c>
      <c r="K347">
        <f>_xlfn.XLOOKUP(tbl_subscription[[#This Row],[Customer_ID]],tbl_clint[[#This Row],[Customer_ID]],tbl_clint[[#This Row],[Industry]])</f>
        <v/>
      </c>
      <c r="L347">
        <f>_xlfn.XLOOKUP(tbl_subscription[[#This Row],[Customer_ID]],tbl_clint[[#This Row],[Customer_ID]],tbl_clint[[#This Row],[Company_Size]])</f>
        <v/>
      </c>
      <c r="M347">
        <f>YEAR(tbl_subscription[[#This Row],[Start_Date]])</f>
        <v/>
      </c>
    </row>
    <row r="348">
      <c r="A348" t="inlineStr">
        <is>
          <t>C0347</t>
        </is>
      </c>
      <c r="B348" t="inlineStr">
        <is>
          <t>Standard</t>
        </is>
      </c>
      <c r="C348" s="4" t="n">
        <v>45051</v>
      </c>
      <c r="D348" s="4" t="n">
        <v>45652</v>
      </c>
      <c r="E348" t="n">
        <v>25</v>
      </c>
      <c r="F348" t="inlineStr">
        <is>
          <t>Churned</t>
        </is>
      </c>
      <c r="G348" t="inlineStr">
        <is>
          <t>LinkedIn</t>
        </is>
      </c>
      <c r="H348">
        <f>TEXT(C348,"mmm-yyyy")</f>
        <v/>
      </c>
      <c r="I348">
        <f>TEXT(D348,"mmm-yyyy")</f>
        <v/>
      </c>
      <c r="J348">
        <f>_xlfn.XLOOKUP(tbl_subscription[[#This Row],[Customer_ID]],tbl_clint[Customer_ID],tbl_clint[Country])</f>
        <v/>
      </c>
      <c r="K348">
        <f>_xlfn.XLOOKUP(tbl_subscription[[#This Row],[Customer_ID]],tbl_clint[[#This Row],[Customer_ID]],tbl_clint[[#This Row],[Industry]])</f>
        <v/>
      </c>
      <c r="L348">
        <f>_xlfn.XLOOKUP(tbl_subscription[[#This Row],[Customer_ID]],tbl_clint[[#This Row],[Customer_ID]],tbl_clint[[#This Row],[Company_Size]])</f>
        <v/>
      </c>
      <c r="M348">
        <f>YEAR(tbl_subscription[[#This Row],[Start_Date]])</f>
        <v/>
      </c>
    </row>
    <row r="349">
      <c r="A349" t="inlineStr">
        <is>
          <t>C0348</t>
        </is>
      </c>
      <c r="B349" t="inlineStr">
        <is>
          <t>Basic</t>
        </is>
      </c>
      <c r="C349" s="4" t="n">
        <v>44029</v>
      </c>
      <c r="D349" s="4" t="n">
        <v>44245</v>
      </c>
      <c r="E349" t="n">
        <v>15</v>
      </c>
      <c r="F349" t="inlineStr">
        <is>
          <t>Churned</t>
        </is>
      </c>
      <c r="G349" t="inlineStr">
        <is>
          <t>Instagram</t>
        </is>
      </c>
      <c r="H349">
        <f>TEXT(C349,"mmm-yyyy")</f>
        <v/>
      </c>
      <c r="I349">
        <f>TEXT(D349,"mmm-yyyy")</f>
        <v/>
      </c>
      <c r="J349">
        <f>_xlfn.XLOOKUP(tbl_subscription[[#This Row],[Customer_ID]],tbl_clint[Customer_ID],tbl_clint[Country])</f>
        <v/>
      </c>
      <c r="K349">
        <f>_xlfn.XLOOKUP(tbl_subscription[[#This Row],[Customer_ID]],tbl_clint[[#This Row],[Customer_ID]],tbl_clint[[#This Row],[Industry]])</f>
        <v/>
      </c>
      <c r="L349">
        <f>_xlfn.XLOOKUP(tbl_subscription[[#This Row],[Customer_ID]],tbl_clint[[#This Row],[Customer_ID]],tbl_clint[[#This Row],[Company_Size]])</f>
        <v/>
      </c>
      <c r="M349">
        <f>YEAR(tbl_subscription[[#This Row],[Start_Date]])</f>
        <v/>
      </c>
    </row>
    <row r="350">
      <c r="A350" t="inlineStr">
        <is>
          <t>C0349</t>
        </is>
      </c>
      <c r="B350" t="inlineStr">
        <is>
          <t>Basic</t>
        </is>
      </c>
      <c r="C350" s="4" t="n">
        <v>44535</v>
      </c>
      <c r="D350" s="4" t="n">
        <v>44652</v>
      </c>
      <c r="E350" t="n">
        <v>15</v>
      </c>
      <c r="F350" t="inlineStr">
        <is>
          <t>Churned</t>
        </is>
      </c>
      <c r="G350" t="inlineStr">
        <is>
          <t>Facebook</t>
        </is>
      </c>
      <c r="H350">
        <f>TEXT(C350,"mmm-yyyy")</f>
        <v/>
      </c>
      <c r="I350">
        <f>TEXT(D350,"mmm-yyyy")</f>
        <v/>
      </c>
      <c r="J350">
        <f>_xlfn.XLOOKUP(tbl_subscription[[#This Row],[Customer_ID]],tbl_clint[Customer_ID],tbl_clint[Country])</f>
        <v/>
      </c>
      <c r="K350">
        <f>_xlfn.XLOOKUP(tbl_subscription[[#This Row],[Customer_ID]],tbl_clint[[#This Row],[Customer_ID]],tbl_clint[[#This Row],[Industry]])</f>
        <v/>
      </c>
      <c r="L350">
        <f>_xlfn.XLOOKUP(tbl_subscription[[#This Row],[Customer_ID]],tbl_clint[[#This Row],[Customer_ID]],tbl_clint[[#This Row],[Company_Size]])</f>
        <v/>
      </c>
      <c r="M350">
        <f>YEAR(tbl_subscription[[#This Row],[Start_Date]])</f>
        <v/>
      </c>
    </row>
    <row r="351">
      <c r="A351" t="inlineStr">
        <is>
          <t>C0350</t>
        </is>
      </c>
      <c r="B351" t="inlineStr">
        <is>
          <t>Basic</t>
        </is>
      </c>
      <c r="C351" s="4" t="n">
        <v>43950</v>
      </c>
      <c r="D351" s="4" t="n">
        <v>45657</v>
      </c>
      <c r="E351" t="n">
        <v>15</v>
      </c>
      <c r="F351" t="inlineStr">
        <is>
          <t>Active</t>
        </is>
      </c>
      <c r="G351" t="inlineStr">
        <is>
          <t>LinkedIn</t>
        </is>
      </c>
      <c r="H351">
        <f>TEXT(C351,"mmm-yyyy")</f>
        <v/>
      </c>
      <c r="I351">
        <f>TEXT(D351,"mmm-yyyy")</f>
        <v/>
      </c>
      <c r="J351">
        <f>_xlfn.XLOOKUP(tbl_subscription[[#This Row],[Customer_ID]],tbl_clint[Customer_ID],tbl_clint[Country])</f>
        <v/>
      </c>
      <c r="K351">
        <f>_xlfn.XLOOKUP(tbl_subscription[[#This Row],[Customer_ID]],tbl_clint[[#This Row],[Customer_ID]],tbl_clint[[#This Row],[Industry]])</f>
        <v/>
      </c>
      <c r="L351">
        <f>_xlfn.XLOOKUP(tbl_subscription[[#This Row],[Customer_ID]],tbl_clint[[#This Row],[Customer_ID]],tbl_clint[[#This Row],[Company_Size]])</f>
        <v/>
      </c>
      <c r="M351">
        <f>YEAR(tbl_subscription[[#This Row],[Start_Date]])</f>
        <v/>
      </c>
    </row>
    <row r="352">
      <c r="A352" t="inlineStr">
        <is>
          <t>C0351</t>
        </is>
      </c>
      <c r="B352" t="inlineStr">
        <is>
          <t>Standard</t>
        </is>
      </c>
      <c r="C352" s="4" t="n">
        <v>43903</v>
      </c>
      <c r="D352" s="4" t="n">
        <v>45657</v>
      </c>
      <c r="E352" t="n">
        <v>25</v>
      </c>
      <c r="F352" t="inlineStr">
        <is>
          <t>Active</t>
        </is>
      </c>
      <c r="G352" t="inlineStr">
        <is>
          <t>Referral</t>
        </is>
      </c>
      <c r="H352">
        <f>TEXT(C352,"mmm-yyyy")</f>
        <v/>
      </c>
      <c r="I352">
        <f>TEXT(D352,"mmm-yyyy")</f>
        <v/>
      </c>
      <c r="J352">
        <f>_xlfn.XLOOKUP(tbl_subscription[[#This Row],[Customer_ID]],tbl_clint[Customer_ID],tbl_clint[Country])</f>
        <v/>
      </c>
      <c r="K352">
        <f>_xlfn.XLOOKUP(tbl_subscription[[#This Row],[Customer_ID]],tbl_clint[[#This Row],[Customer_ID]],tbl_clint[[#This Row],[Industry]])</f>
        <v/>
      </c>
      <c r="L352">
        <f>_xlfn.XLOOKUP(tbl_subscription[[#This Row],[Customer_ID]],tbl_clint[[#This Row],[Customer_ID]],tbl_clint[[#This Row],[Company_Size]])</f>
        <v/>
      </c>
      <c r="M352">
        <f>YEAR(tbl_subscription[[#This Row],[Start_Date]])</f>
        <v/>
      </c>
    </row>
    <row r="353">
      <c r="A353" t="inlineStr">
        <is>
          <t>C0352</t>
        </is>
      </c>
      <c r="B353" t="inlineStr">
        <is>
          <t>Basic</t>
        </is>
      </c>
      <c r="C353" s="4" t="n">
        <v>45090</v>
      </c>
      <c r="D353" s="4" t="n">
        <v>45657</v>
      </c>
      <c r="E353" t="n">
        <v>15</v>
      </c>
      <c r="F353" t="inlineStr">
        <is>
          <t>Active</t>
        </is>
      </c>
      <c r="G353" t="inlineStr">
        <is>
          <t>Instagram</t>
        </is>
      </c>
      <c r="H353">
        <f>TEXT(C353,"mmm-yyyy")</f>
        <v/>
      </c>
      <c r="I353">
        <f>TEXT(D353,"mmm-yyyy")</f>
        <v/>
      </c>
      <c r="J353">
        <f>_xlfn.XLOOKUP(tbl_subscription[[#This Row],[Customer_ID]],tbl_clint[Customer_ID],tbl_clint[Country])</f>
        <v/>
      </c>
      <c r="K353">
        <f>_xlfn.XLOOKUP(tbl_subscription[[#This Row],[Customer_ID]],tbl_clint[[#This Row],[Customer_ID]],tbl_clint[[#This Row],[Industry]])</f>
        <v/>
      </c>
      <c r="L353">
        <f>_xlfn.XLOOKUP(tbl_subscription[[#This Row],[Customer_ID]],tbl_clint[[#This Row],[Customer_ID]],tbl_clint[[#This Row],[Company_Size]])</f>
        <v/>
      </c>
      <c r="M353">
        <f>YEAR(tbl_subscription[[#This Row],[Start_Date]])</f>
        <v/>
      </c>
    </row>
    <row r="354">
      <c r="A354" t="inlineStr">
        <is>
          <t>C0353</t>
        </is>
      </c>
      <c r="B354" t="inlineStr">
        <is>
          <t>Premium</t>
        </is>
      </c>
      <c r="C354" s="4" t="n">
        <v>44325</v>
      </c>
      <c r="D354" s="4" t="n">
        <v>45657</v>
      </c>
      <c r="E354" t="n">
        <v>40</v>
      </c>
      <c r="F354" t="inlineStr">
        <is>
          <t>Active</t>
        </is>
      </c>
      <c r="G354" t="inlineStr">
        <is>
          <t>Google</t>
        </is>
      </c>
      <c r="H354">
        <f>TEXT(C354,"mmm-yyyy")</f>
        <v/>
      </c>
      <c r="I354">
        <f>TEXT(D354,"mmm-yyyy")</f>
        <v/>
      </c>
      <c r="J354">
        <f>_xlfn.XLOOKUP(tbl_subscription[[#This Row],[Customer_ID]],tbl_clint[Customer_ID],tbl_clint[Country])</f>
        <v/>
      </c>
      <c r="K354">
        <f>_xlfn.XLOOKUP(tbl_subscription[[#This Row],[Customer_ID]],tbl_clint[[#This Row],[Customer_ID]],tbl_clint[[#This Row],[Industry]])</f>
        <v/>
      </c>
      <c r="L354">
        <f>_xlfn.XLOOKUP(tbl_subscription[[#This Row],[Customer_ID]],tbl_clint[[#This Row],[Customer_ID]],tbl_clint[[#This Row],[Company_Size]])</f>
        <v/>
      </c>
      <c r="M354">
        <f>YEAR(tbl_subscription[[#This Row],[Start_Date]])</f>
        <v/>
      </c>
    </row>
    <row r="355">
      <c r="A355" t="inlineStr">
        <is>
          <t>C0354</t>
        </is>
      </c>
      <c r="B355" t="inlineStr">
        <is>
          <t>Premium</t>
        </is>
      </c>
      <c r="C355" s="4" t="n">
        <v>43864</v>
      </c>
      <c r="D355" s="4" t="n">
        <v>45657</v>
      </c>
      <c r="E355" t="n">
        <v>40</v>
      </c>
      <c r="F355" t="inlineStr">
        <is>
          <t>Active</t>
        </is>
      </c>
      <c r="G355" t="inlineStr">
        <is>
          <t>Instagram</t>
        </is>
      </c>
      <c r="H355">
        <f>TEXT(C355,"mmm-yyyy")</f>
        <v/>
      </c>
      <c r="I355">
        <f>TEXT(D355,"mmm-yyyy")</f>
        <v/>
      </c>
      <c r="J355">
        <f>_xlfn.XLOOKUP(tbl_subscription[[#This Row],[Customer_ID]],tbl_clint[Customer_ID],tbl_clint[Country])</f>
        <v/>
      </c>
      <c r="K355">
        <f>_xlfn.XLOOKUP(tbl_subscription[[#This Row],[Customer_ID]],tbl_clint[[#This Row],[Customer_ID]],tbl_clint[[#This Row],[Industry]])</f>
        <v/>
      </c>
      <c r="L355">
        <f>_xlfn.XLOOKUP(tbl_subscription[[#This Row],[Customer_ID]],tbl_clint[[#This Row],[Customer_ID]],tbl_clint[[#This Row],[Company_Size]])</f>
        <v/>
      </c>
      <c r="M355">
        <f>YEAR(tbl_subscription[[#This Row],[Start_Date]])</f>
        <v/>
      </c>
    </row>
    <row r="356">
      <c r="A356" t="inlineStr">
        <is>
          <t>C0355</t>
        </is>
      </c>
      <c r="B356" t="inlineStr">
        <is>
          <t>Standard</t>
        </is>
      </c>
      <c r="C356" s="4" t="n">
        <v>44911</v>
      </c>
      <c r="D356" s="4" t="n">
        <v>45587</v>
      </c>
      <c r="E356" t="n">
        <v>25</v>
      </c>
      <c r="F356" t="inlineStr">
        <is>
          <t>Churned</t>
        </is>
      </c>
      <c r="G356" t="inlineStr">
        <is>
          <t>LinkedIn</t>
        </is>
      </c>
      <c r="H356">
        <f>TEXT(C356,"mmm-yyyy")</f>
        <v/>
      </c>
      <c r="I356">
        <f>TEXT(D356,"mmm-yyyy")</f>
        <v/>
      </c>
      <c r="J356">
        <f>_xlfn.XLOOKUP(tbl_subscription[[#This Row],[Customer_ID]],tbl_clint[Customer_ID],tbl_clint[Country])</f>
        <v/>
      </c>
      <c r="K356">
        <f>_xlfn.XLOOKUP(tbl_subscription[[#This Row],[Customer_ID]],tbl_clint[[#This Row],[Customer_ID]],tbl_clint[[#This Row],[Industry]])</f>
        <v/>
      </c>
      <c r="L356">
        <f>_xlfn.XLOOKUP(tbl_subscription[[#This Row],[Customer_ID]],tbl_clint[[#This Row],[Customer_ID]],tbl_clint[[#This Row],[Company_Size]])</f>
        <v/>
      </c>
      <c r="M356">
        <f>YEAR(tbl_subscription[[#This Row],[Start_Date]])</f>
        <v/>
      </c>
    </row>
    <row r="357">
      <c r="A357" t="inlineStr">
        <is>
          <t>C0356</t>
        </is>
      </c>
      <c r="B357" t="inlineStr">
        <is>
          <t>Basic</t>
        </is>
      </c>
      <c r="C357" s="4" t="n">
        <v>44134</v>
      </c>
      <c r="D357" s="4" t="n">
        <v>44265</v>
      </c>
      <c r="E357" t="n">
        <v>15</v>
      </c>
      <c r="F357" t="inlineStr">
        <is>
          <t>Churned</t>
        </is>
      </c>
      <c r="G357" t="inlineStr">
        <is>
          <t>Instagram</t>
        </is>
      </c>
      <c r="H357">
        <f>TEXT(C357,"mmm-yyyy")</f>
        <v/>
      </c>
      <c r="I357">
        <f>TEXT(D357,"mmm-yyyy")</f>
        <v/>
      </c>
      <c r="J357">
        <f>_xlfn.XLOOKUP(tbl_subscription[[#This Row],[Customer_ID]],tbl_clint[Customer_ID],tbl_clint[Country])</f>
        <v/>
      </c>
      <c r="K357">
        <f>_xlfn.XLOOKUP(tbl_subscription[[#This Row],[Customer_ID]],tbl_clint[[#This Row],[Customer_ID]],tbl_clint[[#This Row],[Industry]])</f>
        <v/>
      </c>
      <c r="L357">
        <f>_xlfn.XLOOKUP(tbl_subscription[[#This Row],[Customer_ID]],tbl_clint[[#This Row],[Customer_ID]],tbl_clint[[#This Row],[Company_Size]])</f>
        <v/>
      </c>
      <c r="M357">
        <f>YEAR(tbl_subscription[[#This Row],[Start_Date]])</f>
        <v/>
      </c>
    </row>
    <row r="358">
      <c r="A358" t="inlineStr">
        <is>
          <t>C0357</t>
        </is>
      </c>
      <c r="B358" t="inlineStr">
        <is>
          <t>Premium</t>
        </is>
      </c>
      <c r="C358" s="4" t="n">
        <v>43960</v>
      </c>
      <c r="D358" s="4" t="n">
        <v>44346</v>
      </c>
      <c r="E358" t="n">
        <v>40</v>
      </c>
      <c r="F358" t="inlineStr">
        <is>
          <t>Churned</t>
        </is>
      </c>
      <c r="G358" t="inlineStr">
        <is>
          <t>Instagram</t>
        </is>
      </c>
      <c r="H358">
        <f>TEXT(C358,"mmm-yyyy")</f>
        <v/>
      </c>
      <c r="I358">
        <f>TEXT(D358,"mmm-yyyy")</f>
        <v/>
      </c>
      <c r="J358">
        <f>_xlfn.XLOOKUP(tbl_subscription[[#This Row],[Customer_ID]],tbl_clint[Customer_ID],tbl_clint[Country])</f>
        <v/>
      </c>
      <c r="K358">
        <f>_xlfn.XLOOKUP(tbl_subscription[[#This Row],[Customer_ID]],tbl_clint[[#This Row],[Customer_ID]],tbl_clint[[#This Row],[Industry]])</f>
        <v/>
      </c>
      <c r="L358">
        <f>_xlfn.XLOOKUP(tbl_subscription[[#This Row],[Customer_ID]],tbl_clint[[#This Row],[Customer_ID]],tbl_clint[[#This Row],[Company_Size]])</f>
        <v/>
      </c>
      <c r="M358">
        <f>YEAR(tbl_subscription[[#This Row],[Start_Date]])</f>
        <v/>
      </c>
    </row>
    <row r="359">
      <c r="A359" t="inlineStr">
        <is>
          <t>C0358</t>
        </is>
      </c>
      <c r="B359" t="inlineStr">
        <is>
          <t>Premium</t>
        </is>
      </c>
      <c r="C359" s="4" t="n">
        <v>45208</v>
      </c>
      <c r="D359" s="4" t="n">
        <v>45657</v>
      </c>
      <c r="E359" t="n">
        <v>40</v>
      </c>
      <c r="F359" t="inlineStr">
        <is>
          <t>Churned</t>
        </is>
      </c>
      <c r="G359" t="inlineStr">
        <is>
          <t>Referral</t>
        </is>
      </c>
      <c r="H359">
        <f>TEXT(C359,"mmm-yyyy")</f>
        <v/>
      </c>
      <c r="I359">
        <f>TEXT(D359,"mmm-yyyy")</f>
        <v/>
      </c>
      <c r="J359">
        <f>_xlfn.XLOOKUP(tbl_subscription[[#This Row],[Customer_ID]],tbl_clint[Customer_ID],tbl_clint[Country])</f>
        <v/>
      </c>
      <c r="K359">
        <f>_xlfn.XLOOKUP(tbl_subscription[[#This Row],[Customer_ID]],tbl_clint[[#This Row],[Customer_ID]],tbl_clint[[#This Row],[Industry]])</f>
        <v/>
      </c>
      <c r="L359">
        <f>_xlfn.XLOOKUP(tbl_subscription[[#This Row],[Customer_ID]],tbl_clint[[#This Row],[Customer_ID]],tbl_clint[[#This Row],[Company_Size]])</f>
        <v/>
      </c>
      <c r="M359">
        <f>YEAR(tbl_subscription[[#This Row],[Start_Date]])</f>
        <v/>
      </c>
    </row>
    <row r="360">
      <c r="A360" t="inlineStr">
        <is>
          <t>C0359</t>
        </is>
      </c>
      <c r="B360" t="inlineStr">
        <is>
          <t>Premium</t>
        </is>
      </c>
      <c r="C360" s="4" t="n">
        <v>45294</v>
      </c>
      <c r="D360" s="4" t="n">
        <v>45657</v>
      </c>
      <c r="E360" t="n">
        <v>40</v>
      </c>
      <c r="F360" t="inlineStr">
        <is>
          <t>Active</t>
        </is>
      </c>
      <c r="G360" t="inlineStr">
        <is>
          <t>Facebook</t>
        </is>
      </c>
      <c r="H360">
        <f>TEXT(C360,"mmm-yyyy")</f>
        <v/>
      </c>
      <c r="I360">
        <f>TEXT(D360,"mmm-yyyy")</f>
        <v/>
      </c>
      <c r="J360">
        <f>_xlfn.XLOOKUP(tbl_subscription[[#This Row],[Customer_ID]],tbl_clint[Customer_ID],tbl_clint[Country])</f>
        <v/>
      </c>
      <c r="K360">
        <f>_xlfn.XLOOKUP(tbl_subscription[[#This Row],[Customer_ID]],tbl_clint[[#This Row],[Customer_ID]],tbl_clint[[#This Row],[Industry]])</f>
        <v/>
      </c>
      <c r="L360">
        <f>_xlfn.XLOOKUP(tbl_subscription[[#This Row],[Customer_ID]],tbl_clint[[#This Row],[Customer_ID]],tbl_clint[[#This Row],[Company_Size]])</f>
        <v/>
      </c>
      <c r="M360">
        <f>YEAR(tbl_subscription[[#This Row],[Start_Date]])</f>
        <v/>
      </c>
    </row>
    <row r="361">
      <c r="A361" t="inlineStr">
        <is>
          <t>C0360</t>
        </is>
      </c>
      <c r="B361" t="inlineStr">
        <is>
          <t>Premium</t>
        </is>
      </c>
      <c r="C361" s="4" t="n">
        <v>43893</v>
      </c>
      <c r="D361" s="4" t="n">
        <v>45657</v>
      </c>
      <c r="E361" t="n">
        <v>40</v>
      </c>
      <c r="F361" t="inlineStr">
        <is>
          <t>Active</t>
        </is>
      </c>
      <c r="G361" t="inlineStr">
        <is>
          <t>Referral</t>
        </is>
      </c>
      <c r="H361">
        <f>TEXT(C361,"mmm-yyyy")</f>
        <v/>
      </c>
      <c r="I361">
        <f>TEXT(D361,"mmm-yyyy")</f>
        <v/>
      </c>
      <c r="J361">
        <f>_xlfn.XLOOKUP(tbl_subscription[[#This Row],[Customer_ID]],tbl_clint[Customer_ID],tbl_clint[Country])</f>
        <v/>
      </c>
      <c r="K361">
        <f>_xlfn.XLOOKUP(tbl_subscription[[#This Row],[Customer_ID]],tbl_clint[[#This Row],[Customer_ID]],tbl_clint[[#This Row],[Industry]])</f>
        <v/>
      </c>
      <c r="L361">
        <f>_xlfn.XLOOKUP(tbl_subscription[[#This Row],[Customer_ID]],tbl_clint[[#This Row],[Customer_ID]],tbl_clint[[#This Row],[Company_Size]])</f>
        <v/>
      </c>
      <c r="M361">
        <f>YEAR(tbl_subscription[[#This Row],[Start_Date]])</f>
        <v/>
      </c>
    </row>
    <row r="362">
      <c r="A362" t="inlineStr">
        <is>
          <t>C0361</t>
        </is>
      </c>
      <c r="B362" t="inlineStr">
        <is>
          <t>Premium</t>
        </is>
      </c>
      <c r="C362" s="4" t="n">
        <v>44080</v>
      </c>
      <c r="D362" s="4" t="n">
        <v>45657</v>
      </c>
      <c r="E362" t="n">
        <v>40</v>
      </c>
      <c r="F362" t="inlineStr">
        <is>
          <t>Active</t>
        </is>
      </c>
      <c r="G362" t="inlineStr">
        <is>
          <t>Facebook</t>
        </is>
      </c>
      <c r="H362">
        <f>TEXT(C362,"mmm-yyyy")</f>
        <v/>
      </c>
      <c r="I362">
        <f>TEXT(D362,"mmm-yyyy")</f>
        <v/>
      </c>
      <c r="J362">
        <f>_xlfn.XLOOKUP(tbl_subscription[[#This Row],[Customer_ID]],tbl_clint[Customer_ID],tbl_clint[Country])</f>
        <v/>
      </c>
      <c r="K362">
        <f>_xlfn.XLOOKUP(tbl_subscription[[#This Row],[Customer_ID]],tbl_clint[[#This Row],[Customer_ID]],tbl_clint[[#This Row],[Industry]])</f>
        <v/>
      </c>
      <c r="L362">
        <f>_xlfn.XLOOKUP(tbl_subscription[[#This Row],[Customer_ID]],tbl_clint[[#This Row],[Customer_ID]],tbl_clint[[#This Row],[Company_Size]])</f>
        <v/>
      </c>
      <c r="M362">
        <f>YEAR(tbl_subscription[[#This Row],[Start_Date]])</f>
        <v/>
      </c>
    </row>
    <row r="363">
      <c r="A363" t="inlineStr">
        <is>
          <t>C0362</t>
        </is>
      </c>
      <c r="B363" t="inlineStr">
        <is>
          <t>Premium</t>
        </is>
      </c>
      <c r="C363" s="4" t="n">
        <v>43863</v>
      </c>
      <c r="D363" s="4" t="n">
        <v>45657</v>
      </c>
      <c r="E363" t="n">
        <v>40</v>
      </c>
      <c r="F363" t="inlineStr">
        <is>
          <t>Active</t>
        </is>
      </c>
      <c r="G363" t="inlineStr">
        <is>
          <t>LinkedIn</t>
        </is>
      </c>
      <c r="H363">
        <f>TEXT(C363,"mmm-yyyy")</f>
        <v/>
      </c>
      <c r="I363">
        <f>TEXT(D363,"mmm-yyyy")</f>
        <v/>
      </c>
      <c r="J363">
        <f>_xlfn.XLOOKUP(tbl_subscription[[#This Row],[Customer_ID]],tbl_clint[Customer_ID],tbl_clint[Country])</f>
        <v/>
      </c>
      <c r="K363">
        <f>_xlfn.XLOOKUP(tbl_subscription[[#This Row],[Customer_ID]],tbl_clint[[#This Row],[Customer_ID]],tbl_clint[[#This Row],[Industry]])</f>
        <v/>
      </c>
      <c r="L363">
        <f>_xlfn.XLOOKUP(tbl_subscription[[#This Row],[Customer_ID]],tbl_clint[[#This Row],[Customer_ID]],tbl_clint[[#This Row],[Company_Size]])</f>
        <v/>
      </c>
      <c r="M363">
        <f>YEAR(tbl_subscription[[#This Row],[Start_Date]])</f>
        <v/>
      </c>
    </row>
    <row r="364">
      <c r="A364" t="inlineStr">
        <is>
          <t>C0363</t>
        </is>
      </c>
      <c r="B364" t="inlineStr">
        <is>
          <t>Basic</t>
        </is>
      </c>
      <c r="C364" s="4" t="n">
        <v>44141</v>
      </c>
      <c r="D364" s="4" t="n">
        <v>45657</v>
      </c>
      <c r="E364" t="n">
        <v>15</v>
      </c>
      <c r="F364" t="inlineStr">
        <is>
          <t>Active</t>
        </is>
      </c>
      <c r="G364" t="inlineStr">
        <is>
          <t>Referral</t>
        </is>
      </c>
      <c r="H364">
        <f>TEXT(C364,"mmm-yyyy")</f>
        <v/>
      </c>
      <c r="I364">
        <f>TEXT(D364,"mmm-yyyy")</f>
        <v/>
      </c>
      <c r="J364">
        <f>_xlfn.XLOOKUP(tbl_subscription[[#This Row],[Customer_ID]],tbl_clint[Customer_ID],tbl_clint[Country])</f>
        <v/>
      </c>
      <c r="K364">
        <f>_xlfn.XLOOKUP(tbl_subscription[[#This Row],[Customer_ID]],tbl_clint[[#This Row],[Customer_ID]],tbl_clint[[#This Row],[Industry]])</f>
        <v/>
      </c>
      <c r="L364">
        <f>_xlfn.XLOOKUP(tbl_subscription[[#This Row],[Customer_ID]],tbl_clint[[#This Row],[Customer_ID]],tbl_clint[[#This Row],[Company_Size]])</f>
        <v/>
      </c>
      <c r="M364">
        <f>YEAR(tbl_subscription[[#This Row],[Start_Date]])</f>
        <v/>
      </c>
    </row>
    <row r="365">
      <c r="A365" t="inlineStr">
        <is>
          <t>C0364</t>
        </is>
      </c>
      <c r="B365" t="inlineStr">
        <is>
          <t>Basic</t>
        </is>
      </c>
      <c r="C365" s="4" t="n">
        <v>45186</v>
      </c>
      <c r="D365" s="4" t="n">
        <v>45657</v>
      </c>
      <c r="E365" t="n">
        <v>15</v>
      </c>
      <c r="F365" t="inlineStr">
        <is>
          <t>Active</t>
        </is>
      </c>
      <c r="G365" t="inlineStr">
        <is>
          <t>Google</t>
        </is>
      </c>
      <c r="H365">
        <f>TEXT(C365,"mmm-yyyy")</f>
        <v/>
      </c>
      <c r="I365">
        <f>TEXT(D365,"mmm-yyyy")</f>
        <v/>
      </c>
      <c r="J365">
        <f>_xlfn.XLOOKUP(tbl_subscription[[#This Row],[Customer_ID]],tbl_clint[Customer_ID],tbl_clint[Country])</f>
        <v/>
      </c>
      <c r="K365">
        <f>_xlfn.XLOOKUP(tbl_subscription[[#This Row],[Customer_ID]],tbl_clint[[#This Row],[Customer_ID]],tbl_clint[[#This Row],[Industry]])</f>
        <v/>
      </c>
      <c r="L365">
        <f>_xlfn.XLOOKUP(tbl_subscription[[#This Row],[Customer_ID]],tbl_clint[[#This Row],[Customer_ID]],tbl_clint[[#This Row],[Company_Size]])</f>
        <v/>
      </c>
      <c r="M365">
        <f>YEAR(tbl_subscription[[#This Row],[Start_Date]])</f>
        <v/>
      </c>
    </row>
    <row r="366">
      <c r="A366" t="inlineStr">
        <is>
          <t>C0365</t>
        </is>
      </c>
      <c r="B366" t="inlineStr">
        <is>
          <t>Standard</t>
        </is>
      </c>
      <c r="C366" s="4" t="n">
        <v>45199</v>
      </c>
      <c r="D366" s="4" t="n">
        <v>45657</v>
      </c>
      <c r="E366" t="n">
        <v>25</v>
      </c>
      <c r="F366" t="inlineStr">
        <is>
          <t>Active</t>
        </is>
      </c>
      <c r="G366" t="inlineStr">
        <is>
          <t>Google</t>
        </is>
      </c>
      <c r="H366">
        <f>TEXT(C366,"mmm-yyyy")</f>
        <v/>
      </c>
      <c r="I366">
        <f>TEXT(D366,"mmm-yyyy")</f>
        <v/>
      </c>
      <c r="J366">
        <f>_xlfn.XLOOKUP(tbl_subscription[[#This Row],[Customer_ID]],tbl_clint[Customer_ID],tbl_clint[Country])</f>
        <v/>
      </c>
      <c r="K366">
        <f>_xlfn.XLOOKUP(tbl_subscription[[#This Row],[Customer_ID]],tbl_clint[[#This Row],[Customer_ID]],tbl_clint[[#This Row],[Industry]])</f>
        <v/>
      </c>
      <c r="L366">
        <f>_xlfn.XLOOKUP(tbl_subscription[[#This Row],[Customer_ID]],tbl_clint[[#This Row],[Customer_ID]],tbl_clint[[#This Row],[Company_Size]])</f>
        <v/>
      </c>
      <c r="M366">
        <f>YEAR(tbl_subscription[[#This Row],[Start_Date]])</f>
        <v/>
      </c>
    </row>
    <row r="367">
      <c r="A367" t="inlineStr">
        <is>
          <t>C0366</t>
        </is>
      </c>
      <c r="B367" t="inlineStr">
        <is>
          <t>Standard</t>
        </is>
      </c>
      <c r="C367" s="4" t="n">
        <v>45393</v>
      </c>
      <c r="D367" s="4" t="n">
        <v>45657</v>
      </c>
      <c r="E367" t="n">
        <v>25</v>
      </c>
      <c r="F367" t="inlineStr">
        <is>
          <t>Active</t>
        </is>
      </c>
      <c r="G367" t="inlineStr">
        <is>
          <t>Referral</t>
        </is>
      </c>
      <c r="H367">
        <f>TEXT(C367,"mmm-yyyy")</f>
        <v/>
      </c>
      <c r="I367">
        <f>TEXT(D367,"mmm-yyyy")</f>
        <v/>
      </c>
      <c r="J367">
        <f>_xlfn.XLOOKUP(tbl_subscription[[#This Row],[Customer_ID]],tbl_clint[Customer_ID],tbl_clint[Country])</f>
        <v/>
      </c>
      <c r="K367">
        <f>_xlfn.XLOOKUP(tbl_subscription[[#This Row],[Customer_ID]],tbl_clint[[#This Row],[Customer_ID]],tbl_clint[[#This Row],[Industry]])</f>
        <v/>
      </c>
      <c r="L367">
        <f>_xlfn.XLOOKUP(tbl_subscription[[#This Row],[Customer_ID]],tbl_clint[[#This Row],[Customer_ID]],tbl_clint[[#This Row],[Company_Size]])</f>
        <v/>
      </c>
      <c r="M367">
        <f>YEAR(tbl_subscription[[#This Row],[Start_Date]])</f>
        <v/>
      </c>
    </row>
    <row r="368">
      <c r="A368" t="inlineStr">
        <is>
          <t>C0367</t>
        </is>
      </c>
      <c r="B368" t="inlineStr">
        <is>
          <t>Premium</t>
        </is>
      </c>
      <c r="C368" s="4" t="n">
        <v>44438</v>
      </c>
      <c r="D368" s="4" t="n">
        <v>45657</v>
      </c>
      <c r="E368" t="n">
        <v>40</v>
      </c>
      <c r="F368" t="inlineStr">
        <is>
          <t>Active</t>
        </is>
      </c>
      <c r="G368" t="inlineStr">
        <is>
          <t>Referral</t>
        </is>
      </c>
      <c r="H368">
        <f>TEXT(C368,"mmm-yyyy")</f>
        <v/>
      </c>
      <c r="I368">
        <f>TEXT(D368,"mmm-yyyy")</f>
        <v/>
      </c>
      <c r="J368">
        <f>_xlfn.XLOOKUP(tbl_subscription[[#This Row],[Customer_ID]],tbl_clint[Customer_ID],tbl_clint[Country])</f>
        <v/>
      </c>
      <c r="K368">
        <f>_xlfn.XLOOKUP(tbl_subscription[[#This Row],[Customer_ID]],tbl_clint[[#This Row],[Customer_ID]],tbl_clint[[#This Row],[Industry]])</f>
        <v/>
      </c>
      <c r="L368">
        <f>_xlfn.XLOOKUP(tbl_subscription[[#This Row],[Customer_ID]],tbl_clint[[#This Row],[Customer_ID]],tbl_clint[[#This Row],[Company_Size]])</f>
        <v/>
      </c>
      <c r="M368">
        <f>YEAR(tbl_subscription[[#This Row],[Start_Date]])</f>
        <v/>
      </c>
    </row>
    <row r="369">
      <c r="A369" t="inlineStr">
        <is>
          <t>C0368</t>
        </is>
      </c>
      <c r="B369" t="inlineStr">
        <is>
          <t>Premium</t>
        </is>
      </c>
      <c r="C369" s="4" t="n">
        <v>44486</v>
      </c>
      <c r="D369" s="4" t="n">
        <v>45657</v>
      </c>
      <c r="E369" t="n">
        <v>40</v>
      </c>
      <c r="F369" t="inlineStr">
        <is>
          <t>Active</t>
        </is>
      </c>
      <c r="G369" t="inlineStr">
        <is>
          <t>Facebook</t>
        </is>
      </c>
      <c r="H369">
        <f>TEXT(C369,"mmm-yyyy")</f>
        <v/>
      </c>
      <c r="I369">
        <f>TEXT(D369,"mmm-yyyy")</f>
        <v/>
      </c>
      <c r="J369">
        <f>_xlfn.XLOOKUP(tbl_subscription[[#This Row],[Customer_ID]],tbl_clint[Customer_ID],tbl_clint[Country])</f>
        <v/>
      </c>
      <c r="K369">
        <f>_xlfn.XLOOKUP(tbl_subscription[[#This Row],[Customer_ID]],tbl_clint[[#This Row],[Customer_ID]],tbl_clint[[#This Row],[Industry]])</f>
        <v/>
      </c>
      <c r="L369">
        <f>_xlfn.XLOOKUP(tbl_subscription[[#This Row],[Customer_ID]],tbl_clint[[#This Row],[Customer_ID]],tbl_clint[[#This Row],[Company_Size]])</f>
        <v/>
      </c>
      <c r="M369">
        <f>YEAR(tbl_subscription[[#This Row],[Start_Date]])</f>
        <v/>
      </c>
    </row>
    <row r="370">
      <c r="A370" t="inlineStr">
        <is>
          <t>C0369</t>
        </is>
      </c>
      <c r="B370" t="inlineStr">
        <is>
          <t>Standard</t>
        </is>
      </c>
      <c r="C370" s="4" t="n">
        <v>44249</v>
      </c>
      <c r="D370" s="4" t="n">
        <v>45657</v>
      </c>
      <c r="E370" t="n">
        <v>25</v>
      </c>
      <c r="F370" t="inlineStr">
        <is>
          <t>Active</t>
        </is>
      </c>
      <c r="G370" t="inlineStr">
        <is>
          <t>Instagram</t>
        </is>
      </c>
      <c r="H370">
        <f>TEXT(C370,"mmm-yyyy")</f>
        <v/>
      </c>
      <c r="I370">
        <f>TEXT(D370,"mmm-yyyy")</f>
        <v/>
      </c>
      <c r="J370">
        <f>_xlfn.XLOOKUP(tbl_subscription[[#This Row],[Customer_ID]],tbl_clint[Customer_ID],tbl_clint[Country])</f>
        <v/>
      </c>
      <c r="K370">
        <f>_xlfn.XLOOKUP(tbl_subscription[[#This Row],[Customer_ID]],tbl_clint[[#This Row],[Customer_ID]],tbl_clint[[#This Row],[Industry]])</f>
        <v/>
      </c>
      <c r="L370">
        <f>_xlfn.XLOOKUP(tbl_subscription[[#This Row],[Customer_ID]],tbl_clint[[#This Row],[Customer_ID]],tbl_clint[[#This Row],[Company_Size]])</f>
        <v/>
      </c>
      <c r="M370">
        <f>YEAR(tbl_subscription[[#This Row],[Start_Date]])</f>
        <v/>
      </c>
    </row>
    <row r="371">
      <c r="A371" t="inlineStr">
        <is>
          <t>C0370</t>
        </is>
      </c>
      <c r="B371" t="inlineStr">
        <is>
          <t>Premium</t>
        </is>
      </c>
      <c r="C371" s="4" t="n">
        <v>44374</v>
      </c>
      <c r="D371" s="4" t="n">
        <v>44712</v>
      </c>
      <c r="E371" t="n">
        <v>40</v>
      </c>
      <c r="F371" t="inlineStr">
        <is>
          <t>Churned</t>
        </is>
      </c>
      <c r="G371" t="inlineStr">
        <is>
          <t>Facebook</t>
        </is>
      </c>
      <c r="H371">
        <f>TEXT(C371,"mmm-yyyy")</f>
        <v/>
      </c>
      <c r="I371">
        <f>TEXT(D371,"mmm-yyyy")</f>
        <v/>
      </c>
      <c r="J371">
        <f>_xlfn.XLOOKUP(tbl_subscription[[#This Row],[Customer_ID]],tbl_clint[Customer_ID],tbl_clint[Country])</f>
        <v/>
      </c>
      <c r="K371">
        <f>_xlfn.XLOOKUP(tbl_subscription[[#This Row],[Customer_ID]],tbl_clint[[#This Row],[Customer_ID]],tbl_clint[[#This Row],[Industry]])</f>
        <v/>
      </c>
      <c r="L371">
        <f>_xlfn.XLOOKUP(tbl_subscription[[#This Row],[Customer_ID]],tbl_clint[[#This Row],[Customer_ID]],tbl_clint[[#This Row],[Company_Size]])</f>
        <v/>
      </c>
      <c r="M371">
        <f>YEAR(tbl_subscription[[#This Row],[Start_Date]])</f>
        <v/>
      </c>
    </row>
    <row r="372">
      <c r="A372" t="inlineStr">
        <is>
          <t>C0371</t>
        </is>
      </c>
      <c r="B372" t="inlineStr">
        <is>
          <t>Basic</t>
        </is>
      </c>
      <c r="C372" s="4" t="n">
        <v>45281</v>
      </c>
      <c r="D372" s="4" t="n">
        <v>45414</v>
      </c>
      <c r="E372" t="n">
        <v>15</v>
      </c>
      <c r="F372" t="inlineStr">
        <is>
          <t>Churned</t>
        </is>
      </c>
      <c r="G372" t="inlineStr">
        <is>
          <t>Facebook</t>
        </is>
      </c>
      <c r="H372">
        <f>TEXT(C372,"mmm-yyyy")</f>
        <v/>
      </c>
      <c r="I372">
        <f>TEXT(D372,"mmm-yyyy")</f>
        <v/>
      </c>
      <c r="J372">
        <f>_xlfn.XLOOKUP(tbl_subscription[[#This Row],[Customer_ID]],tbl_clint[Customer_ID],tbl_clint[Country])</f>
        <v/>
      </c>
      <c r="K372">
        <f>_xlfn.XLOOKUP(tbl_subscription[[#This Row],[Customer_ID]],tbl_clint[[#This Row],[Customer_ID]],tbl_clint[[#This Row],[Industry]])</f>
        <v/>
      </c>
      <c r="L372">
        <f>_xlfn.XLOOKUP(tbl_subscription[[#This Row],[Customer_ID]],tbl_clint[[#This Row],[Customer_ID]],tbl_clint[[#This Row],[Company_Size]])</f>
        <v/>
      </c>
      <c r="M372">
        <f>YEAR(tbl_subscription[[#This Row],[Start_Date]])</f>
        <v/>
      </c>
    </row>
    <row r="373">
      <c r="A373" t="inlineStr">
        <is>
          <t>C0372</t>
        </is>
      </c>
      <c r="B373" t="inlineStr">
        <is>
          <t>Premium</t>
        </is>
      </c>
      <c r="C373" s="4" t="n">
        <v>44909</v>
      </c>
      <c r="D373" s="4" t="n">
        <v>45657</v>
      </c>
      <c r="E373" t="n">
        <v>40</v>
      </c>
      <c r="F373" t="inlineStr">
        <is>
          <t>Active</t>
        </is>
      </c>
      <c r="G373" t="inlineStr">
        <is>
          <t>Facebook</t>
        </is>
      </c>
      <c r="H373">
        <f>TEXT(C373,"mmm-yyyy")</f>
        <v/>
      </c>
      <c r="I373">
        <f>TEXT(D373,"mmm-yyyy")</f>
        <v/>
      </c>
      <c r="J373">
        <f>_xlfn.XLOOKUP(tbl_subscription[[#This Row],[Customer_ID]],tbl_clint[Customer_ID],tbl_clint[Country])</f>
        <v/>
      </c>
      <c r="K373">
        <f>_xlfn.XLOOKUP(tbl_subscription[[#This Row],[Customer_ID]],tbl_clint[[#This Row],[Customer_ID]],tbl_clint[[#This Row],[Industry]])</f>
        <v/>
      </c>
      <c r="L373">
        <f>_xlfn.XLOOKUP(tbl_subscription[[#This Row],[Customer_ID]],tbl_clint[[#This Row],[Customer_ID]],tbl_clint[[#This Row],[Company_Size]])</f>
        <v/>
      </c>
      <c r="M373">
        <f>YEAR(tbl_subscription[[#This Row],[Start_Date]])</f>
        <v/>
      </c>
    </row>
    <row r="374">
      <c r="A374" t="inlineStr">
        <is>
          <t>C0373</t>
        </is>
      </c>
      <c r="B374" t="inlineStr">
        <is>
          <t>Premium</t>
        </is>
      </c>
      <c r="C374" s="4" t="n">
        <v>45175</v>
      </c>
      <c r="D374" s="4" t="n">
        <v>45657</v>
      </c>
      <c r="E374" t="n">
        <v>40</v>
      </c>
      <c r="F374" t="inlineStr">
        <is>
          <t>Churned</t>
        </is>
      </c>
      <c r="G374" t="inlineStr">
        <is>
          <t>Referral</t>
        </is>
      </c>
      <c r="H374">
        <f>TEXT(C374,"mmm-yyyy")</f>
        <v/>
      </c>
      <c r="I374">
        <f>TEXT(D374,"mmm-yyyy")</f>
        <v/>
      </c>
      <c r="J374">
        <f>_xlfn.XLOOKUP(tbl_subscription[[#This Row],[Customer_ID]],tbl_clint[Customer_ID],tbl_clint[Country])</f>
        <v/>
      </c>
      <c r="K374">
        <f>_xlfn.XLOOKUP(tbl_subscription[[#This Row],[Customer_ID]],tbl_clint[[#This Row],[Customer_ID]],tbl_clint[[#This Row],[Industry]])</f>
        <v/>
      </c>
      <c r="L374">
        <f>_xlfn.XLOOKUP(tbl_subscription[[#This Row],[Customer_ID]],tbl_clint[[#This Row],[Customer_ID]],tbl_clint[[#This Row],[Company_Size]])</f>
        <v/>
      </c>
      <c r="M374">
        <f>YEAR(tbl_subscription[[#This Row],[Start_Date]])</f>
        <v/>
      </c>
    </row>
    <row r="375">
      <c r="A375" t="inlineStr">
        <is>
          <t>C0374</t>
        </is>
      </c>
      <c r="B375" t="inlineStr">
        <is>
          <t>Standard</t>
        </is>
      </c>
      <c r="C375" s="4" t="n">
        <v>43963</v>
      </c>
      <c r="D375" s="4" t="n">
        <v>44268</v>
      </c>
      <c r="E375" t="n">
        <v>25</v>
      </c>
      <c r="F375" t="inlineStr">
        <is>
          <t>Churned</t>
        </is>
      </c>
      <c r="G375" t="inlineStr">
        <is>
          <t>LinkedIn</t>
        </is>
      </c>
      <c r="H375">
        <f>TEXT(C375,"mmm-yyyy")</f>
        <v/>
      </c>
      <c r="I375">
        <f>TEXT(D375,"mmm-yyyy")</f>
        <v/>
      </c>
      <c r="J375">
        <f>_xlfn.XLOOKUP(tbl_subscription[[#This Row],[Customer_ID]],tbl_clint[Customer_ID],tbl_clint[Country])</f>
        <v/>
      </c>
      <c r="K375">
        <f>_xlfn.XLOOKUP(tbl_subscription[[#This Row],[Customer_ID]],tbl_clint[[#This Row],[Customer_ID]],tbl_clint[[#This Row],[Industry]])</f>
        <v/>
      </c>
      <c r="L375">
        <f>_xlfn.XLOOKUP(tbl_subscription[[#This Row],[Customer_ID]],tbl_clint[[#This Row],[Customer_ID]],tbl_clint[[#This Row],[Company_Size]])</f>
        <v/>
      </c>
      <c r="M375">
        <f>YEAR(tbl_subscription[[#This Row],[Start_Date]])</f>
        <v/>
      </c>
    </row>
    <row r="376">
      <c r="A376" t="inlineStr">
        <is>
          <t>C0375</t>
        </is>
      </c>
      <c r="B376" t="inlineStr">
        <is>
          <t>Basic</t>
        </is>
      </c>
      <c r="C376" s="4" t="n">
        <v>44745</v>
      </c>
      <c r="D376" s="4" t="n">
        <v>45250</v>
      </c>
      <c r="E376" t="n">
        <v>15</v>
      </c>
      <c r="F376" t="inlineStr">
        <is>
          <t>Churned</t>
        </is>
      </c>
      <c r="G376" t="inlineStr">
        <is>
          <t>Instagram</t>
        </is>
      </c>
      <c r="H376">
        <f>TEXT(C376,"mmm-yyyy")</f>
        <v/>
      </c>
      <c r="I376">
        <f>TEXT(D376,"mmm-yyyy")</f>
        <v/>
      </c>
      <c r="J376">
        <f>_xlfn.XLOOKUP(tbl_subscription[[#This Row],[Customer_ID]],tbl_clint[Customer_ID],tbl_clint[Country])</f>
        <v/>
      </c>
      <c r="K376">
        <f>_xlfn.XLOOKUP(tbl_subscription[[#This Row],[Customer_ID]],tbl_clint[[#This Row],[Customer_ID]],tbl_clint[[#This Row],[Industry]])</f>
        <v/>
      </c>
      <c r="L376">
        <f>_xlfn.XLOOKUP(tbl_subscription[[#This Row],[Customer_ID]],tbl_clint[[#This Row],[Customer_ID]],tbl_clint[[#This Row],[Company_Size]])</f>
        <v/>
      </c>
      <c r="M376">
        <f>YEAR(tbl_subscription[[#This Row],[Start_Date]])</f>
        <v/>
      </c>
    </row>
    <row r="377">
      <c r="A377" t="inlineStr">
        <is>
          <t>C0376</t>
        </is>
      </c>
      <c r="B377" t="inlineStr">
        <is>
          <t>Premium</t>
        </is>
      </c>
      <c r="C377" s="4" t="n">
        <v>45044</v>
      </c>
      <c r="D377" s="4" t="n">
        <v>45657</v>
      </c>
      <c r="E377" t="n">
        <v>40</v>
      </c>
      <c r="F377" t="inlineStr">
        <is>
          <t>Active</t>
        </is>
      </c>
      <c r="G377" t="inlineStr">
        <is>
          <t>Referral</t>
        </is>
      </c>
      <c r="H377">
        <f>TEXT(C377,"mmm-yyyy")</f>
        <v/>
      </c>
      <c r="I377">
        <f>TEXT(D377,"mmm-yyyy")</f>
        <v/>
      </c>
      <c r="J377">
        <f>_xlfn.XLOOKUP(tbl_subscription[[#This Row],[Customer_ID]],tbl_clint[Customer_ID],tbl_clint[Country])</f>
        <v/>
      </c>
      <c r="K377">
        <f>_xlfn.XLOOKUP(tbl_subscription[[#This Row],[Customer_ID]],tbl_clint[[#This Row],[Customer_ID]],tbl_clint[[#This Row],[Industry]])</f>
        <v/>
      </c>
      <c r="L377">
        <f>_xlfn.XLOOKUP(tbl_subscription[[#This Row],[Customer_ID]],tbl_clint[[#This Row],[Customer_ID]],tbl_clint[[#This Row],[Company_Size]])</f>
        <v/>
      </c>
      <c r="M377">
        <f>YEAR(tbl_subscription[[#This Row],[Start_Date]])</f>
        <v/>
      </c>
    </row>
    <row r="378">
      <c r="A378" t="inlineStr">
        <is>
          <t>C0377</t>
        </is>
      </c>
      <c r="B378" t="inlineStr">
        <is>
          <t>Basic</t>
        </is>
      </c>
      <c r="C378" s="4" t="n">
        <v>44311</v>
      </c>
      <c r="D378" s="4" t="n">
        <v>45657</v>
      </c>
      <c r="E378" t="n">
        <v>15</v>
      </c>
      <c r="F378" t="inlineStr">
        <is>
          <t>Active</t>
        </is>
      </c>
      <c r="G378" t="inlineStr">
        <is>
          <t>Instagram</t>
        </is>
      </c>
      <c r="H378">
        <f>TEXT(C378,"mmm-yyyy")</f>
        <v/>
      </c>
      <c r="I378">
        <f>TEXT(D378,"mmm-yyyy")</f>
        <v/>
      </c>
      <c r="J378">
        <f>_xlfn.XLOOKUP(tbl_subscription[[#This Row],[Customer_ID]],tbl_clint[Customer_ID],tbl_clint[Country])</f>
        <v/>
      </c>
      <c r="K378">
        <f>_xlfn.XLOOKUP(tbl_subscription[[#This Row],[Customer_ID]],tbl_clint[[#This Row],[Customer_ID]],tbl_clint[[#This Row],[Industry]])</f>
        <v/>
      </c>
      <c r="L378">
        <f>_xlfn.XLOOKUP(tbl_subscription[[#This Row],[Customer_ID]],tbl_clint[[#This Row],[Customer_ID]],tbl_clint[[#This Row],[Company_Size]])</f>
        <v/>
      </c>
      <c r="M378">
        <f>YEAR(tbl_subscription[[#This Row],[Start_Date]])</f>
        <v/>
      </c>
    </row>
    <row r="379">
      <c r="A379" t="inlineStr">
        <is>
          <t>C0378</t>
        </is>
      </c>
      <c r="B379" t="inlineStr">
        <is>
          <t>Premium</t>
        </is>
      </c>
      <c r="C379" s="4" t="n">
        <v>44340</v>
      </c>
      <c r="D379" s="4" t="n">
        <v>45657</v>
      </c>
      <c r="E379" t="n">
        <v>40</v>
      </c>
      <c r="F379" t="inlineStr">
        <is>
          <t>Active</t>
        </is>
      </c>
      <c r="G379" t="inlineStr">
        <is>
          <t>Instagram</t>
        </is>
      </c>
      <c r="H379">
        <f>TEXT(C379,"mmm-yyyy")</f>
        <v/>
      </c>
      <c r="I379">
        <f>TEXT(D379,"mmm-yyyy")</f>
        <v/>
      </c>
      <c r="J379">
        <f>_xlfn.XLOOKUP(tbl_subscription[[#This Row],[Customer_ID]],tbl_clint[Customer_ID],tbl_clint[Country])</f>
        <v/>
      </c>
      <c r="K379">
        <f>_xlfn.XLOOKUP(tbl_subscription[[#This Row],[Customer_ID]],tbl_clint[[#This Row],[Customer_ID]],tbl_clint[[#This Row],[Industry]])</f>
        <v/>
      </c>
      <c r="L379">
        <f>_xlfn.XLOOKUP(tbl_subscription[[#This Row],[Customer_ID]],tbl_clint[[#This Row],[Customer_ID]],tbl_clint[[#This Row],[Company_Size]])</f>
        <v/>
      </c>
      <c r="M379">
        <f>YEAR(tbl_subscription[[#This Row],[Start_Date]])</f>
        <v/>
      </c>
    </row>
    <row r="380">
      <c r="A380" t="inlineStr">
        <is>
          <t>C0379</t>
        </is>
      </c>
      <c r="B380" t="inlineStr">
        <is>
          <t>Premium</t>
        </is>
      </c>
      <c r="C380" s="4" t="n">
        <v>44699</v>
      </c>
      <c r="D380" s="4" t="n">
        <v>45500</v>
      </c>
      <c r="E380" t="n">
        <v>40</v>
      </c>
      <c r="F380" t="inlineStr">
        <is>
          <t>Churned</t>
        </is>
      </c>
      <c r="G380" t="inlineStr">
        <is>
          <t>Instagram</t>
        </is>
      </c>
      <c r="H380">
        <f>TEXT(C380,"mmm-yyyy")</f>
        <v/>
      </c>
      <c r="I380">
        <f>TEXT(D380,"mmm-yyyy")</f>
        <v/>
      </c>
      <c r="J380">
        <f>_xlfn.XLOOKUP(tbl_subscription[[#This Row],[Customer_ID]],tbl_clint[Customer_ID],tbl_clint[Country])</f>
        <v/>
      </c>
      <c r="K380">
        <f>_xlfn.XLOOKUP(tbl_subscription[[#This Row],[Customer_ID]],tbl_clint[[#This Row],[Customer_ID]],tbl_clint[[#This Row],[Industry]])</f>
        <v/>
      </c>
      <c r="L380">
        <f>_xlfn.XLOOKUP(tbl_subscription[[#This Row],[Customer_ID]],tbl_clint[[#This Row],[Customer_ID]],tbl_clint[[#This Row],[Company_Size]])</f>
        <v/>
      </c>
      <c r="M380">
        <f>YEAR(tbl_subscription[[#This Row],[Start_Date]])</f>
        <v/>
      </c>
    </row>
    <row r="381">
      <c r="A381" t="inlineStr">
        <is>
          <t>C0380</t>
        </is>
      </c>
      <c r="B381" t="inlineStr">
        <is>
          <t>Basic</t>
        </is>
      </c>
      <c r="C381" s="4" t="n">
        <v>44515</v>
      </c>
      <c r="D381" s="4" t="n">
        <v>45657</v>
      </c>
      <c r="E381" t="n">
        <v>15</v>
      </c>
      <c r="F381" t="inlineStr">
        <is>
          <t>Active</t>
        </is>
      </c>
      <c r="G381" t="inlineStr">
        <is>
          <t>LinkedIn</t>
        </is>
      </c>
      <c r="H381">
        <f>TEXT(C381,"mmm-yyyy")</f>
        <v/>
      </c>
      <c r="I381">
        <f>TEXT(D381,"mmm-yyyy")</f>
        <v/>
      </c>
      <c r="J381">
        <f>_xlfn.XLOOKUP(tbl_subscription[[#This Row],[Customer_ID]],tbl_clint[Customer_ID],tbl_clint[Country])</f>
        <v/>
      </c>
      <c r="K381">
        <f>_xlfn.XLOOKUP(tbl_subscription[[#This Row],[Customer_ID]],tbl_clint[[#This Row],[Customer_ID]],tbl_clint[[#This Row],[Industry]])</f>
        <v/>
      </c>
      <c r="L381">
        <f>_xlfn.XLOOKUP(tbl_subscription[[#This Row],[Customer_ID]],tbl_clint[[#This Row],[Customer_ID]],tbl_clint[[#This Row],[Company_Size]])</f>
        <v/>
      </c>
      <c r="M381">
        <f>YEAR(tbl_subscription[[#This Row],[Start_Date]])</f>
        <v/>
      </c>
    </row>
    <row r="382">
      <c r="A382" t="inlineStr">
        <is>
          <t>C0381</t>
        </is>
      </c>
      <c r="B382" t="inlineStr">
        <is>
          <t>Standard</t>
        </is>
      </c>
      <c r="C382" s="4" t="n">
        <v>44589</v>
      </c>
      <c r="D382" s="4" t="n">
        <v>45657</v>
      </c>
      <c r="E382" t="n">
        <v>25</v>
      </c>
      <c r="F382" t="inlineStr">
        <is>
          <t>Active</t>
        </is>
      </c>
      <c r="G382" t="inlineStr">
        <is>
          <t>LinkedIn</t>
        </is>
      </c>
      <c r="H382">
        <f>TEXT(C382,"mmm-yyyy")</f>
        <v/>
      </c>
      <c r="I382">
        <f>TEXT(D382,"mmm-yyyy")</f>
        <v/>
      </c>
      <c r="J382">
        <f>_xlfn.XLOOKUP(tbl_subscription[[#This Row],[Customer_ID]],tbl_clint[Customer_ID],tbl_clint[Country])</f>
        <v/>
      </c>
      <c r="K382">
        <f>_xlfn.XLOOKUP(tbl_subscription[[#This Row],[Customer_ID]],tbl_clint[[#This Row],[Customer_ID]],tbl_clint[[#This Row],[Industry]])</f>
        <v/>
      </c>
      <c r="L382">
        <f>_xlfn.XLOOKUP(tbl_subscription[[#This Row],[Customer_ID]],tbl_clint[[#This Row],[Customer_ID]],tbl_clint[[#This Row],[Company_Size]])</f>
        <v/>
      </c>
      <c r="M382">
        <f>YEAR(tbl_subscription[[#This Row],[Start_Date]])</f>
        <v/>
      </c>
    </row>
    <row r="383">
      <c r="A383" t="inlineStr">
        <is>
          <t>C0382</t>
        </is>
      </c>
      <c r="B383" t="inlineStr">
        <is>
          <t>Premium</t>
        </is>
      </c>
      <c r="C383" s="4" t="n">
        <v>44414</v>
      </c>
      <c r="D383" s="4" t="n">
        <v>45657</v>
      </c>
      <c r="E383" t="n">
        <v>40</v>
      </c>
      <c r="F383" t="inlineStr">
        <is>
          <t>Active</t>
        </is>
      </c>
      <c r="G383" t="inlineStr">
        <is>
          <t>Instagram</t>
        </is>
      </c>
      <c r="H383">
        <f>TEXT(C383,"mmm-yyyy")</f>
        <v/>
      </c>
      <c r="I383">
        <f>TEXT(D383,"mmm-yyyy")</f>
        <v/>
      </c>
      <c r="J383">
        <f>_xlfn.XLOOKUP(tbl_subscription[[#This Row],[Customer_ID]],tbl_clint[Customer_ID],tbl_clint[Country])</f>
        <v/>
      </c>
      <c r="K383">
        <f>_xlfn.XLOOKUP(tbl_subscription[[#This Row],[Customer_ID]],tbl_clint[[#This Row],[Customer_ID]],tbl_clint[[#This Row],[Industry]])</f>
        <v/>
      </c>
      <c r="L383">
        <f>_xlfn.XLOOKUP(tbl_subscription[[#This Row],[Customer_ID]],tbl_clint[[#This Row],[Customer_ID]],tbl_clint[[#This Row],[Company_Size]])</f>
        <v/>
      </c>
      <c r="M383">
        <f>YEAR(tbl_subscription[[#This Row],[Start_Date]])</f>
        <v/>
      </c>
    </row>
    <row r="384">
      <c r="A384" t="inlineStr">
        <is>
          <t>C0383</t>
        </is>
      </c>
      <c r="B384" t="inlineStr">
        <is>
          <t>Basic</t>
        </is>
      </c>
      <c r="C384" s="4" t="n">
        <v>44292</v>
      </c>
      <c r="D384" s="4" t="n">
        <v>45048</v>
      </c>
      <c r="E384" t="n">
        <v>15</v>
      </c>
      <c r="F384" t="inlineStr">
        <is>
          <t>Churned</t>
        </is>
      </c>
      <c r="G384" t="inlineStr">
        <is>
          <t>LinkedIn</t>
        </is>
      </c>
      <c r="H384">
        <f>TEXT(C384,"mmm-yyyy")</f>
        <v/>
      </c>
      <c r="I384">
        <f>TEXT(D384,"mmm-yyyy")</f>
        <v/>
      </c>
      <c r="J384">
        <f>_xlfn.XLOOKUP(tbl_subscription[[#This Row],[Customer_ID]],tbl_clint[Customer_ID],tbl_clint[Country])</f>
        <v/>
      </c>
      <c r="K384">
        <f>_xlfn.XLOOKUP(tbl_subscription[[#This Row],[Customer_ID]],tbl_clint[[#This Row],[Customer_ID]],tbl_clint[[#This Row],[Industry]])</f>
        <v/>
      </c>
      <c r="L384">
        <f>_xlfn.XLOOKUP(tbl_subscription[[#This Row],[Customer_ID]],tbl_clint[[#This Row],[Customer_ID]],tbl_clint[[#This Row],[Company_Size]])</f>
        <v/>
      </c>
      <c r="M384">
        <f>YEAR(tbl_subscription[[#This Row],[Start_Date]])</f>
        <v/>
      </c>
    </row>
    <row r="385">
      <c r="A385" t="inlineStr">
        <is>
          <t>C0384</t>
        </is>
      </c>
      <c r="B385" t="inlineStr">
        <is>
          <t>Standard</t>
        </is>
      </c>
      <c r="C385" s="4" t="n">
        <v>44283</v>
      </c>
      <c r="D385" s="4" t="n">
        <v>45657</v>
      </c>
      <c r="E385" t="n">
        <v>25</v>
      </c>
      <c r="F385" t="inlineStr">
        <is>
          <t>Active</t>
        </is>
      </c>
      <c r="G385" t="inlineStr">
        <is>
          <t>Google</t>
        </is>
      </c>
      <c r="H385">
        <f>TEXT(C385,"mmm-yyyy")</f>
        <v/>
      </c>
      <c r="I385">
        <f>TEXT(D385,"mmm-yyyy")</f>
        <v/>
      </c>
      <c r="J385">
        <f>_xlfn.XLOOKUP(tbl_subscription[[#This Row],[Customer_ID]],tbl_clint[Customer_ID],tbl_clint[Country])</f>
        <v/>
      </c>
      <c r="K385">
        <f>_xlfn.XLOOKUP(tbl_subscription[[#This Row],[Customer_ID]],tbl_clint[[#This Row],[Customer_ID]],tbl_clint[[#This Row],[Industry]])</f>
        <v/>
      </c>
      <c r="L385">
        <f>_xlfn.XLOOKUP(tbl_subscription[[#This Row],[Customer_ID]],tbl_clint[[#This Row],[Customer_ID]],tbl_clint[[#This Row],[Company_Size]])</f>
        <v/>
      </c>
      <c r="M385">
        <f>YEAR(tbl_subscription[[#This Row],[Start_Date]])</f>
        <v/>
      </c>
    </row>
    <row r="386">
      <c r="A386" t="inlineStr">
        <is>
          <t>C0385</t>
        </is>
      </c>
      <c r="B386" t="inlineStr">
        <is>
          <t>Premium</t>
        </is>
      </c>
      <c r="C386" s="4" t="n">
        <v>44385</v>
      </c>
      <c r="D386" s="4" t="n">
        <v>45657</v>
      </c>
      <c r="E386" t="n">
        <v>40</v>
      </c>
      <c r="F386" t="inlineStr">
        <is>
          <t>Active</t>
        </is>
      </c>
      <c r="G386" t="inlineStr">
        <is>
          <t>Google</t>
        </is>
      </c>
      <c r="H386">
        <f>TEXT(C386,"mmm-yyyy")</f>
        <v/>
      </c>
      <c r="I386">
        <f>TEXT(D386,"mmm-yyyy")</f>
        <v/>
      </c>
      <c r="J386">
        <f>_xlfn.XLOOKUP(tbl_subscription[[#This Row],[Customer_ID]],tbl_clint[Customer_ID],tbl_clint[Country])</f>
        <v/>
      </c>
      <c r="K386">
        <f>_xlfn.XLOOKUP(tbl_subscription[[#This Row],[Customer_ID]],tbl_clint[[#This Row],[Customer_ID]],tbl_clint[[#This Row],[Industry]])</f>
        <v/>
      </c>
      <c r="L386">
        <f>_xlfn.XLOOKUP(tbl_subscription[[#This Row],[Customer_ID]],tbl_clint[[#This Row],[Customer_ID]],tbl_clint[[#This Row],[Company_Size]])</f>
        <v/>
      </c>
      <c r="M386">
        <f>YEAR(tbl_subscription[[#This Row],[Start_Date]])</f>
        <v/>
      </c>
    </row>
    <row r="387">
      <c r="A387" t="inlineStr">
        <is>
          <t>C0386</t>
        </is>
      </c>
      <c r="B387" t="inlineStr">
        <is>
          <t>Basic</t>
        </is>
      </c>
      <c r="C387" s="4" t="n">
        <v>45310</v>
      </c>
      <c r="D387" s="4" t="n">
        <v>45657</v>
      </c>
      <c r="E387" t="n">
        <v>15</v>
      </c>
      <c r="F387" t="inlineStr">
        <is>
          <t>Churned</t>
        </is>
      </c>
      <c r="G387" t="inlineStr">
        <is>
          <t>Instagram</t>
        </is>
      </c>
      <c r="H387">
        <f>TEXT(C387,"mmm-yyyy")</f>
        <v/>
      </c>
      <c r="I387">
        <f>TEXT(D387,"mmm-yyyy")</f>
        <v/>
      </c>
      <c r="J387">
        <f>_xlfn.XLOOKUP(tbl_subscription[[#This Row],[Customer_ID]],tbl_clint[Customer_ID],tbl_clint[Country])</f>
        <v/>
      </c>
      <c r="K387">
        <f>_xlfn.XLOOKUP(tbl_subscription[[#This Row],[Customer_ID]],tbl_clint[[#This Row],[Customer_ID]],tbl_clint[[#This Row],[Industry]])</f>
        <v/>
      </c>
      <c r="L387">
        <f>_xlfn.XLOOKUP(tbl_subscription[[#This Row],[Customer_ID]],tbl_clint[[#This Row],[Customer_ID]],tbl_clint[[#This Row],[Company_Size]])</f>
        <v/>
      </c>
      <c r="M387">
        <f>YEAR(tbl_subscription[[#This Row],[Start_Date]])</f>
        <v/>
      </c>
    </row>
    <row r="388">
      <c r="A388" t="inlineStr">
        <is>
          <t>C0387</t>
        </is>
      </c>
      <c r="B388" t="inlineStr">
        <is>
          <t>Basic</t>
        </is>
      </c>
      <c r="C388" s="4" t="n">
        <v>45385</v>
      </c>
      <c r="D388" s="4" t="n">
        <v>45657</v>
      </c>
      <c r="E388" t="n">
        <v>15</v>
      </c>
      <c r="F388" t="inlineStr">
        <is>
          <t>Active</t>
        </is>
      </c>
      <c r="G388" t="inlineStr">
        <is>
          <t>Facebook</t>
        </is>
      </c>
      <c r="H388">
        <f>TEXT(C388,"mmm-yyyy")</f>
        <v/>
      </c>
      <c r="I388">
        <f>TEXT(D388,"mmm-yyyy")</f>
        <v/>
      </c>
      <c r="J388">
        <f>_xlfn.XLOOKUP(tbl_subscription[[#This Row],[Customer_ID]],tbl_clint[Customer_ID],tbl_clint[Country])</f>
        <v/>
      </c>
      <c r="K388">
        <f>_xlfn.XLOOKUP(tbl_subscription[[#This Row],[Customer_ID]],tbl_clint[[#This Row],[Customer_ID]],tbl_clint[[#This Row],[Industry]])</f>
        <v/>
      </c>
      <c r="L388">
        <f>_xlfn.XLOOKUP(tbl_subscription[[#This Row],[Customer_ID]],tbl_clint[[#This Row],[Customer_ID]],tbl_clint[[#This Row],[Company_Size]])</f>
        <v/>
      </c>
      <c r="M388">
        <f>YEAR(tbl_subscription[[#This Row],[Start_Date]])</f>
        <v/>
      </c>
    </row>
    <row r="389">
      <c r="A389" t="inlineStr">
        <is>
          <t>C0388</t>
        </is>
      </c>
      <c r="B389" t="inlineStr">
        <is>
          <t>Standard</t>
        </is>
      </c>
      <c r="C389" s="4" t="n">
        <v>43986</v>
      </c>
      <c r="D389" s="4" t="n">
        <v>44842</v>
      </c>
      <c r="E389" t="n">
        <v>25</v>
      </c>
      <c r="F389" t="inlineStr">
        <is>
          <t>Churned</t>
        </is>
      </c>
      <c r="G389" t="inlineStr">
        <is>
          <t>LinkedIn</t>
        </is>
      </c>
      <c r="H389">
        <f>TEXT(C389,"mmm-yyyy")</f>
        <v/>
      </c>
      <c r="I389">
        <f>TEXT(D389,"mmm-yyyy")</f>
        <v/>
      </c>
      <c r="J389">
        <f>_xlfn.XLOOKUP(tbl_subscription[[#This Row],[Customer_ID]],tbl_clint[Customer_ID],tbl_clint[Country])</f>
        <v/>
      </c>
      <c r="K389">
        <f>_xlfn.XLOOKUP(tbl_subscription[[#This Row],[Customer_ID]],tbl_clint[[#This Row],[Customer_ID]],tbl_clint[[#This Row],[Industry]])</f>
        <v/>
      </c>
      <c r="L389">
        <f>_xlfn.XLOOKUP(tbl_subscription[[#This Row],[Customer_ID]],tbl_clint[[#This Row],[Customer_ID]],tbl_clint[[#This Row],[Company_Size]])</f>
        <v/>
      </c>
      <c r="M389">
        <f>YEAR(tbl_subscription[[#This Row],[Start_Date]])</f>
        <v/>
      </c>
    </row>
    <row r="390">
      <c r="A390" t="inlineStr">
        <is>
          <t>C0389</t>
        </is>
      </c>
      <c r="B390" t="inlineStr">
        <is>
          <t>Basic</t>
        </is>
      </c>
      <c r="C390" s="4" t="n">
        <v>45310</v>
      </c>
      <c r="D390" s="4" t="n">
        <v>45499</v>
      </c>
      <c r="E390" t="n">
        <v>15</v>
      </c>
      <c r="F390" t="inlineStr">
        <is>
          <t>Churned</t>
        </is>
      </c>
      <c r="G390" t="inlineStr">
        <is>
          <t>Facebook</t>
        </is>
      </c>
      <c r="H390">
        <f>TEXT(C390,"mmm-yyyy")</f>
        <v/>
      </c>
      <c r="I390">
        <f>TEXT(D390,"mmm-yyyy")</f>
        <v/>
      </c>
      <c r="J390">
        <f>_xlfn.XLOOKUP(tbl_subscription[[#This Row],[Customer_ID]],tbl_clint[Customer_ID],tbl_clint[Country])</f>
        <v/>
      </c>
      <c r="K390">
        <f>_xlfn.XLOOKUP(tbl_subscription[[#This Row],[Customer_ID]],tbl_clint[[#This Row],[Customer_ID]],tbl_clint[[#This Row],[Industry]])</f>
        <v/>
      </c>
      <c r="L390">
        <f>_xlfn.XLOOKUP(tbl_subscription[[#This Row],[Customer_ID]],tbl_clint[[#This Row],[Customer_ID]],tbl_clint[[#This Row],[Company_Size]])</f>
        <v/>
      </c>
      <c r="M390">
        <f>YEAR(tbl_subscription[[#This Row],[Start_Date]])</f>
        <v/>
      </c>
    </row>
    <row r="391">
      <c r="A391" t="inlineStr">
        <is>
          <t>C0390</t>
        </is>
      </c>
      <c r="B391" t="inlineStr">
        <is>
          <t>Standard</t>
        </is>
      </c>
      <c r="C391" s="4" t="n">
        <v>44491</v>
      </c>
      <c r="D391" s="4" t="n">
        <v>45657</v>
      </c>
      <c r="E391" t="n">
        <v>25</v>
      </c>
      <c r="F391" t="inlineStr">
        <is>
          <t>Active</t>
        </is>
      </c>
      <c r="G391" t="inlineStr">
        <is>
          <t>Referral</t>
        </is>
      </c>
      <c r="H391">
        <f>TEXT(C391,"mmm-yyyy")</f>
        <v/>
      </c>
      <c r="I391">
        <f>TEXT(D391,"mmm-yyyy")</f>
        <v/>
      </c>
      <c r="J391">
        <f>_xlfn.XLOOKUP(tbl_subscription[[#This Row],[Customer_ID]],tbl_clint[Customer_ID],tbl_clint[Country])</f>
        <v/>
      </c>
      <c r="K391">
        <f>_xlfn.XLOOKUP(tbl_subscription[[#This Row],[Customer_ID]],tbl_clint[[#This Row],[Customer_ID]],tbl_clint[[#This Row],[Industry]])</f>
        <v/>
      </c>
      <c r="L391">
        <f>_xlfn.XLOOKUP(tbl_subscription[[#This Row],[Customer_ID]],tbl_clint[[#This Row],[Customer_ID]],tbl_clint[[#This Row],[Company_Size]])</f>
        <v/>
      </c>
      <c r="M391">
        <f>YEAR(tbl_subscription[[#This Row],[Start_Date]])</f>
        <v/>
      </c>
    </row>
    <row r="392">
      <c r="A392" t="inlineStr">
        <is>
          <t>C0391</t>
        </is>
      </c>
      <c r="B392" t="inlineStr">
        <is>
          <t>Standard</t>
        </is>
      </c>
      <c r="C392" s="4" t="n">
        <v>44827</v>
      </c>
      <c r="D392" s="4" t="n">
        <v>45657</v>
      </c>
      <c r="E392" t="n">
        <v>25</v>
      </c>
      <c r="F392" t="inlineStr">
        <is>
          <t>Active</t>
        </is>
      </c>
      <c r="G392" t="inlineStr">
        <is>
          <t>Referral</t>
        </is>
      </c>
      <c r="H392">
        <f>TEXT(C392,"mmm-yyyy")</f>
        <v/>
      </c>
      <c r="I392">
        <f>TEXT(D392,"mmm-yyyy")</f>
        <v/>
      </c>
      <c r="J392">
        <f>_xlfn.XLOOKUP(tbl_subscription[[#This Row],[Customer_ID]],tbl_clint[Customer_ID],tbl_clint[Country])</f>
        <v/>
      </c>
      <c r="K392">
        <f>_xlfn.XLOOKUP(tbl_subscription[[#This Row],[Customer_ID]],tbl_clint[[#This Row],[Customer_ID]],tbl_clint[[#This Row],[Industry]])</f>
        <v/>
      </c>
      <c r="L392">
        <f>_xlfn.XLOOKUP(tbl_subscription[[#This Row],[Customer_ID]],tbl_clint[[#This Row],[Customer_ID]],tbl_clint[[#This Row],[Company_Size]])</f>
        <v/>
      </c>
      <c r="M392">
        <f>YEAR(tbl_subscription[[#This Row],[Start_Date]])</f>
        <v/>
      </c>
    </row>
    <row r="393">
      <c r="A393" t="inlineStr">
        <is>
          <t>C0392</t>
        </is>
      </c>
      <c r="B393" t="inlineStr">
        <is>
          <t>Standard</t>
        </is>
      </c>
      <c r="C393" s="4" t="n">
        <v>44858</v>
      </c>
      <c r="D393" s="4" t="n">
        <v>45657</v>
      </c>
      <c r="E393" t="n">
        <v>25</v>
      </c>
      <c r="F393" t="inlineStr">
        <is>
          <t>Churned</t>
        </is>
      </c>
      <c r="G393" t="inlineStr">
        <is>
          <t>Facebook</t>
        </is>
      </c>
      <c r="H393">
        <f>TEXT(C393,"mmm-yyyy")</f>
        <v/>
      </c>
      <c r="I393">
        <f>TEXT(D393,"mmm-yyyy")</f>
        <v/>
      </c>
      <c r="J393">
        <f>_xlfn.XLOOKUP(tbl_subscription[[#This Row],[Customer_ID]],tbl_clint[Customer_ID],tbl_clint[Country])</f>
        <v/>
      </c>
      <c r="K393">
        <f>_xlfn.XLOOKUP(tbl_subscription[[#This Row],[Customer_ID]],tbl_clint[[#This Row],[Customer_ID]],tbl_clint[[#This Row],[Industry]])</f>
        <v/>
      </c>
      <c r="L393">
        <f>_xlfn.XLOOKUP(tbl_subscription[[#This Row],[Customer_ID]],tbl_clint[[#This Row],[Customer_ID]],tbl_clint[[#This Row],[Company_Size]])</f>
        <v/>
      </c>
      <c r="M393">
        <f>YEAR(tbl_subscription[[#This Row],[Start_Date]])</f>
        <v/>
      </c>
    </row>
    <row r="394">
      <c r="A394" t="inlineStr">
        <is>
          <t>C0393</t>
        </is>
      </c>
      <c r="B394" t="inlineStr">
        <is>
          <t>Premium</t>
        </is>
      </c>
      <c r="C394" s="4" t="n">
        <v>45315</v>
      </c>
      <c r="D394" s="4" t="n">
        <v>45657</v>
      </c>
      <c r="E394" t="n">
        <v>40</v>
      </c>
      <c r="F394" t="inlineStr">
        <is>
          <t>Churned</t>
        </is>
      </c>
      <c r="G394" t="inlineStr">
        <is>
          <t>Facebook</t>
        </is>
      </c>
      <c r="H394">
        <f>TEXT(C394,"mmm-yyyy")</f>
        <v/>
      </c>
      <c r="I394">
        <f>TEXT(D394,"mmm-yyyy")</f>
        <v/>
      </c>
      <c r="J394">
        <f>_xlfn.XLOOKUP(tbl_subscription[[#This Row],[Customer_ID]],tbl_clint[Customer_ID],tbl_clint[Country])</f>
        <v/>
      </c>
      <c r="K394">
        <f>_xlfn.XLOOKUP(tbl_subscription[[#This Row],[Customer_ID]],tbl_clint[[#This Row],[Customer_ID]],tbl_clint[[#This Row],[Industry]])</f>
        <v/>
      </c>
      <c r="L394">
        <f>_xlfn.XLOOKUP(tbl_subscription[[#This Row],[Customer_ID]],tbl_clint[[#This Row],[Customer_ID]],tbl_clint[[#This Row],[Company_Size]])</f>
        <v/>
      </c>
      <c r="M394">
        <f>YEAR(tbl_subscription[[#This Row],[Start_Date]])</f>
        <v/>
      </c>
    </row>
    <row r="395">
      <c r="A395" t="inlineStr">
        <is>
          <t>C0394</t>
        </is>
      </c>
      <c r="B395" t="inlineStr">
        <is>
          <t>Basic</t>
        </is>
      </c>
      <c r="C395" s="4" t="n">
        <v>44997</v>
      </c>
      <c r="D395" s="4" t="n">
        <v>45657</v>
      </c>
      <c r="E395" t="n">
        <v>15</v>
      </c>
      <c r="F395" t="inlineStr">
        <is>
          <t>Active</t>
        </is>
      </c>
      <c r="G395" t="inlineStr">
        <is>
          <t>Google</t>
        </is>
      </c>
      <c r="H395">
        <f>TEXT(C395,"mmm-yyyy")</f>
        <v/>
      </c>
      <c r="I395">
        <f>TEXT(D395,"mmm-yyyy")</f>
        <v/>
      </c>
      <c r="J395">
        <f>_xlfn.XLOOKUP(tbl_subscription[[#This Row],[Customer_ID]],tbl_clint[Customer_ID],tbl_clint[Country])</f>
        <v/>
      </c>
      <c r="K395">
        <f>_xlfn.XLOOKUP(tbl_subscription[[#This Row],[Customer_ID]],tbl_clint[[#This Row],[Customer_ID]],tbl_clint[[#This Row],[Industry]])</f>
        <v/>
      </c>
      <c r="L395">
        <f>_xlfn.XLOOKUP(tbl_subscription[[#This Row],[Customer_ID]],tbl_clint[[#This Row],[Customer_ID]],tbl_clint[[#This Row],[Company_Size]])</f>
        <v/>
      </c>
      <c r="M395">
        <f>YEAR(tbl_subscription[[#This Row],[Start_Date]])</f>
        <v/>
      </c>
    </row>
    <row r="396">
      <c r="A396" t="inlineStr">
        <is>
          <t>C0395</t>
        </is>
      </c>
      <c r="B396" t="inlineStr">
        <is>
          <t>Basic</t>
        </is>
      </c>
      <c r="C396" s="4" t="n">
        <v>43887</v>
      </c>
      <c r="D396" s="4" t="n">
        <v>45657</v>
      </c>
      <c r="E396" t="n">
        <v>15</v>
      </c>
      <c r="F396" t="inlineStr">
        <is>
          <t>Active</t>
        </is>
      </c>
      <c r="G396" t="inlineStr">
        <is>
          <t>Google</t>
        </is>
      </c>
      <c r="H396">
        <f>TEXT(C396,"mmm-yyyy")</f>
        <v/>
      </c>
      <c r="I396">
        <f>TEXT(D396,"mmm-yyyy")</f>
        <v/>
      </c>
      <c r="J396">
        <f>_xlfn.XLOOKUP(tbl_subscription[[#This Row],[Customer_ID]],tbl_clint[Customer_ID],tbl_clint[Country])</f>
        <v/>
      </c>
      <c r="K396">
        <f>_xlfn.XLOOKUP(tbl_subscription[[#This Row],[Customer_ID]],tbl_clint[[#This Row],[Customer_ID]],tbl_clint[[#This Row],[Industry]])</f>
        <v/>
      </c>
      <c r="L396">
        <f>_xlfn.XLOOKUP(tbl_subscription[[#This Row],[Customer_ID]],tbl_clint[[#This Row],[Customer_ID]],tbl_clint[[#This Row],[Company_Size]])</f>
        <v/>
      </c>
      <c r="M396">
        <f>YEAR(tbl_subscription[[#This Row],[Start_Date]])</f>
        <v/>
      </c>
    </row>
    <row r="397">
      <c r="A397" t="inlineStr">
        <is>
          <t>C0396</t>
        </is>
      </c>
      <c r="B397" t="inlineStr">
        <is>
          <t>Basic</t>
        </is>
      </c>
      <c r="C397" s="4" t="n">
        <v>44575</v>
      </c>
      <c r="D397" s="4" t="n">
        <v>45657</v>
      </c>
      <c r="E397" t="n">
        <v>15</v>
      </c>
      <c r="F397" t="inlineStr">
        <is>
          <t>Active</t>
        </is>
      </c>
      <c r="G397" t="inlineStr">
        <is>
          <t>Instagram</t>
        </is>
      </c>
      <c r="H397">
        <f>TEXT(C397,"mmm-yyyy")</f>
        <v/>
      </c>
      <c r="I397">
        <f>TEXT(D397,"mmm-yyyy")</f>
        <v/>
      </c>
      <c r="J397">
        <f>_xlfn.XLOOKUP(tbl_subscription[[#This Row],[Customer_ID]],tbl_clint[Customer_ID],tbl_clint[Country])</f>
        <v/>
      </c>
      <c r="K397">
        <f>_xlfn.XLOOKUP(tbl_subscription[[#This Row],[Customer_ID]],tbl_clint[[#This Row],[Customer_ID]],tbl_clint[[#This Row],[Industry]])</f>
        <v/>
      </c>
      <c r="L397">
        <f>_xlfn.XLOOKUP(tbl_subscription[[#This Row],[Customer_ID]],tbl_clint[[#This Row],[Customer_ID]],tbl_clint[[#This Row],[Company_Size]])</f>
        <v/>
      </c>
      <c r="M397">
        <f>YEAR(tbl_subscription[[#This Row],[Start_Date]])</f>
        <v/>
      </c>
    </row>
    <row r="398">
      <c r="A398" t="inlineStr">
        <is>
          <t>C0397</t>
        </is>
      </c>
      <c r="B398" t="inlineStr">
        <is>
          <t>Standard</t>
        </is>
      </c>
      <c r="C398" s="4" t="n">
        <v>45183</v>
      </c>
      <c r="D398" s="4" t="n">
        <v>45657</v>
      </c>
      <c r="E398" t="n">
        <v>25</v>
      </c>
      <c r="F398" t="inlineStr">
        <is>
          <t>Active</t>
        </is>
      </c>
      <c r="G398" t="inlineStr">
        <is>
          <t>Referral</t>
        </is>
      </c>
      <c r="H398">
        <f>TEXT(C398,"mmm-yyyy")</f>
        <v/>
      </c>
      <c r="I398">
        <f>TEXT(D398,"mmm-yyyy")</f>
        <v/>
      </c>
      <c r="J398">
        <f>_xlfn.XLOOKUP(tbl_subscription[[#This Row],[Customer_ID]],tbl_clint[Customer_ID],tbl_clint[Country])</f>
        <v/>
      </c>
      <c r="K398">
        <f>_xlfn.XLOOKUP(tbl_subscription[[#This Row],[Customer_ID]],tbl_clint[[#This Row],[Customer_ID]],tbl_clint[[#This Row],[Industry]])</f>
        <v/>
      </c>
      <c r="L398">
        <f>_xlfn.XLOOKUP(tbl_subscription[[#This Row],[Customer_ID]],tbl_clint[[#This Row],[Customer_ID]],tbl_clint[[#This Row],[Company_Size]])</f>
        <v/>
      </c>
      <c r="M398">
        <f>YEAR(tbl_subscription[[#This Row],[Start_Date]])</f>
        <v/>
      </c>
    </row>
    <row r="399">
      <c r="A399" t="inlineStr">
        <is>
          <t>C0398</t>
        </is>
      </c>
      <c r="B399" t="inlineStr">
        <is>
          <t>Basic</t>
        </is>
      </c>
      <c r="C399" s="4" t="n">
        <v>44323</v>
      </c>
      <c r="D399" s="4" t="n">
        <v>45657</v>
      </c>
      <c r="E399" t="n">
        <v>15</v>
      </c>
      <c r="F399" t="inlineStr">
        <is>
          <t>Active</t>
        </is>
      </c>
      <c r="G399" t="inlineStr">
        <is>
          <t>Facebook</t>
        </is>
      </c>
      <c r="H399">
        <f>TEXT(C399,"mmm-yyyy")</f>
        <v/>
      </c>
      <c r="I399">
        <f>TEXT(D399,"mmm-yyyy")</f>
        <v/>
      </c>
      <c r="J399">
        <f>_xlfn.XLOOKUP(tbl_subscription[[#This Row],[Customer_ID]],tbl_clint[Customer_ID],tbl_clint[Country])</f>
        <v/>
      </c>
      <c r="K399">
        <f>_xlfn.XLOOKUP(tbl_subscription[[#This Row],[Customer_ID]],tbl_clint[[#This Row],[Customer_ID]],tbl_clint[[#This Row],[Industry]])</f>
        <v/>
      </c>
      <c r="L399">
        <f>_xlfn.XLOOKUP(tbl_subscription[[#This Row],[Customer_ID]],tbl_clint[[#This Row],[Customer_ID]],tbl_clint[[#This Row],[Company_Size]])</f>
        <v/>
      </c>
      <c r="M399">
        <f>YEAR(tbl_subscription[[#This Row],[Start_Date]])</f>
        <v/>
      </c>
    </row>
    <row r="400">
      <c r="A400" t="inlineStr">
        <is>
          <t>C0399</t>
        </is>
      </c>
      <c r="B400" t="inlineStr">
        <is>
          <t>Basic</t>
        </is>
      </c>
      <c r="C400" s="4" t="n">
        <v>44897</v>
      </c>
      <c r="D400" s="4" t="n">
        <v>45454</v>
      </c>
      <c r="E400" t="n">
        <v>15</v>
      </c>
      <c r="F400" t="inlineStr">
        <is>
          <t>Churned</t>
        </is>
      </c>
      <c r="G400" t="inlineStr">
        <is>
          <t>Google</t>
        </is>
      </c>
      <c r="H400">
        <f>TEXT(C400,"mmm-yyyy")</f>
        <v/>
      </c>
      <c r="I400">
        <f>TEXT(D400,"mmm-yyyy")</f>
        <v/>
      </c>
      <c r="J400">
        <f>_xlfn.XLOOKUP(tbl_subscription[[#This Row],[Customer_ID]],tbl_clint[Customer_ID],tbl_clint[Country])</f>
        <v/>
      </c>
      <c r="K400">
        <f>_xlfn.XLOOKUP(tbl_subscription[[#This Row],[Customer_ID]],tbl_clint[[#This Row],[Customer_ID]],tbl_clint[[#This Row],[Industry]])</f>
        <v/>
      </c>
      <c r="L400">
        <f>_xlfn.XLOOKUP(tbl_subscription[[#This Row],[Customer_ID]],tbl_clint[[#This Row],[Customer_ID]],tbl_clint[[#This Row],[Company_Size]])</f>
        <v/>
      </c>
      <c r="M400">
        <f>YEAR(tbl_subscription[[#This Row],[Start_Date]])</f>
        <v/>
      </c>
    </row>
    <row r="401">
      <c r="A401" t="inlineStr">
        <is>
          <t>C0400</t>
        </is>
      </c>
      <c r="B401" t="inlineStr">
        <is>
          <t>Standard</t>
        </is>
      </c>
      <c r="C401" s="4" t="n">
        <v>44889</v>
      </c>
      <c r="D401" s="4" t="n">
        <v>45657</v>
      </c>
      <c r="E401" t="n">
        <v>25</v>
      </c>
      <c r="F401" t="inlineStr">
        <is>
          <t>Active</t>
        </is>
      </c>
      <c r="G401" t="inlineStr">
        <is>
          <t>Instagram</t>
        </is>
      </c>
      <c r="H401">
        <f>TEXT(C401,"mmm-yyyy")</f>
        <v/>
      </c>
      <c r="I401">
        <f>TEXT(D401,"mmm-yyyy")</f>
        <v/>
      </c>
      <c r="J401">
        <f>_xlfn.XLOOKUP(tbl_subscription[[#This Row],[Customer_ID]],tbl_clint[Customer_ID],tbl_clint[Country])</f>
        <v/>
      </c>
      <c r="K401">
        <f>_xlfn.XLOOKUP(tbl_subscription[[#This Row],[Customer_ID]],tbl_clint[[#This Row],[Customer_ID]],tbl_clint[[#This Row],[Industry]])</f>
        <v/>
      </c>
      <c r="L401">
        <f>_xlfn.XLOOKUP(tbl_subscription[[#This Row],[Customer_ID]],tbl_clint[[#This Row],[Customer_ID]],tbl_clint[[#This Row],[Company_Size]])</f>
        <v/>
      </c>
      <c r="M401">
        <f>YEAR(tbl_subscription[[#This Row],[Start_Date]])</f>
        <v/>
      </c>
    </row>
    <row r="402">
      <c r="A402" t="inlineStr">
        <is>
          <t>C0401</t>
        </is>
      </c>
      <c r="B402" t="inlineStr">
        <is>
          <t>Standard</t>
        </is>
      </c>
      <c r="C402" s="4" t="n">
        <v>44361</v>
      </c>
      <c r="D402" s="4" t="n">
        <v>45657</v>
      </c>
      <c r="E402" t="n">
        <v>25</v>
      </c>
      <c r="F402" t="inlineStr">
        <is>
          <t>Active</t>
        </is>
      </c>
      <c r="G402" t="inlineStr">
        <is>
          <t>Facebook</t>
        </is>
      </c>
      <c r="H402">
        <f>TEXT(C402,"mmm-yyyy")</f>
        <v/>
      </c>
      <c r="I402">
        <f>TEXT(D402,"mmm-yyyy")</f>
        <v/>
      </c>
      <c r="J402">
        <f>_xlfn.XLOOKUP(tbl_subscription[[#This Row],[Customer_ID]],tbl_clint[Customer_ID],tbl_clint[Country])</f>
        <v/>
      </c>
      <c r="K402">
        <f>_xlfn.XLOOKUP(tbl_subscription[[#This Row],[Customer_ID]],tbl_clint[[#This Row],[Customer_ID]],tbl_clint[[#This Row],[Industry]])</f>
        <v/>
      </c>
      <c r="L402">
        <f>_xlfn.XLOOKUP(tbl_subscription[[#This Row],[Customer_ID]],tbl_clint[[#This Row],[Customer_ID]],tbl_clint[[#This Row],[Company_Size]])</f>
        <v/>
      </c>
      <c r="M402">
        <f>YEAR(tbl_subscription[[#This Row],[Start_Date]])</f>
        <v/>
      </c>
    </row>
    <row r="403">
      <c r="A403" t="inlineStr">
        <is>
          <t>C0402</t>
        </is>
      </c>
      <c r="B403" t="inlineStr">
        <is>
          <t>Standard</t>
        </is>
      </c>
      <c r="C403" s="4" t="n">
        <v>44082</v>
      </c>
      <c r="D403" s="4" t="n">
        <v>45657</v>
      </c>
      <c r="E403" t="n">
        <v>25</v>
      </c>
      <c r="F403" t="inlineStr">
        <is>
          <t>Active</t>
        </is>
      </c>
      <c r="G403" t="inlineStr">
        <is>
          <t>Google</t>
        </is>
      </c>
      <c r="H403">
        <f>TEXT(C403,"mmm-yyyy")</f>
        <v/>
      </c>
      <c r="I403">
        <f>TEXT(D403,"mmm-yyyy")</f>
        <v/>
      </c>
      <c r="J403">
        <f>_xlfn.XLOOKUP(tbl_subscription[[#This Row],[Customer_ID]],tbl_clint[Customer_ID],tbl_clint[Country])</f>
        <v/>
      </c>
      <c r="K403">
        <f>_xlfn.XLOOKUP(tbl_subscription[[#This Row],[Customer_ID]],tbl_clint[[#This Row],[Customer_ID]],tbl_clint[[#This Row],[Industry]])</f>
        <v/>
      </c>
      <c r="L403">
        <f>_xlfn.XLOOKUP(tbl_subscription[[#This Row],[Customer_ID]],tbl_clint[[#This Row],[Customer_ID]],tbl_clint[[#This Row],[Company_Size]])</f>
        <v/>
      </c>
      <c r="M403">
        <f>YEAR(tbl_subscription[[#This Row],[Start_Date]])</f>
        <v/>
      </c>
    </row>
    <row r="404">
      <c r="A404" t="inlineStr">
        <is>
          <t>C0403</t>
        </is>
      </c>
      <c r="B404" t="inlineStr">
        <is>
          <t>Standard</t>
        </is>
      </c>
      <c r="C404" s="4" t="n">
        <v>44083</v>
      </c>
      <c r="D404" s="4" t="n">
        <v>45657</v>
      </c>
      <c r="E404" t="n">
        <v>25</v>
      </c>
      <c r="F404" t="inlineStr">
        <is>
          <t>Active</t>
        </is>
      </c>
      <c r="G404" t="inlineStr">
        <is>
          <t>Google</t>
        </is>
      </c>
      <c r="H404">
        <f>TEXT(C404,"mmm-yyyy")</f>
        <v/>
      </c>
      <c r="I404">
        <f>TEXT(D404,"mmm-yyyy")</f>
        <v/>
      </c>
      <c r="J404">
        <f>_xlfn.XLOOKUP(tbl_subscription[[#This Row],[Customer_ID]],tbl_clint[Customer_ID],tbl_clint[Country])</f>
        <v/>
      </c>
      <c r="K404">
        <f>_xlfn.XLOOKUP(tbl_subscription[[#This Row],[Customer_ID]],tbl_clint[[#This Row],[Customer_ID]],tbl_clint[[#This Row],[Industry]])</f>
        <v/>
      </c>
      <c r="L404">
        <f>_xlfn.XLOOKUP(tbl_subscription[[#This Row],[Customer_ID]],tbl_clint[[#This Row],[Customer_ID]],tbl_clint[[#This Row],[Company_Size]])</f>
        <v/>
      </c>
      <c r="M404">
        <f>YEAR(tbl_subscription[[#This Row],[Start_Date]])</f>
        <v/>
      </c>
    </row>
    <row r="405">
      <c r="A405" t="inlineStr">
        <is>
          <t>C0404</t>
        </is>
      </c>
      <c r="B405" t="inlineStr">
        <is>
          <t>Standard</t>
        </is>
      </c>
      <c r="C405" s="4" t="n">
        <v>44361</v>
      </c>
      <c r="D405" s="4" t="n">
        <v>45657</v>
      </c>
      <c r="E405" t="n">
        <v>25</v>
      </c>
      <c r="F405" t="inlineStr">
        <is>
          <t>Active</t>
        </is>
      </c>
      <c r="G405" t="inlineStr">
        <is>
          <t>Referral</t>
        </is>
      </c>
      <c r="H405">
        <f>TEXT(C405,"mmm-yyyy")</f>
        <v/>
      </c>
      <c r="I405">
        <f>TEXT(D405,"mmm-yyyy")</f>
        <v/>
      </c>
      <c r="J405">
        <f>_xlfn.XLOOKUP(tbl_subscription[[#This Row],[Customer_ID]],tbl_clint[Customer_ID],tbl_clint[Country])</f>
        <v/>
      </c>
      <c r="K405">
        <f>_xlfn.XLOOKUP(tbl_subscription[[#This Row],[Customer_ID]],tbl_clint[[#This Row],[Customer_ID]],tbl_clint[[#This Row],[Industry]])</f>
        <v/>
      </c>
      <c r="L405">
        <f>_xlfn.XLOOKUP(tbl_subscription[[#This Row],[Customer_ID]],tbl_clint[[#This Row],[Customer_ID]],tbl_clint[[#This Row],[Company_Size]])</f>
        <v/>
      </c>
      <c r="M405">
        <f>YEAR(tbl_subscription[[#This Row],[Start_Date]])</f>
        <v/>
      </c>
    </row>
    <row r="406">
      <c r="A406" t="inlineStr">
        <is>
          <t>C0405</t>
        </is>
      </c>
      <c r="B406" t="inlineStr">
        <is>
          <t>Standard</t>
        </is>
      </c>
      <c r="C406" s="4" t="n">
        <v>44140</v>
      </c>
      <c r="D406" s="4" t="n">
        <v>45657</v>
      </c>
      <c r="E406" t="n">
        <v>25</v>
      </c>
      <c r="F406" t="inlineStr">
        <is>
          <t>Active</t>
        </is>
      </c>
      <c r="G406" t="inlineStr">
        <is>
          <t>Instagram</t>
        </is>
      </c>
      <c r="H406">
        <f>TEXT(C406,"mmm-yyyy")</f>
        <v/>
      </c>
      <c r="I406">
        <f>TEXT(D406,"mmm-yyyy")</f>
        <v/>
      </c>
      <c r="J406">
        <f>_xlfn.XLOOKUP(tbl_subscription[[#This Row],[Customer_ID]],tbl_clint[Customer_ID],tbl_clint[Country])</f>
        <v/>
      </c>
      <c r="K406">
        <f>_xlfn.XLOOKUP(tbl_subscription[[#This Row],[Customer_ID]],tbl_clint[[#This Row],[Customer_ID]],tbl_clint[[#This Row],[Industry]])</f>
        <v/>
      </c>
      <c r="L406">
        <f>_xlfn.XLOOKUP(tbl_subscription[[#This Row],[Customer_ID]],tbl_clint[[#This Row],[Customer_ID]],tbl_clint[[#This Row],[Company_Size]])</f>
        <v/>
      </c>
      <c r="M406">
        <f>YEAR(tbl_subscription[[#This Row],[Start_Date]])</f>
        <v/>
      </c>
    </row>
    <row r="407">
      <c r="A407" t="inlineStr">
        <is>
          <t>C0406</t>
        </is>
      </c>
      <c r="B407" t="inlineStr">
        <is>
          <t>Standard</t>
        </is>
      </c>
      <c r="C407" s="4" t="n">
        <v>43895</v>
      </c>
      <c r="D407" s="4" t="n">
        <v>45657</v>
      </c>
      <c r="E407" t="n">
        <v>25</v>
      </c>
      <c r="F407" t="inlineStr">
        <is>
          <t>Active</t>
        </is>
      </c>
      <c r="G407" t="inlineStr">
        <is>
          <t>Instagram</t>
        </is>
      </c>
      <c r="H407">
        <f>TEXT(C407,"mmm-yyyy")</f>
        <v/>
      </c>
      <c r="I407">
        <f>TEXT(D407,"mmm-yyyy")</f>
        <v/>
      </c>
      <c r="J407">
        <f>_xlfn.XLOOKUP(tbl_subscription[[#This Row],[Customer_ID]],tbl_clint[Customer_ID],tbl_clint[Country])</f>
        <v/>
      </c>
      <c r="K407">
        <f>_xlfn.XLOOKUP(tbl_subscription[[#This Row],[Customer_ID]],tbl_clint[[#This Row],[Customer_ID]],tbl_clint[[#This Row],[Industry]])</f>
        <v/>
      </c>
      <c r="L407">
        <f>_xlfn.XLOOKUP(tbl_subscription[[#This Row],[Customer_ID]],tbl_clint[[#This Row],[Customer_ID]],tbl_clint[[#This Row],[Company_Size]])</f>
        <v/>
      </c>
      <c r="M407">
        <f>YEAR(tbl_subscription[[#This Row],[Start_Date]])</f>
        <v/>
      </c>
    </row>
    <row r="408">
      <c r="A408" t="inlineStr">
        <is>
          <t>C0407</t>
        </is>
      </c>
      <c r="B408" t="inlineStr">
        <is>
          <t>Premium</t>
        </is>
      </c>
      <c r="C408" s="4" t="n">
        <v>44538</v>
      </c>
      <c r="D408" s="4" t="n">
        <v>45657</v>
      </c>
      <c r="E408" t="n">
        <v>40</v>
      </c>
      <c r="F408" t="inlineStr">
        <is>
          <t>Active</t>
        </is>
      </c>
      <c r="G408" t="inlineStr">
        <is>
          <t>Facebook</t>
        </is>
      </c>
      <c r="H408">
        <f>TEXT(C408,"mmm-yyyy")</f>
        <v/>
      </c>
      <c r="I408">
        <f>TEXT(D408,"mmm-yyyy")</f>
        <v/>
      </c>
      <c r="J408">
        <f>_xlfn.XLOOKUP(tbl_subscription[[#This Row],[Customer_ID]],tbl_clint[Customer_ID],tbl_clint[Country])</f>
        <v/>
      </c>
      <c r="K408">
        <f>_xlfn.XLOOKUP(tbl_subscription[[#This Row],[Customer_ID]],tbl_clint[[#This Row],[Customer_ID]],tbl_clint[[#This Row],[Industry]])</f>
        <v/>
      </c>
      <c r="L408">
        <f>_xlfn.XLOOKUP(tbl_subscription[[#This Row],[Customer_ID]],tbl_clint[[#This Row],[Customer_ID]],tbl_clint[[#This Row],[Company_Size]])</f>
        <v/>
      </c>
      <c r="M408">
        <f>YEAR(tbl_subscription[[#This Row],[Start_Date]])</f>
        <v/>
      </c>
    </row>
    <row r="409">
      <c r="A409" t="inlineStr">
        <is>
          <t>C0408</t>
        </is>
      </c>
      <c r="B409" t="inlineStr">
        <is>
          <t>Premium</t>
        </is>
      </c>
      <c r="C409" s="4" t="n">
        <v>44352</v>
      </c>
      <c r="D409" s="4" t="n">
        <v>45657</v>
      </c>
      <c r="E409" t="n">
        <v>40</v>
      </c>
      <c r="F409" t="inlineStr">
        <is>
          <t>Active</t>
        </is>
      </c>
      <c r="G409" t="inlineStr">
        <is>
          <t>Google</t>
        </is>
      </c>
      <c r="H409">
        <f>TEXT(C409,"mmm-yyyy")</f>
        <v/>
      </c>
      <c r="I409">
        <f>TEXT(D409,"mmm-yyyy")</f>
        <v/>
      </c>
      <c r="J409">
        <f>_xlfn.XLOOKUP(tbl_subscription[[#This Row],[Customer_ID]],tbl_clint[Customer_ID],tbl_clint[Country])</f>
        <v/>
      </c>
      <c r="K409">
        <f>_xlfn.XLOOKUP(tbl_subscription[[#This Row],[Customer_ID]],tbl_clint[[#This Row],[Customer_ID]],tbl_clint[[#This Row],[Industry]])</f>
        <v/>
      </c>
      <c r="L409">
        <f>_xlfn.XLOOKUP(tbl_subscription[[#This Row],[Customer_ID]],tbl_clint[[#This Row],[Customer_ID]],tbl_clint[[#This Row],[Company_Size]])</f>
        <v/>
      </c>
      <c r="M409">
        <f>YEAR(tbl_subscription[[#This Row],[Start_Date]])</f>
        <v/>
      </c>
    </row>
    <row r="410">
      <c r="A410" t="inlineStr">
        <is>
          <t>C0409</t>
        </is>
      </c>
      <c r="B410" t="inlineStr">
        <is>
          <t>Standard</t>
        </is>
      </c>
      <c r="C410" s="4" t="n">
        <v>44590</v>
      </c>
      <c r="D410" s="4" t="n">
        <v>45657</v>
      </c>
      <c r="E410" t="n">
        <v>25</v>
      </c>
      <c r="F410" t="inlineStr">
        <is>
          <t>Active</t>
        </is>
      </c>
      <c r="G410" t="inlineStr">
        <is>
          <t>LinkedIn</t>
        </is>
      </c>
      <c r="H410">
        <f>TEXT(C410,"mmm-yyyy")</f>
        <v/>
      </c>
      <c r="I410">
        <f>TEXT(D410,"mmm-yyyy")</f>
        <v/>
      </c>
      <c r="J410">
        <f>_xlfn.XLOOKUP(tbl_subscription[[#This Row],[Customer_ID]],tbl_clint[Customer_ID],tbl_clint[Country])</f>
        <v/>
      </c>
      <c r="K410">
        <f>_xlfn.XLOOKUP(tbl_subscription[[#This Row],[Customer_ID]],tbl_clint[[#This Row],[Customer_ID]],tbl_clint[[#This Row],[Industry]])</f>
        <v/>
      </c>
      <c r="L410">
        <f>_xlfn.XLOOKUP(tbl_subscription[[#This Row],[Customer_ID]],tbl_clint[[#This Row],[Customer_ID]],tbl_clint[[#This Row],[Company_Size]])</f>
        <v/>
      </c>
      <c r="M410">
        <f>YEAR(tbl_subscription[[#This Row],[Start_Date]])</f>
        <v/>
      </c>
    </row>
    <row r="411">
      <c r="A411" t="inlineStr">
        <is>
          <t>C0410</t>
        </is>
      </c>
      <c r="B411" t="inlineStr">
        <is>
          <t>Basic</t>
        </is>
      </c>
      <c r="C411" s="4" t="n">
        <v>45290</v>
      </c>
      <c r="D411" s="4" t="n">
        <v>45657</v>
      </c>
      <c r="E411" t="n">
        <v>15</v>
      </c>
      <c r="F411" t="inlineStr">
        <is>
          <t>Active</t>
        </is>
      </c>
      <c r="G411" t="inlineStr">
        <is>
          <t>Referral</t>
        </is>
      </c>
      <c r="H411">
        <f>TEXT(C411,"mmm-yyyy")</f>
        <v/>
      </c>
      <c r="I411">
        <f>TEXT(D411,"mmm-yyyy")</f>
        <v/>
      </c>
      <c r="J411">
        <f>_xlfn.XLOOKUP(tbl_subscription[[#This Row],[Customer_ID]],tbl_clint[Customer_ID],tbl_clint[Country])</f>
        <v/>
      </c>
      <c r="K411">
        <f>_xlfn.XLOOKUP(tbl_subscription[[#This Row],[Customer_ID]],tbl_clint[[#This Row],[Customer_ID]],tbl_clint[[#This Row],[Industry]])</f>
        <v/>
      </c>
      <c r="L411">
        <f>_xlfn.XLOOKUP(tbl_subscription[[#This Row],[Customer_ID]],tbl_clint[[#This Row],[Customer_ID]],tbl_clint[[#This Row],[Company_Size]])</f>
        <v/>
      </c>
      <c r="M411">
        <f>YEAR(tbl_subscription[[#This Row],[Start_Date]])</f>
        <v/>
      </c>
    </row>
    <row r="412">
      <c r="A412" t="inlineStr">
        <is>
          <t>C0411</t>
        </is>
      </c>
      <c r="B412" t="inlineStr">
        <is>
          <t>Standard</t>
        </is>
      </c>
      <c r="C412" s="4" t="n">
        <v>45119</v>
      </c>
      <c r="D412" s="4" t="n">
        <v>45657</v>
      </c>
      <c r="E412" t="n">
        <v>25</v>
      </c>
      <c r="F412" t="inlineStr">
        <is>
          <t>Active</t>
        </is>
      </c>
      <c r="G412" t="inlineStr">
        <is>
          <t>LinkedIn</t>
        </is>
      </c>
      <c r="H412">
        <f>TEXT(C412,"mmm-yyyy")</f>
        <v/>
      </c>
      <c r="I412">
        <f>TEXT(D412,"mmm-yyyy")</f>
        <v/>
      </c>
      <c r="J412">
        <f>_xlfn.XLOOKUP(tbl_subscription[[#This Row],[Customer_ID]],tbl_clint[Customer_ID],tbl_clint[Country])</f>
        <v/>
      </c>
      <c r="K412">
        <f>_xlfn.XLOOKUP(tbl_subscription[[#This Row],[Customer_ID]],tbl_clint[[#This Row],[Customer_ID]],tbl_clint[[#This Row],[Industry]])</f>
        <v/>
      </c>
      <c r="L412">
        <f>_xlfn.XLOOKUP(tbl_subscription[[#This Row],[Customer_ID]],tbl_clint[[#This Row],[Customer_ID]],tbl_clint[[#This Row],[Company_Size]])</f>
        <v/>
      </c>
      <c r="M412">
        <f>YEAR(tbl_subscription[[#This Row],[Start_Date]])</f>
        <v/>
      </c>
    </row>
    <row r="413">
      <c r="A413" t="inlineStr">
        <is>
          <t>C0412</t>
        </is>
      </c>
      <c r="B413" t="inlineStr">
        <is>
          <t>Basic</t>
        </is>
      </c>
      <c r="C413" s="4" t="n">
        <v>44247</v>
      </c>
      <c r="D413" s="4" t="n">
        <v>45657</v>
      </c>
      <c r="E413" t="n">
        <v>15</v>
      </c>
      <c r="F413" t="inlineStr">
        <is>
          <t>Active</t>
        </is>
      </c>
      <c r="G413" t="inlineStr">
        <is>
          <t>Referral</t>
        </is>
      </c>
      <c r="H413">
        <f>TEXT(C413,"mmm-yyyy")</f>
        <v/>
      </c>
      <c r="I413">
        <f>TEXT(D413,"mmm-yyyy")</f>
        <v/>
      </c>
      <c r="J413">
        <f>_xlfn.XLOOKUP(tbl_subscription[[#This Row],[Customer_ID]],tbl_clint[Customer_ID],tbl_clint[Country])</f>
        <v/>
      </c>
      <c r="K413">
        <f>_xlfn.XLOOKUP(tbl_subscription[[#This Row],[Customer_ID]],tbl_clint[[#This Row],[Customer_ID]],tbl_clint[[#This Row],[Industry]])</f>
        <v/>
      </c>
      <c r="L413">
        <f>_xlfn.XLOOKUP(tbl_subscription[[#This Row],[Customer_ID]],tbl_clint[[#This Row],[Customer_ID]],tbl_clint[[#This Row],[Company_Size]])</f>
        <v/>
      </c>
      <c r="M413">
        <f>YEAR(tbl_subscription[[#This Row],[Start_Date]])</f>
        <v/>
      </c>
    </row>
    <row r="414">
      <c r="A414" t="inlineStr">
        <is>
          <t>C0413</t>
        </is>
      </c>
      <c r="B414" t="inlineStr">
        <is>
          <t>Basic</t>
        </is>
      </c>
      <c r="C414" s="4" t="n">
        <v>44817</v>
      </c>
      <c r="D414" s="4" t="n">
        <v>45657</v>
      </c>
      <c r="E414" t="n">
        <v>15</v>
      </c>
      <c r="F414" t="inlineStr">
        <is>
          <t>Active</t>
        </is>
      </c>
      <c r="G414" t="inlineStr">
        <is>
          <t>Google</t>
        </is>
      </c>
      <c r="H414">
        <f>TEXT(C414,"mmm-yyyy")</f>
        <v/>
      </c>
      <c r="I414">
        <f>TEXT(D414,"mmm-yyyy")</f>
        <v/>
      </c>
      <c r="J414">
        <f>_xlfn.XLOOKUP(tbl_subscription[[#This Row],[Customer_ID]],tbl_clint[Customer_ID],tbl_clint[Country])</f>
        <v/>
      </c>
      <c r="K414">
        <f>_xlfn.XLOOKUP(tbl_subscription[[#This Row],[Customer_ID]],tbl_clint[[#This Row],[Customer_ID]],tbl_clint[[#This Row],[Industry]])</f>
        <v/>
      </c>
      <c r="L414">
        <f>_xlfn.XLOOKUP(tbl_subscription[[#This Row],[Customer_ID]],tbl_clint[[#This Row],[Customer_ID]],tbl_clint[[#This Row],[Company_Size]])</f>
        <v/>
      </c>
      <c r="M414">
        <f>YEAR(tbl_subscription[[#This Row],[Start_Date]])</f>
        <v/>
      </c>
    </row>
    <row r="415">
      <c r="A415" t="inlineStr">
        <is>
          <t>C0414</t>
        </is>
      </c>
      <c r="B415" t="inlineStr">
        <is>
          <t>Basic</t>
        </is>
      </c>
      <c r="C415" s="4" t="n">
        <v>44517</v>
      </c>
      <c r="D415" s="4" t="n">
        <v>45657</v>
      </c>
      <c r="E415" t="n">
        <v>15</v>
      </c>
      <c r="F415" t="inlineStr">
        <is>
          <t>Active</t>
        </is>
      </c>
      <c r="G415" t="inlineStr">
        <is>
          <t>Google</t>
        </is>
      </c>
      <c r="H415">
        <f>TEXT(C415,"mmm-yyyy")</f>
        <v/>
      </c>
      <c r="I415">
        <f>TEXT(D415,"mmm-yyyy")</f>
        <v/>
      </c>
      <c r="J415">
        <f>_xlfn.XLOOKUP(tbl_subscription[[#This Row],[Customer_ID]],tbl_clint[Customer_ID],tbl_clint[Country])</f>
        <v/>
      </c>
      <c r="K415">
        <f>_xlfn.XLOOKUP(tbl_subscription[[#This Row],[Customer_ID]],tbl_clint[[#This Row],[Customer_ID]],tbl_clint[[#This Row],[Industry]])</f>
        <v/>
      </c>
      <c r="L415">
        <f>_xlfn.XLOOKUP(tbl_subscription[[#This Row],[Customer_ID]],tbl_clint[[#This Row],[Customer_ID]],tbl_clint[[#This Row],[Company_Size]])</f>
        <v/>
      </c>
      <c r="M415">
        <f>YEAR(tbl_subscription[[#This Row],[Start_Date]])</f>
        <v/>
      </c>
    </row>
    <row r="416">
      <c r="A416" t="inlineStr">
        <is>
          <t>C0415</t>
        </is>
      </c>
      <c r="B416" t="inlineStr">
        <is>
          <t>Standard</t>
        </is>
      </c>
      <c r="C416" s="4" t="n">
        <v>44010</v>
      </c>
      <c r="D416" s="4" t="n">
        <v>45657</v>
      </c>
      <c r="E416" t="n">
        <v>25</v>
      </c>
      <c r="F416" t="inlineStr">
        <is>
          <t>Active</t>
        </is>
      </c>
      <c r="G416" t="inlineStr">
        <is>
          <t>Referral</t>
        </is>
      </c>
      <c r="H416">
        <f>TEXT(C416,"mmm-yyyy")</f>
        <v/>
      </c>
      <c r="I416">
        <f>TEXT(D416,"mmm-yyyy")</f>
        <v/>
      </c>
      <c r="J416">
        <f>_xlfn.XLOOKUP(tbl_subscription[[#This Row],[Customer_ID]],tbl_clint[Customer_ID],tbl_clint[Country])</f>
        <v/>
      </c>
      <c r="K416">
        <f>_xlfn.XLOOKUP(tbl_subscription[[#This Row],[Customer_ID]],tbl_clint[[#This Row],[Customer_ID]],tbl_clint[[#This Row],[Industry]])</f>
        <v/>
      </c>
      <c r="L416">
        <f>_xlfn.XLOOKUP(tbl_subscription[[#This Row],[Customer_ID]],tbl_clint[[#This Row],[Customer_ID]],tbl_clint[[#This Row],[Company_Size]])</f>
        <v/>
      </c>
      <c r="M416">
        <f>YEAR(tbl_subscription[[#This Row],[Start_Date]])</f>
        <v/>
      </c>
    </row>
    <row r="417">
      <c r="A417" t="inlineStr">
        <is>
          <t>C0416</t>
        </is>
      </c>
      <c r="B417" t="inlineStr">
        <is>
          <t>Premium</t>
        </is>
      </c>
      <c r="C417" s="4" t="n">
        <v>44836</v>
      </c>
      <c r="D417" s="4" t="n">
        <v>45657</v>
      </c>
      <c r="E417" t="n">
        <v>40</v>
      </c>
      <c r="F417" t="inlineStr">
        <is>
          <t>Active</t>
        </is>
      </c>
      <c r="G417" t="inlineStr">
        <is>
          <t>LinkedIn</t>
        </is>
      </c>
      <c r="H417">
        <f>TEXT(C417,"mmm-yyyy")</f>
        <v/>
      </c>
      <c r="I417">
        <f>TEXT(D417,"mmm-yyyy")</f>
        <v/>
      </c>
      <c r="J417">
        <f>_xlfn.XLOOKUP(tbl_subscription[[#This Row],[Customer_ID]],tbl_clint[Customer_ID],tbl_clint[Country])</f>
        <v/>
      </c>
      <c r="K417">
        <f>_xlfn.XLOOKUP(tbl_subscription[[#This Row],[Customer_ID]],tbl_clint[[#This Row],[Customer_ID]],tbl_clint[[#This Row],[Industry]])</f>
        <v/>
      </c>
      <c r="L417">
        <f>_xlfn.XLOOKUP(tbl_subscription[[#This Row],[Customer_ID]],tbl_clint[[#This Row],[Customer_ID]],tbl_clint[[#This Row],[Company_Size]])</f>
        <v/>
      </c>
      <c r="M417">
        <f>YEAR(tbl_subscription[[#This Row],[Start_Date]])</f>
        <v/>
      </c>
    </row>
    <row r="418">
      <c r="A418" t="inlineStr">
        <is>
          <t>C0417</t>
        </is>
      </c>
      <c r="B418" t="inlineStr">
        <is>
          <t>Standard</t>
        </is>
      </c>
      <c r="C418" s="4" t="n">
        <v>45031</v>
      </c>
      <c r="D418" s="4" t="n">
        <v>45657</v>
      </c>
      <c r="E418" t="n">
        <v>25</v>
      </c>
      <c r="F418" t="inlineStr">
        <is>
          <t>Active</t>
        </is>
      </c>
      <c r="G418" t="inlineStr">
        <is>
          <t>Instagram</t>
        </is>
      </c>
      <c r="H418">
        <f>TEXT(C418,"mmm-yyyy")</f>
        <v/>
      </c>
      <c r="I418">
        <f>TEXT(D418,"mmm-yyyy")</f>
        <v/>
      </c>
      <c r="J418">
        <f>_xlfn.XLOOKUP(tbl_subscription[[#This Row],[Customer_ID]],tbl_clint[Customer_ID],tbl_clint[Country])</f>
        <v/>
      </c>
      <c r="K418">
        <f>_xlfn.XLOOKUP(tbl_subscription[[#This Row],[Customer_ID]],tbl_clint[[#This Row],[Customer_ID]],tbl_clint[[#This Row],[Industry]])</f>
        <v/>
      </c>
      <c r="L418">
        <f>_xlfn.XLOOKUP(tbl_subscription[[#This Row],[Customer_ID]],tbl_clint[[#This Row],[Customer_ID]],tbl_clint[[#This Row],[Company_Size]])</f>
        <v/>
      </c>
      <c r="M418">
        <f>YEAR(tbl_subscription[[#This Row],[Start_Date]])</f>
        <v/>
      </c>
    </row>
    <row r="419">
      <c r="A419" t="inlineStr">
        <is>
          <t>C0418</t>
        </is>
      </c>
      <c r="B419" t="inlineStr">
        <is>
          <t>Premium</t>
        </is>
      </c>
      <c r="C419" s="4" t="n">
        <v>45205</v>
      </c>
      <c r="D419" s="4" t="n">
        <v>45657</v>
      </c>
      <c r="E419" t="n">
        <v>40</v>
      </c>
      <c r="F419" t="inlineStr">
        <is>
          <t>Churned</t>
        </is>
      </c>
      <c r="G419" t="inlineStr">
        <is>
          <t>Referral</t>
        </is>
      </c>
      <c r="H419">
        <f>TEXT(C419,"mmm-yyyy")</f>
        <v/>
      </c>
      <c r="I419">
        <f>TEXT(D419,"mmm-yyyy")</f>
        <v/>
      </c>
      <c r="J419">
        <f>_xlfn.XLOOKUP(tbl_subscription[[#This Row],[Customer_ID]],tbl_clint[Customer_ID],tbl_clint[Country])</f>
        <v/>
      </c>
      <c r="K419">
        <f>_xlfn.XLOOKUP(tbl_subscription[[#This Row],[Customer_ID]],tbl_clint[[#This Row],[Customer_ID]],tbl_clint[[#This Row],[Industry]])</f>
        <v/>
      </c>
      <c r="L419">
        <f>_xlfn.XLOOKUP(tbl_subscription[[#This Row],[Customer_ID]],tbl_clint[[#This Row],[Customer_ID]],tbl_clint[[#This Row],[Company_Size]])</f>
        <v/>
      </c>
      <c r="M419">
        <f>YEAR(tbl_subscription[[#This Row],[Start_Date]])</f>
        <v/>
      </c>
    </row>
    <row r="420">
      <c r="A420" t="inlineStr">
        <is>
          <t>C0419</t>
        </is>
      </c>
      <c r="B420" t="inlineStr">
        <is>
          <t>Basic</t>
        </is>
      </c>
      <c r="C420" s="4" t="n">
        <v>45091</v>
      </c>
      <c r="D420" s="4" t="n">
        <v>45504</v>
      </c>
      <c r="E420" t="n">
        <v>15</v>
      </c>
      <c r="F420" t="inlineStr">
        <is>
          <t>Churned</t>
        </is>
      </c>
      <c r="G420" t="inlineStr">
        <is>
          <t>Google</t>
        </is>
      </c>
      <c r="H420">
        <f>TEXT(C420,"mmm-yyyy")</f>
        <v/>
      </c>
      <c r="I420">
        <f>TEXT(D420,"mmm-yyyy")</f>
        <v/>
      </c>
      <c r="J420">
        <f>_xlfn.XLOOKUP(tbl_subscription[[#This Row],[Customer_ID]],tbl_clint[Customer_ID],tbl_clint[Country])</f>
        <v/>
      </c>
      <c r="K420">
        <f>_xlfn.XLOOKUP(tbl_subscription[[#This Row],[Customer_ID]],tbl_clint[[#This Row],[Customer_ID]],tbl_clint[[#This Row],[Industry]])</f>
        <v/>
      </c>
      <c r="L420">
        <f>_xlfn.XLOOKUP(tbl_subscription[[#This Row],[Customer_ID]],tbl_clint[[#This Row],[Customer_ID]],tbl_clint[[#This Row],[Company_Size]])</f>
        <v/>
      </c>
      <c r="M420">
        <f>YEAR(tbl_subscription[[#This Row],[Start_Date]])</f>
        <v/>
      </c>
    </row>
    <row r="421">
      <c r="A421" t="inlineStr">
        <is>
          <t>C0420</t>
        </is>
      </c>
      <c r="B421" t="inlineStr">
        <is>
          <t>Premium</t>
        </is>
      </c>
      <c r="C421" s="4" t="n">
        <v>45176</v>
      </c>
      <c r="D421" s="4" t="n">
        <v>45464</v>
      </c>
      <c r="E421" t="n">
        <v>40</v>
      </c>
      <c r="F421" t="inlineStr">
        <is>
          <t>Churned</t>
        </is>
      </c>
      <c r="G421" t="inlineStr">
        <is>
          <t>Instagram</t>
        </is>
      </c>
      <c r="H421">
        <f>TEXT(C421,"mmm-yyyy")</f>
        <v/>
      </c>
      <c r="I421">
        <f>TEXT(D421,"mmm-yyyy")</f>
        <v/>
      </c>
      <c r="J421">
        <f>_xlfn.XLOOKUP(tbl_subscription[[#This Row],[Customer_ID]],tbl_clint[Customer_ID],tbl_clint[Country])</f>
        <v/>
      </c>
      <c r="K421">
        <f>_xlfn.XLOOKUP(tbl_subscription[[#This Row],[Customer_ID]],tbl_clint[[#This Row],[Customer_ID]],tbl_clint[[#This Row],[Industry]])</f>
        <v/>
      </c>
      <c r="L421">
        <f>_xlfn.XLOOKUP(tbl_subscription[[#This Row],[Customer_ID]],tbl_clint[[#This Row],[Customer_ID]],tbl_clint[[#This Row],[Company_Size]])</f>
        <v/>
      </c>
      <c r="M421">
        <f>YEAR(tbl_subscription[[#This Row],[Start_Date]])</f>
        <v/>
      </c>
    </row>
    <row r="422">
      <c r="A422" t="inlineStr">
        <is>
          <t>C0421</t>
        </is>
      </c>
      <c r="B422" t="inlineStr">
        <is>
          <t>Premium</t>
        </is>
      </c>
      <c r="C422" s="4" t="n">
        <v>43887</v>
      </c>
      <c r="D422" s="4" t="n">
        <v>45657</v>
      </c>
      <c r="E422" t="n">
        <v>40</v>
      </c>
      <c r="F422" t="inlineStr">
        <is>
          <t>Active</t>
        </is>
      </c>
      <c r="G422" t="inlineStr">
        <is>
          <t>LinkedIn</t>
        </is>
      </c>
      <c r="H422">
        <f>TEXT(C422,"mmm-yyyy")</f>
        <v/>
      </c>
      <c r="I422">
        <f>TEXT(D422,"mmm-yyyy")</f>
        <v/>
      </c>
      <c r="J422">
        <f>_xlfn.XLOOKUP(tbl_subscription[[#This Row],[Customer_ID]],tbl_clint[Customer_ID],tbl_clint[Country])</f>
        <v/>
      </c>
      <c r="K422">
        <f>_xlfn.XLOOKUP(tbl_subscription[[#This Row],[Customer_ID]],tbl_clint[[#This Row],[Customer_ID]],tbl_clint[[#This Row],[Industry]])</f>
        <v/>
      </c>
      <c r="L422">
        <f>_xlfn.XLOOKUP(tbl_subscription[[#This Row],[Customer_ID]],tbl_clint[[#This Row],[Customer_ID]],tbl_clint[[#This Row],[Company_Size]])</f>
        <v/>
      </c>
      <c r="M422">
        <f>YEAR(tbl_subscription[[#This Row],[Start_Date]])</f>
        <v/>
      </c>
    </row>
    <row r="423">
      <c r="A423" t="inlineStr">
        <is>
          <t>C0422</t>
        </is>
      </c>
      <c r="B423" t="inlineStr">
        <is>
          <t>Premium</t>
        </is>
      </c>
      <c r="C423" s="4" t="n">
        <v>44054</v>
      </c>
      <c r="D423" s="4" t="n">
        <v>44908</v>
      </c>
      <c r="E423" t="n">
        <v>40</v>
      </c>
      <c r="F423" t="inlineStr">
        <is>
          <t>Churned</t>
        </is>
      </c>
      <c r="G423" t="inlineStr">
        <is>
          <t>Facebook</t>
        </is>
      </c>
      <c r="H423">
        <f>TEXT(C423,"mmm-yyyy")</f>
        <v/>
      </c>
      <c r="I423">
        <f>TEXT(D423,"mmm-yyyy")</f>
        <v/>
      </c>
      <c r="J423">
        <f>_xlfn.XLOOKUP(tbl_subscription[[#This Row],[Customer_ID]],tbl_clint[Customer_ID],tbl_clint[Country])</f>
        <v/>
      </c>
      <c r="K423">
        <f>_xlfn.XLOOKUP(tbl_subscription[[#This Row],[Customer_ID]],tbl_clint[[#This Row],[Customer_ID]],tbl_clint[[#This Row],[Industry]])</f>
        <v/>
      </c>
      <c r="L423">
        <f>_xlfn.XLOOKUP(tbl_subscription[[#This Row],[Customer_ID]],tbl_clint[[#This Row],[Customer_ID]],tbl_clint[[#This Row],[Company_Size]])</f>
        <v/>
      </c>
      <c r="M423">
        <f>YEAR(tbl_subscription[[#This Row],[Start_Date]])</f>
        <v/>
      </c>
    </row>
    <row r="424">
      <c r="A424" t="inlineStr">
        <is>
          <t>C0423</t>
        </is>
      </c>
      <c r="B424" t="inlineStr">
        <is>
          <t>Standard</t>
        </is>
      </c>
      <c r="C424" s="4" t="n">
        <v>44851</v>
      </c>
      <c r="D424" s="4" t="n">
        <v>45657</v>
      </c>
      <c r="E424" t="n">
        <v>25</v>
      </c>
      <c r="F424" t="inlineStr">
        <is>
          <t>Active</t>
        </is>
      </c>
      <c r="G424" t="inlineStr">
        <is>
          <t>Facebook</t>
        </is>
      </c>
      <c r="H424">
        <f>TEXT(C424,"mmm-yyyy")</f>
        <v/>
      </c>
      <c r="I424">
        <f>TEXT(D424,"mmm-yyyy")</f>
        <v/>
      </c>
      <c r="J424">
        <f>_xlfn.XLOOKUP(tbl_subscription[[#This Row],[Customer_ID]],tbl_clint[Customer_ID],tbl_clint[Country])</f>
        <v/>
      </c>
      <c r="K424">
        <f>_xlfn.XLOOKUP(tbl_subscription[[#This Row],[Customer_ID]],tbl_clint[[#This Row],[Customer_ID]],tbl_clint[[#This Row],[Industry]])</f>
        <v/>
      </c>
      <c r="L424">
        <f>_xlfn.XLOOKUP(tbl_subscription[[#This Row],[Customer_ID]],tbl_clint[[#This Row],[Customer_ID]],tbl_clint[[#This Row],[Company_Size]])</f>
        <v/>
      </c>
      <c r="M424">
        <f>YEAR(tbl_subscription[[#This Row],[Start_Date]])</f>
        <v/>
      </c>
    </row>
    <row r="425">
      <c r="A425" t="inlineStr">
        <is>
          <t>C0424</t>
        </is>
      </c>
      <c r="B425" t="inlineStr">
        <is>
          <t>Premium</t>
        </is>
      </c>
      <c r="C425" s="4" t="n">
        <v>44157</v>
      </c>
      <c r="D425" s="4" t="n">
        <v>45657</v>
      </c>
      <c r="E425" t="n">
        <v>40</v>
      </c>
      <c r="F425" t="inlineStr">
        <is>
          <t>Active</t>
        </is>
      </c>
      <c r="G425" t="inlineStr">
        <is>
          <t>LinkedIn</t>
        </is>
      </c>
      <c r="H425">
        <f>TEXT(C425,"mmm-yyyy")</f>
        <v/>
      </c>
      <c r="I425">
        <f>TEXT(D425,"mmm-yyyy")</f>
        <v/>
      </c>
      <c r="J425">
        <f>_xlfn.XLOOKUP(tbl_subscription[[#This Row],[Customer_ID]],tbl_clint[Customer_ID],tbl_clint[Country])</f>
        <v/>
      </c>
      <c r="K425">
        <f>_xlfn.XLOOKUP(tbl_subscription[[#This Row],[Customer_ID]],tbl_clint[[#This Row],[Customer_ID]],tbl_clint[[#This Row],[Industry]])</f>
        <v/>
      </c>
      <c r="L425">
        <f>_xlfn.XLOOKUP(tbl_subscription[[#This Row],[Customer_ID]],tbl_clint[[#This Row],[Customer_ID]],tbl_clint[[#This Row],[Company_Size]])</f>
        <v/>
      </c>
      <c r="M425">
        <f>YEAR(tbl_subscription[[#This Row],[Start_Date]])</f>
        <v/>
      </c>
    </row>
    <row r="426">
      <c r="A426" t="inlineStr">
        <is>
          <t>C0425</t>
        </is>
      </c>
      <c r="B426" t="inlineStr">
        <is>
          <t>Standard</t>
        </is>
      </c>
      <c r="C426" s="4" t="n">
        <v>45039</v>
      </c>
      <c r="D426" s="4" t="n">
        <v>45657</v>
      </c>
      <c r="E426" t="n">
        <v>25</v>
      </c>
      <c r="F426" t="inlineStr">
        <is>
          <t>Churned</t>
        </is>
      </c>
      <c r="G426" t="inlineStr">
        <is>
          <t>LinkedIn</t>
        </is>
      </c>
      <c r="H426">
        <f>TEXT(C426,"mmm-yyyy")</f>
        <v/>
      </c>
      <c r="I426">
        <f>TEXT(D426,"mmm-yyyy")</f>
        <v/>
      </c>
      <c r="J426">
        <f>_xlfn.XLOOKUP(tbl_subscription[[#This Row],[Customer_ID]],tbl_clint[Customer_ID],tbl_clint[Country])</f>
        <v/>
      </c>
      <c r="K426">
        <f>_xlfn.XLOOKUP(tbl_subscription[[#This Row],[Customer_ID]],tbl_clint[[#This Row],[Customer_ID]],tbl_clint[[#This Row],[Industry]])</f>
        <v/>
      </c>
      <c r="L426">
        <f>_xlfn.XLOOKUP(tbl_subscription[[#This Row],[Customer_ID]],tbl_clint[[#This Row],[Customer_ID]],tbl_clint[[#This Row],[Company_Size]])</f>
        <v/>
      </c>
      <c r="M426">
        <f>YEAR(tbl_subscription[[#This Row],[Start_Date]])</f>
        <v/>
      </c>
    </row>
    <row r="427">
      <c r="A427" t="inlineStr">
        <is>
          <t>C0426</t>
        </is>
      </c>
      <c r="B427" t="inlineStr">
        <is>
          <t>Premium</t>
        </is>
      </c>
      <c r="C427" s="4" t="n">
        <v>44274</v>
      </c>
      <c r="D427" s="4" t="n">
        <v>45657</v>
      </c>
      <c r="E427" t="n">
        <v>40</v>
      </c>
      <c r="F427" t="inlineStr">
        <is>
          <t>Active</t>
        </is>
      </c>
      <c r="G427" t="inlineStr">
        <is>
          <t>Instagram</t>
        </is>
      </c>
      <c r="H427">
        <f>TEXT(C427,"mmm-yyyy")</f>
        <v/>
      </c>
      <c r="I427">
        <f>TEXT(D427,"mmm-yyyy")</f>
        <v/>
      </c>
      <c r="J427">
        <f>_xlfn.XLOOKUP(tbl_subscription[[#This Row],[Customer_ID]],tbl_clint[Customer_ID],tbl_clint[Country])</f>
        <v/>
      </c>
      <c r="K427">
        <f>_xlfn.XLOOKUP(tbl_subscription[[#This Row],[Customer_ID]],tbl_clint[[#This Row],[Customer_ID]],tbl_clint[[#This Row],[Industry]])</f>
        <v/>
      </c>
      <c r="L427">
        <f>_xlfn.XLOOKUP(tbl_subscription[[#This Row],[Customer_ID]],tbl_clint[[#This Row],[Customer_ID]],tbl_clint[[#This Row],[Company_Size]])</f>
        <v/>
      </c>
      <c r="M427">
        <f>YEAR(tbl_subscription[[#This Row],[Start_Date]])</f>
        <v/>
      </c>
    </row>
    <row r="428">
      <c r="A428" t="inlineStr">
        <is>
          <t>C0427</t>
        </is>
      </c>
      <c r="B428" t="inlineStr">
        <is>
          <t>Basic</t>
        </is>
      </c>
      <c r="C428" s="4" t="n">
        <v>43948</v>
      </c>
      <c r="D428" s="4" t="n">
        <v>45657</v>
      </c>
      <c r="E428" t="n">
        <v>15</v>
      </c>
      <c r="F428" t="inlineStr">
        <is>
          <t>Active</t>
        </is>
      </c>
      <c r="G428" t="inlineStr">
        <is>
          <t>LinkedIn</t>
        </is>
      </c>
      <c r="H428">
        <f>TEXT(C428,"mmm-yyyy")</f>
        <v/>
      </c>
      <c r="I428">
        <f>TEXT(D428,"mmm-yyyy")</f>
        <v/>
      </c>
      <c r="J428">
        <f>_xlfn.XLOOKUP(tbl_subscription[[#This Row],[Customer_ID]],tbl_clint[Customer_ID],tbl_clint[Country])</f>
        <v/>
      </c>
      <c r="K428">
        <f>_xlfn.XLOOKUP(tbl_subscription[[#This Row],[Customer_ID]],tbl_clint[[#This Row],[Customer_ID]],tbl_clint[[#This Row],[Industry]])</f>
        <v/>
      </c>
      <c r="L428">
        <f>_xlfn.XLOOKUP(tbl_subscription[[#This Row],[Customer_ID]],tbl_clint[[#This Row],[Customer_ID]],tbl_clint[[#This Row],[Company_Size]])</f>
        <v/>
      </c>
      <c r="M428">
        <f>YEAR(tbl_subscription[[#This Row],[Start_Date]])</f>
        <v/>
      </c>
    </row>
    <row r="429">
      <c r="A429" t="inlineStr">
        <is>
          <t>C0428</t>
        </is>
      </c>
      <c r="B429" t="inlineStr">
        <is>
          <t>Standard</t>
        </is>
      </c>
      <c r="C429" s="4" t="n">
        <v>44353</v>
      </c>
      <c r="D429" s="4" t="n">
        <v>44555</v>
      </c>
      <c r="E429" t="n">
        <v>25</v>
      </c>
      <c r="F429" t="inlineStr">
        <is>
          <t>Churned</t>
        </is>
      </c>
      <c r="G429" t="inlineStr">
        <is>
          <t>Facebook</t>
        </is>
      </c>
      <c r="H429">
        <f>TEXT(C429,"mmm-yyyy")</f>
        <v/>
      </c>
      <c r="I429">
        <f>TEXT(D429,"mmm-yyyy")</f>
        <v/>
      </c>
      <c r="J429">
        <f>_xlfn.XLOOKUP(tbl_subscription[[#This Row],[Customer_ID]],tbl_clint[Customer_ID],tbl_clint[Country])</f>
        <v/>
      </c>
      <c r="K429">
        <f>_xlfn.XLOOKUP(tbl_subscription[[#This Row],[Customer_ID]],tbl_clint[[#This Row],[Customer_ID]],tbl_clint[[#This Row],[Industry]])</f>
        <v/>
      </c>
      <c r="L429">
        <f>_xlfn.XLOOKUP(tbl_subscription[[#This Row],[Customer_ID]],tbl_clint[[#This Row],[Customer_ID]],tbl_clint[[#This Row],[Company_Size]])</f>
        <v/>
      </c>
      <c r="M429">
        <f>YEAR(tbl_subscription[[#This Row],[Start_Date]])</f>
        <v/>
      </c>
    </row>
    <row r="430">
      <c r="A430" t="inlineStr">
        <is>
          <t>C0429</t>
        </is>
      </c>
      <c r="B430" t="inlineStr">
        <is>
          <t>Premium</t>
        </is>
      </c>
      <c r="C430" s="4" t="n">
        <v>44759</v>
      </c>
      <c r="D430" s="4" t="n">
        <v>45221</v>
      </c>
      <c r="E430" t="n">
        <v>40</v>
      </c>
      <c r="F430" t="inlineStr">
        <is>
          <t>Churned</t>
        </is>
      </c>
      <c r="G430" t="inlineStr">
        <is>
          <t>Facebook</t>
        </is>
      </c>
      <c r="H430">
        <f>TEXT(C430,"mmm-yyyy")</f>
        <v/>
      </c>
      <c r="I430">
        <f>TEXT(D430,"mmm-yyyy")</f>
        <v/>
      </c>
      <c r="J430">
        <f>_xlfn.XLOOKUP(tbl_subscription[[#This Row],[Customer_ID]],tbl_clint[Customer_ID],tbl_clint[Country])</f>
        <v/>
      </c>
      <c r="K430">
        <f>_xlfn.XLOOKUP(tbl_subscription[[#This Row],[Customer_ID]],tbl_clint[[#This Row],[Customer_ID]],tbl_clint[[#This Row],[Industry]])</f>
        <v/>
      </c>
      <c r="L430">
        <f>_xlfn.XLOOKUP(tbl_subscription[[#This Row],[Customer_ID]],tbl_clint[[#This Row],[Customer_ID]],tbl_clint[[#This Row],[Company_Size]])</f>
        <v/>
      </c>
      <c r="M430">
        <f>YEAR(tbl_subscription[[#This Row],[Start_Date]])</f>
        <v/>
      </c>
    </row>
    <row r="431">
      <c r="A431" t="inlineStr">
        <is>
          <t>C0430</t>
        </is>
      </c>
      <c r="B431" t="inlineStr">
        <is>
          <t>Premium</t>
        </is>
      </c>
      <c r="C431" s="4" t="n">
        <v>44313</v>
      </c>
      <c r="D431" s="4" t="n">
        <v>45657</v>
      </c>
      <c r="E431" t="n">
        <v>40</v>
      </c>
      <c r="F431" t="inlineStr">
        <is>
          <t>Active</t>
        </is>
      </c>
      <c r="G431" t="inlineStr">
        <is>
          <t>LinkedIn</t>
        </is>
      </c>
      <c r="H431">
        <f>TEXT(C431,"mmm-yyyy")</f>
        <v/>
      </c>
      <c r="I431">
        <f>TEXT(D431,"mmm-yyyy")</f>
        <v/>
      </c>
      <c r="J431">
        <f>_xlfn.XLOOKUP(tbl_subscription[[#This Row],[Customer_ID]],tbl_clint[Customer_ID],tbl_clint[Country])</f>
        <v/>
      </c>
      <c r="K431">
        <f>_xlfn.XLOOKUP(tbl_subscription[[#This Row],[Customer_ID]],tbl_clint[[#This Row],[Customer_ID]],tbl_clint[[#This Row],[Industry]])</f>
        <v/>
      </c>
      <c r="L431">
        <f>_xlfn.XLOOKUP(tbl_subscription[[#This Row],[Customer_ID]],tbl_clint[[#This Row],[Customer_ID]],tbl_clint[[#This Row],[Company_Size]])</f>
        <v/>
      </c>
      <c r="M431">
        <f>YEAR(tbl_subscription[[#This Row],[Start_Date]])</f>
        <v/>
      </c>
    </row>
    <row r="432">
      <c r="A432" t="inlineStr">
        <is>
          <t>C0431</t>
        </is>
      </c>
      <c r="B432" t="inlineStr">
        <is>
          <t>Basic</t>
        </is>
      </c>
      <c r="C432" s="4" t="n">
        <v>45064</v>
      </c>
      <c r="D432" s="4" t="n">
        <v>45657</v>
      </c>
      <c r="E432" t="n">
        <v>15</v>
      </c>
      <c r="F432" t="inlineStr">
        <is>
          <t>Churned</t>
        </is>
      </c>
      <c r="G432" t="inlineStr">
        <is>
          <t>Facebook</t>
        </is>
      </c>
      <c r="H432">
        <f>TEXT(C432,"mmm-yyyy")</f>
        <v/>
      </c>
      <c r="I432">
        <f>TEXT(D432,"mmm-yyyy")</f>
        <v/>
      </c>
      <c r="J432">
        <f>_xlfn.XLOOKUP(tbl_subscription[[#This Row],[Customer_ID]],tbl_clint[Customer_ID],tbl_clint[Country])</f>
        <v/>
      </c>
      <c r="K432">
        <f>_xlfn.XLOOKUP(tbl_subscription[[#This Row],[Customer_ID]],tbl_clint[[#This Row],[Customer_ID]],tbl_clint[[#This Row],[Industry]])</f>
        <v/>
      </c>
      <c r="L432">
        <f>_xlfn.XLOOKUP(tbl_subscription[[#This Row],[Customer_ID]],tbl_clint[[#This Row],[Customer_ID]],tbl_clint[[#This Row],[Company_Size]])</f>
        <v/>
      </c>
      <c r="M432">
        <f>YEAR(tbl_subscription[[#This Row],[Start_Date]])</f>
        <v/>
      </c>
    </row>
    <row r="433">
      <c r="A433" t="inlineStr">
        <is>
          <t>C0432</t>
        </is>
      </c>
      <c r="B433" t="inlineStr">
        <is>
          <t>Basic</t>
        </is>
      </c>
      <c r="C433" s="4" t="n">
        <v>45359</v>
      </c>
      <c r="D433" s="4" t="n">
        <v>45657</v>
      </c>
      <c r="E433" t="n">
        <v>15</v>
      </c>
      <c r="F433" t="inlineStr">
        <is>
          <t>Churned</t>
        </is>
      </c>
      <c r="G433" t="inlineStr">
        <is>
          <t>LinkedIn</t>
        </is>
      </c>
      <c r="H433">
        <f>TEXT(C433,"mmm-yyyy")</f>
        <v/>
      </c>
      <c r="I433">
        <f>TEXT(D433,"mmm-yyyy")</f>
        <v/>
      </c>
      <c r="J433">
        <f>_xlfn.XLOOKUP(tbl_subscription[[#This Row],[Customer_ID]],tbl_clint[Customer_ID],tbl_clint[Country])</f>
        <v/>
      </c>
      <c r="K433">
        <f>_xlfn.XLOOKUP(tbl_subscription[[#This Row],[Customer_ID]],tbl_clint[[#This Row],[Customer_ID]],tbl_clint[[#This Row],[Industry]])</f>
        <v/>
      </c>
      <c r="L433">
        <f>_xlfn.XLOOKUP(tbl_subscription[[#This Row],[Customer_ID]],tbl_clint[[#This Row],[Customer_ID]],tbl_clint[[#This Row],[Company_Size]])</f>
        <v/>
      </c>
      <c r="M433">
        <f>YEAR(tbl_subscription[[#This Row],[Start_Date]])</f>
        <v/>
      </c>
    </row>
    <row r="434">
      <c r="A434" t="inlineStr">
        <is>
          <t>C0433</t>
        </is>
      </c>
      <c r="B434" t="inlineStr">
        <is>
          <t>Standard</t>
        </is>
      </c>
      <c r="C434" s="4" t="n">
        <v>45063</v>
      </c>
      <c r="D434" s="4" t="n">
        <v>45657</v>
      </c>
      <c r="E434" t="n">
        <v>25</v>
      </c>
      <c r="F434" t="inlineStr">
        <is>
          <t>Active</t>
        </is>
      </c>
      <c r="G434" t="inlineStr">
        <is>
          <t>Google</t>
        </is>
      </c>
      <c r="H434">
        <f>TEXT(C434,"mmm-yyyy")</f>
        <v/>
      </c>
      <c r="I434">
        <f>TEXT(D434,"mmm-yyyy")</f>
        <v/>
      </c>
      <c r="J434">
        <f>_xlfn.XLOOKUP(tbl_subscription[[#This Row],[Customer_ID]],tbl_clint[Customer_ID],tbl_clint[Country])</f>
        <v/>
      </c>
      <c r="K434">
        <f>_xlfn.XLOOKUP(tbl_subscription[[#This Row],[Customer_ID]],tbl_clint[[#This Row],[Customer_ID]],tbl_clint[[#This Row],[Industry]])</f>
        <v/>
      </c>
      <c r="L434">
        <f>_xlfn.XLOOKUP(tbl_subscription[[#This Row],[Customer_ID]],tbl_clint[[#This Row],[Customer_ID]],tbl_clint[[#This Row],[Company_Size]])</f>
        <v/>
      </c>
      <c r="M434">
        <f>YEAR(tbl_subscription[[#This Row],[Start_Date]])</f>
        <v/>
      </c>
    </row>
    <row r="435">
      <c r="A435" t="inlineStr">
        <is>
          <t>C0434</t>
        </is>
      </c>
      <c r="B435" t="inlineStr">
        <is>
          <t>Basic</t>
        </is>
      </c>
      <c r="C435" s="4" t="n">
        <v>44773</v>
      </c>
      <c r="D435" s="4" t="n">
        <v>45657</v>
      </c>
      <c r="E435" t="n">
        <v>15</v>
      </c>
      <c r="F435" t="inlineStr">
        <is>
          <t>Active</t>
        </is>
      </c>
      <c r="G435" t="inlineStr">
        <is>
          <t>Google</t>
        </is>
      </c>
      <c r="H435">
        <f>TEXT(C435,"mmm-yyyy")</f>
        <v/>
      </c>
      <c r="I435">
        <f>TEXT(D435,"mmm-yyyy")</f>
        <v/>
      </c>
      <c r="J435">
        <f>_xlfn.XLOOKUP(tbl_subscription[[#This Row],[Customer_ID]],tbl_clint[Customer_ID],tbl_clint[Country])</f>
        <v/>
      </c>
      <c r="K435">
        <f>_xlfn.XLOOKUP(tbl_subscription[[#This Row],[Customer_ID]],tbl_clint[[#This Row],[Customer_ID]],tbl_clint[[#This Row],[Industry]])</f>
        <v/>
      </c>
      <c r="L435">
        <f>_xlfn.XLOOKUP(tbl_subscription[[#This Row],[Customer_ID]],tbl_clint[[#This Row],[Customer_ID]],tbl_clint[[#This Row],[Company_Size]])</f>
        <v/>
      </c>
      <c r="M435">
        <f>YEAR(tbl_subscription[[#This Row],[Start_Date]])</f>
        <v/>
      </c>
    </row>
    <row r="436">
      <c r="A436" t="inlineStr">
        <is>
          <t>C0435</t>
        </is>
      </c>
      <c r="B436" t="inlineStr">
        <is>
          <t>Basic</t>
        </is>
      </c>
      <c r="C436" s="4" t="n">
        <v>44511</v>
      </c>
      <c r="D436" s="4" t="n">
        <v>45657</v>
      </c>
      <c r="E436" t="n">
        <v>15</v>
      </c>
      <c r="F436" t="inlineStr">
        <is>
          <t>Active</t>
        </is>
      </c>
      <c r="G436" t="inlineStr">
        <is>
          <t>Instagram</t>
        </is>
      </c>
      <c r="H436">
        <f>TEXT(C436,"mmm-yyyy")</f>
        <v/>
      </c>
      <c r="I436">
        <f>TEXT(D436,"mmm-yyyy")</f>
        <v/>
      </c>
      <c r="J436">
        <f>_xlfn.XLOOKUP(tbl_subscription[[#This Row],[Customer_ID]],tbl_clint[Customer_ID],tbl_clint[Country])</f>
        <v/>
      </c>
      <c r="K436">
        <f>_xlfn.XLOOKUP(tbl_subscription[[#This Row],[Customer_ID]],tbl_clint[[#This Row],[Customer_ID]],tbl_clint[[#This Row],[Industry]])</f>
        <v/>
      </c>
      <c r="L436">
        <f>_xlfn.XLOOKUP(tbl_subscription[[#This Row],[Customer_ID]],tbl_clint[[#This Row],[Customer_ID]],tbl_clint[[#This Row],[Company_Size]])</f>
        <v/>
      </c>
      <c r="M436">
        <f>YEAR(tbl_subscription[[#This Row],[Start_Date]])</f>
        <v/>
      </c>
    </row>
    <row r="437">
      <c r="A437" t="inlineStr">
        <is>
          <t>C0436</t>
        </is>
      </c>
      <c r="B437" t="inlineStr">
        <is>
          <t>Premium</t>
        </is>
      </c>
      <c r="C437" s="4" t="n">
        <v>44988</v>
      </c>
      <c r="D437" s="4" t="n">
        <v>45657</v>
      </c>
      <c r="E437" t="n">
        <v>40</v>
      </c>
      <c r="F437" t="inlineStr">
        <is>
          <t>Active</t>
        </is>
      </c>
      <c r="G437" t="inlineStr">
        <is>
          <t>Google</t>
        </is>
      </c>
      <c r="H437">
        <f>TEXT(C437,"mmm-yyyy")</f>
        <v/>
      </c>
      <c r="I437">
        <f>TEXT(D437,"mmm-yyyy")</f>
        <v/>
      </c>
      <c r="J437">
        <f>_xlfn.XLOOKUP(tbl_subscription[[#This Row],[Customer_ID]],tbl_clint[Customer_ID],tbl_clint[Country])</f>
        <v/>
      </c>
      <c r="K437">
        <f>_xlfn.XLOOKUP(tbl_subscription[[#This Row],[Customer_ID]],tbl_clint[[#This Row],[Customer_ID]],tbl_clint[[#This Row],[Industry]])</f>
        <v/>
      </c>
      <c r="L437">
        <f>_xlfn.XLOOKUP(tbl_subscription[[#This Row],[Customer_ID]],tbl_clint[[#This Row],[Customer_ID]],tbl_clint[[#This Row],[Company_Size]])</f>
        <v/>
      </c>
      <c r="M437">
        <f>YEAR(tbl_subscription[[#This Row],[Start_Date]])</f>
        <v/>
      </c>
    </row>
    <row r="438">
      <c r="A438" t="inlineStr">
        <is>
          <t>C0437</t>
        </is>
      </c>
      <c r="B438" t="inlineStr">
        <is>
          <t>Standard</t>
        </is>
      </c>
      <c r="C438" s="4" t="n">
        <v>44016</v>
      </c>
      <c r="D438" s="4" t="n">
        <v>44201</v>
      </c>
      <c r="E438" t="n">
        <v>25</v>
      </c>
      <c r="F438" t="inlineStr">
        <is>
          <t>Churned</t>
        </is>
      </c>
      <c r="G438" t="inlineStr">
        <is>
          <t>Google</t>
        </is>
      </c>
      <c r="H438">
        <f>TEXT(C438,"mmm-yyyy")</f>
        <v/>
      </c>
      <c r="I438">
        <f>TEXT(D438,"mmm-yyyy")</f>
        <v/>
      </c>
      <c r="J438">
        <f>_xlfn.XLOOKUP(tbl_subscription[[#This Row],[Customer_ID]],tbl_clint[Customer_ID],tbl_clint[Country])</f>
        <v/>
      </c>
      <c r="K438">
        <f>_xlfn.XLOOKUP(tbl_subscription[[#This Row],[Customer_ID]],tbl_clint[[#This Row],[Customer_ID]],tbl_clint[[#This Row],[Industry]])</f>
        <v/>
      </c>
      <c r="L438">
        <f>_xlfn.XLOOKUP(tbl_subscription[[#This Row],[Customer_ID]],tbl_clint[[#This Row],[Customer_ID]],tbl_clint[[#This Row],[Company_Size]])</f>
        <v/>
      </c>
      <c r="M438">
        <f>YEAR(tbl_subscription[[#This Row],[Start_Date]])</f>
        <v/>
      </c>
    </row>
    <row r="439">
      <c r="A439" t="inlineStr">
        <is>
          <t>C0438</t>
        </is>
      </c>
      <c r="B439" t="inlineStr">
        <is>
          <t>Standard</t>
        </is>
      </c>
      <c r="C439" s="4" t="n">
        <v>45272</v>
      </c>
      <c r="D439" s="4" t="n">
        <v>45657</v>
      </c>
      <c r="E439" t="n">
        <v>25</v>
      </c>
      <c r="F439" t="inlineStr">
        <is>
          <t>Active</t>
        </is>
      </c>
      <c r="G439" t="inlineStr">
        <is>
          <t>LinkedIn</t>
        </is>
      </c>
      <c r="H439">
        <f>TEXT(C439,"mmm-yyyy")</f>
        <v/>
      </c>
      <c r="I439">
        <f>TEXT(D439,"mmm-yyyy")</f>
        <v/>
      </c>
      <c r="J439">
        <f>_xlfn.XLOOKUP(tbl_subscription[[#This Row],[Customer_ID]],tbl_clint[Customer_ID],tbl_clint[Country])</f>
        <v/>
      </c>
      <c r="K439">
        <f>_xlfn.XLOOKUP(tbl_subscription[[#This Row],[Customer_ID]],tbl_clint[[#This Row],[Customer_ID]],tbl_clint[[#This Row],[Industry]])</f>
        <v/>
      </c>
      <c r="L439">
        <f>_xlfn.XLOOKUP(tbl_subscription[[#This Row],[Customer_ID]],tbl_clint[[#This Row],[Customer_ID]],tbl_clint[[#This Row],[Company_Size]])</f>
        <v/>
      </c>
      <c r="M439">
        <f>YEAR(tbl_subscription[[#This Row],[Start_Date]])</f>
        <v/>
      </c>
    </row>
    <row r="440">
      <c r="A440" t="inlineStr">
        <is>
          <t>C0439</t>
        </is>
      </c>
      <c r="B440" t="inlineStr">
        <is>
          <t>Standard</t>
        </is>
      </c>
      <c r="C440" s="4" t="n">
        <v>44769</v>
      </c>
      <c r="D440" s="4" t="n">
        <v>45657</v>
      </c>
      <c r="E440" t="n">
        <v>25</v>
      </c>
      <c r="F440" t="inlineStr">
        <is>
          <t>Active</t>
        </is>
      </c>
      <c r="G440" t="inlineStr">
        <is>
          <t>Instagram</t>
        </is>
      </c>
      <c r="H440">
        <f>TEXT(C440,"mmm-yyyy")</f>
        <v/>
      </c>
      <c r="I440">
        <f>TEXT(D440,"mmm-yyyy")</f>
        <v/>
      </c>
      <c r="J440">
        <f>_xlfn.XLOOKUP(tbl_subscription[[#This Row],[Customer_ID]],tbl_clint[Customer_ID],tbl_clint[Country])</f>
        <v/>
      </c>
      <c r="K440">
        <f>_xlfn.XLOOKUP(tbl_subscription[[#This Row],[Customer_ID]],tbl_clint[[#This Row],[Customer_ID]],tbl_clint[[#This Row],[Industry]])</f>
        <v/>
      </c>
      <c r="L440">
        <f>_xlfn.XLOOKUP(tbl_subscription[[#This Row],[Customer_ID]],tbl_clint[[#This Row],[Customer_ID]],tbl_clint[[#This Row],[Company_Size]])</f>
        <v/>
      </c>
      <c r="M440">
        <f>YEAR(tbl_subscription[[#This Row],[Start_Date]])</f>
        <v/>
      </c>
    </row>
    <row r="441">
      <c r="A441" t="inlineStr">
        <is>
          <t>C0440</t>
        </is>
      </c>
      <c r="B441" t="inlineStr">
        <is>
          <t>Basic</t>
        </is>
      </c>
      <c r="C441" s="4" t="n">
        <v>44313</v>
      </c>
      <c r="D441" s="4" t="n">
        <v>44626</v>
      </c>
      <c r="E441" t="n">
        <v>15</v>
      </c>
      <c r="F441" t="inlineStr">
        <is>
          <t>Churned</t>
        </is>
      </c>
      <c r="G441" t="inlineStr">
        <is>
          <t>LinkedIn</t>
        </is>
      </c>
      <c r="H441">
        <f>TEXT(C441,"mmm-yyyy")</f>
        <v/>
      </c>
      <c r="I441">
        <f>TEXT(D441,"mmm-yyyy")</f>
        <v/>
      </c>
      <c r="J441">
        <f>_xlfn.XLOOKUP(tbl_subscription[[#This Row],[Customer_ID]],tbl_clint[Customer_ID],tbl_clint[Country])</f>
        <v/>
      </c>
      <c r="K441">
        <f>_xlfn.XLOOKUP(tbl_subscription[[#This Row],[Customer_ID]],tbl_clint[[#This Row],[Customer_ID]],tbl_clint[[#This Row],[Industry]])</f>
        <v/>
      </c>
      <c r="L441">
        <f>_xlfn.XLOOKUP(tbl_subscription[[#This Row],[Customer_ID]],tbl_clint[[#This Row],[Customer_ID]],tbl_clint[[#This Row],[Company_Size]])</f>
        <v/>
      </c>
      <c r="M441">
        <f>YEAR(tbl_subscription[[#This Row],[Start_Date]])</f>
        <v/>
      </c>
    </row>
    <row r="442">
      <c r="A442" t="inlineStr">
        <is>
          <t>C0441</t>
        </is>
      </c>
      <c r="B442" t="inlineStr">
        <is>
          <t>Standard</t>
        </is>
      </c>
      <c r="C442" s="4" t="n">
        <v>45316</v>
      </c>
      <c r="D442" s="4" t="n">
        <v>45657</v>
      </c>
      <c r="E442" t="n">
        <v>25</v>
      </c>
      <c r="F442" t="inlineStr">
        <is>
          <t>Active</t>
        </is>
      </c>
      <c r="G442" t="inlineStr">
        <is>
          <t>Referral</t>
        </is>
      </c>
      <c r="H442">
        <f>TEXT(C442,"mmm-yyyy")</f>
        <v/>
      </c>
      <c r="I442">
        <f>TEXT(D442,"mmm-yyyy")</f>
        <v/>
      </c>
      <c r="J442">
        <f>_xlfn.XLOOKUP(tbl_subscription[[#This Row],[Customer_ID]],tbl_clint[Customer_ID],tbl_clint[Country])</f>
        <v/>
      </c>
      <c r="K442">
        <f>_xlfn.XLOOKUP(tbl_subscription[[#This Row],[Customer_ID]],tbl_clint[[#This Row],[Customer_ID]],tbl_clint[[#This Row],[Industry]])</f>
        <v/>
      </c>
      <c r="L442">
        <f>_xlfn.XLOOKUP(tbl_subscription[[#This Row],[Customer_ID]],tbl_clint[[#This Row],[Customer_ID]],tbl_clint[[#This Row],[Company_Size]])</f>
        <v/>
      </c>
      <c r="M442">
        <f>YEAR(tbl_subscription[[#This Row],[Start_Date]])</f>
        <v/>
      </c>
    </row>
    <row r="443">
      <c r="A443" t="inlineStr">
        <is>
          <t>C0442</t>
        </is>
      </c>
      <c r="B443" t="inlineStr">
        <is>
          <t>Standard</t>
        </is>
      </c>
      <c r="C443" s="4" t="n">
        <v>44561</v>
      </c>
      <c r="D443" s="4" t="n">
        <v>45657</v>
      </c>
      <c r="E443" t="n">
        <v>25</v>
      </c>
      <c r="F443" t="inlineStr">
        <is>
          <t>Active</t>
        </is>
      </c>
      <c r="G443" t="inlineStr">
        <is>
          <t>Facebook</t>
        </is>
      </c>
      <c r="H443">
        <f>TEXT(C443,"mmm-yyyy")</f>
        <v/>
      </c>
      <c r="I443">
        <f>TEXT(D443,"mmm-yyyy")</f>
        <v/>
      </c>
      <c r="J443">
        <f>_xlfn.XLOOKUP(tbl_subscription[[#This Row],[Customer_ID]],tbl_clint[Customer_ID],tbl_clint[Country])</f>
        <v/>
      </c>
      <c r="K443">
        <f>_xlfn.XLOOKUP(tbl_subscription[[#This Row],[Customer_ID]],tbl_clint[[#This Row],[Customer_ID]],tbl_clint[[#This Row],[Industry]])</f>
        <v/>
      </c>
      <c r="L443">
        <f>_xlfn.XLOOKUP(tbl_subscription[[#This Row],[Customer_ID]],tbl_clint[[#This Row],[Customer_ID]],tbl_clint[[#This Row],[Company_Size]])</f>
        <v/>
      </c>
      <c r="M443">
        <f>YEAR(tbl_subscription[[#This Row],[Start_Date]])</f>
        <v/>
      </c>
    </row>
    <row r="444">
      <c r="A444" t="inlineStr">
        <is>
          <t>C0443</t>
        </is>
      </c>
      <c r="B444" t="inlineStr">
        <is>
          <t>Basic</t>
        </is>
      </c>
      <c r="C444" s="4" t="n">
        <v>43884</v>
      </c>
      <c r="D444" s="4" t="n">
        <v>45657</v>
      </c>
      <c r="E444" t="n">
        <v>15</v>
      </c>
      <c r="F444" t="inlineStr">
        <is>
          <t>Active</t>
        </is>
      </c>
      <c r="G444" t="inlineStr">
        <is>
          <t>Google</t>
        </is>
      </c>
      <c r="H444">
        <f>TEXT(C444,"mmm-yyyy")</f>
        <v/>
      </c>
      <c r="I444">
        <f>TEXT(D444,"mmm-yyyy")</f>
        <v/>
      </c>
      <c r="J444">
        <f>_xlfn.XLOOKUP(tbl_subscription[[#This Row],[Customer_ID]],tbl_clint[Customer_ID],tbl_clint[Country])</f>
        <v/>
      </c>
      <c r="K444">
        <f>_xlfn.XLOOKUP(tbl_subscription[[#This Row],[Customer_ID]],tbl_clint[[#This Row],[Customer_ID]],tbl_clint[[#This Row],[Industry]])</f>
        <v/>
      </c>
      <c r="L444">
        <f>_xlfn.XLOOKUP(tbl_subscription[[#This Row],[Customer_ID]],tbl_clint[[#This Row],[Customer_ID]],tbl_clint[[#This Row],[Company_Size]])</f>
        <v/>
      </c>
      <c r="M444">
        <f>YEAR(tbl_subscription[[#This Row],[Start_Date]])</f>
        <v/>
      </c>
    </row>
    <row r="445">
      <c r="A445" t="inlineStr">
        <is>
          <t>C0444</t>
        </is>
      </c>
      <c r="B445" t="inlineStr">
        <is>
          <t>Standard</t>
        </is>
      </c>
      <c r="C445" s="4" t="n">
        <v>45429</v>
      </c>
      <c r="D445" s="4" t="n">
        <v>45657</v>
      </c>
      <c r="E445" t="n">
        <v>25</v>
      </c>
      <c r="F445" t="inlineStr">
        <is>
          <t>Active</t>
        </is>
      </c>
      <c r="G445" t="inlineStr">
        <is>
          <t>Referral</t>
        </is>
      </c>
      <c r="H445">
        <f>TEXT(C445,"mmm-yyyy")</f>
        <v/>
      </c>
      <c r="I445">
        <f>TEXT(D445,"mmm-yyyy")</f>
        <v/>
      </c>
      <c r="J445">
        <f>_xlfn.XLOOKUP(tbl_subscription[[#This Row],[Customer_ID]],tbl_clint[Customer_ID],tbl_clint[Country])</f>
        <v/>
      </c>
      <c r="K445">
        <f>_xlfn.XLOOKUP(tbl_subscription[[#This Row],[Customer_ID]],tbl_clint[[#This Row],[Customer_ID]],tbl_clint[[#This Row],[Industry]])</f>
        <v/>
      </c>
      <c r="L445">
        <f>_xlfn.XLOOKUP(tbl_subscription[[#This Row],[Customer_ID]],tbl_clint[[#This Row],[Customer_ID]],tbl_clint[[#This Row],[Company_Size]])</f>
        <v/>
      </c>
      <c r="M445">
        <f>YEAR(tbl_subscription[[#This Row],[Start_Date]])</f>
        <v/>
      </c>
    </row>
    <row r="446">
      <c r="A446" t="inlineStr">
        <is>
          <t>C0445</t>
        </is>
      </c>
      <c r="B446" t="inlineStr">
        <is>
          <t>Premium</t>
        </is>
      </c>
      <c r="C446" s="4" t="n">
        <v>43848</v>
      </c>
      <c r="D446" s="4" t="n">
        <v>45657</v>
      </c>
      <c r="E446" t="n">
        <v>40</v>
      </c>
      <c r="F446" t="inlineStr">
        <is>
          <t>Active</t>
        </is>
      </c>
      <c r="G446" t="inlineStr">
        <is>
          <t>Google</t>
        </is>
      </c>
      <c r="H446">
        <f>TEXT(C446,"mmm-yyyy")</f>
        <v/>
      </c>
      <c r="I446">
        <f>TEXT(D446,"mmm-yyyy")</f>
        <v/>
      </c>
      <c r="J446">
        <f>_xlfn.XLOOKUP(tbl_subscription[[#This Row],[Customer_ID]],tbl_clint[Customer_ID],tbl_clint[Country])</f>
        <v/>
      </c>
      <c r="K446">
        <f>_xlfn.XLOOKUP(tbl_subscription[[#This Row],[Customer_ID]],tbl_clint[[#This Row],[Customer_ID]],tbl_clint[[#This Row],[Industry]])</f>
        <v/>
      </c>
      <c r="L446">
        <f>_xlfn.XLOOKUP(tbl_subscription[[#This Row],[Customer_ID]],tbl_clint[[#This Row],[Customer_ID]],tbl_clint[[#This Row],[Company_Size]])</f>
        <v/>
      </c>
      <c r="M446">
        <f>YEAR(tbl_subscription[[#This Row],[Start_Date]])</f>
        <v/>
      </c>
    </row>
    <row r="447">
      <c r="A447" t="inlineStr">
        <is>
          <t>C0446</t>
        </is>
      </c>
      <c r="B447" t="inlineStr">
        <is>
          <t>Basic</t>
        </is>
      </c>
      <c r="C447" s="4" t="n">
        <v>45293</v>
      </c>
      <c r="D447" s="4" t="n">
        <v>45657</v>
      </c>
      <c r="E447" t="n">
        <v>15</v>
      </c>
      <c r="F447" t="inlineStr">
        <is>
          <t>Active</t>
        </is>
      </c>
      <c r="G447" t="inlineStr">
        <is>
          <t>Facebook</t>
        </is>
      </c>
      <c r="H447">
        <f>TEXT(C447,"mmm-yyyy")</f>
        <v/>
      </c>
      <c r="I447">
        <f>TEXT(D447,"mmm-yyyy")</f>
        <v/>
      </c>
      <c r="J447">
        <f>_xlfn.XLOOKUP(tbl_subscription[[#This Row],[Customer_ID]],tbl_clint[Customer_ID],tbl_clint[Country])</f>
        <v/>
      </c>
      <c r="K447">
        <f>_xlfn.XLOOKUP(tbl_subscription[[#This Row],[Customer_ID]],tbl_clint[[#This Row],[Customer_ID]],tbl_clint[[#This Row],[Industry]])</f>
        <v/>
      </c>
      <c r="L447">
        <f>_xlfn.XLOOKUP(tbl_subscription[[#This Row],[Customer_ID]],tbl_clint[[#This Row],[Customer_ID]],tbl_clint[[#This Row],[Company_Size]])</f>
        <v/>
      </c>
      <c r="M447">
        <f>YEAR(tbl_subscription[[#This Row],[Start_Date]])</f>
        <v/>
      </c>
    </row>
    <row r="448">
      <c r="A448" t="inlineStr">
        <is>
          <t>C0447</t>
        </is>
      </c>
      <c r="B448" t="inlineStr">
        <is>
          <t>Standard</t>
        </is>
      </c>
      <c r="C448" s="4" t="n">
        <v>44890</v>
      </c>
      <c r="D448" s="4" t="n">
        <v>45657</v>
      </c>
      <c r="E448" t="n">
        <v>25</v>
      </c>
      <c r="F448" t="inlineStr">
        <is>
          <t>Active</t>
        </is>
      </c>
      <c r="G448" t="inlineStr">
        <is>
          <t>Referral</t>
        </is>
      </c>
      <c r="H448">
        <f>TEXT(C448,"mmm-yyyy")</f>
        <v/>
      </c>
      <c r="I448">
        <f>TEXT(D448,"mmm-yyyy")</f>
        <v/>
      </c>
      <c r="J448">
        <f>_xlfn.XLOOKUP(tbl_subscription[[#This Row],[Customer_ID]],tbl_clint[Customer_ID],tbl_clint[Country])</f>
        <v/>
      </c>
      <c r="K448">
        <f>_xlfn.XLOOKUP(tbl_subscription[[#This Row],[Customer_ID]],tbl_clint[[#This Row],[Customer_ID]],tbl_clint[[#This Row],[Industry]])</f>
        <v/>
      </c>
      <c r="L448">
        <f>_xlfn.XLOOKUP(tbl_subscription[[#This Row],[Customer_ID]],tbl_clint[[#This Row],[Customer_ID]],tbl_clint[[#This Row],[Company_Size]])</f>
        <v/>
      </c>
      <c r="M448">
        <f>YEAR(tbl_subscription[[#This Row],[Start_Date]])</f>
        <v/>
      </c>
    </row>
    <row r="449">
      <c r="A449" t="inlineStr">
        <is>
          <t>C0448</t>
        </is>
      </c>
      <c r="B449" t="inlineStr">
        <is>
          <t>Premium</t>
        </is>
      </c>
      <c r="C449" s="4" t="n">
        <v>44501</v>
      </c>
      <c r="D449" s="4" t="n">
        <v>45657</v>
      </c>
      <c r="E449" t="n">
        <v>40</v>
      </c>
      <c r="F449" t="inlineStr">
        <is>
          <t>Active</t>
        </is>
      </c>
      <c r="G449" t="inlineStr">
        <is>
          <t>Google</t>
        </is>
      </c>
      <c r="H449">
        <f>TEXT(C449,"mmm-yyyy")</f>
        <v/>
      </c>
      <c r="I449">
        <f>TEXT(D449,"mmm-yyyy")</f>
        <v/>
      </c>
      <c r="J449">
        <f>_xlfn.XLOOKUP(tbl_subscription[[#This Row],[Customer_ID]],tbl_clint[Customer_ID],tbl_clint[Country])</f>
        <v/>
      </c>
      <c r="K449">
        <f>_xlfn.XLOOKUP(tbl_subscription[[#This Row],[Customer_ID]],tbl_clint[[#This Row],[Customer_ID]],tbl_clint[[#This Row],[Industry]])</f>
        <v/>
      </c>
      <c r="L449">
        <f>_xlfn.XLOOKUP(tbl_subscription[[#This Row],[Customer_ID]],tbl_clint[[#This Row],[Customer_ID]],tbl_clint[[#This Row],[Company_Size]])</f>
        <v/>
      </c>
      <c r="M449">
        <f>YEAR(tbl_subscription[[#This Row],[Start_Date]])</f>
        <v/>
      </c>
    </row>
    <row r="450">
      <c r="A450" t="inlineStr">
        <is>
          <t>C0449</t>
        </is>
      </c>
      <c r="B450" t="inlineStr">
        <is>
          <t>Standard</t>
        </is>
      </c>
      <c r="C450" s="4" t="n">
        <v>44508</v>
      </c>
      <c r="D450" s="4" t="n">
        <v>45657</v>
      </c>
      <c r="E450" t="n">
        <v>25</v>
      </c>
      <c r="F450" t="inlineStr">
        <is>
          <t>Active</t>
        </is>
      </c>
      <c r="G450" t="inlineStr">
        <is>
          <t>LinkedIn</t>
        </is>
      </c>
      <c r="H450">
        <f>TEXT(C450,"mmm-yyyy")</f>
        <v/>
      </c>
      <c r="I450">
        <f>TEXT(D450,"mmm-yyyy")</f>
        <v/>
      </c>
      <c r="J450">
        <f>_xlfn.XLOOKUP(tbl_subscription[[#This Row],[Customer_ID]],tbl_clint[Customer_ID],tbl_clint[Country])</f>
        <v/>
      </c>
      <c r="K450">
        <f>_xlfn.XLOOKUP(tbl_subscription[[#This Row],[Customer_ID]],tbl_clint[[#This Row],[Customer_ID]],tbl_clint[[#This Row],[Industry]])</f>
        <v/>
      </c>
      <c r="L450">
        <f>_xlfn.XLOOKUP(tbl_subscription[[#This Row],[Customer_ID]],tbl_clint[[#This Row],[Customer_ID]],tbl_clint[[#This Row],[Company_Size]])</f>
        <v/>
      </c>
      <c r="M450">
        <f>YEAR(tbl_subscription[[#This Row],[Start_Date]])</f>
        <v/>
      </c>
    </row>
    <row r="451">
      <c r="A451" t="inlineStr">
        <is>
          <t>C0450</t>
        </is>
      </c>
      <c r="B451" t="inlineStr">
        <is>
          <t>Premium</t>
        </is>
      </c>
      <c r="C451" s="4" t="n">
        <v>44396</v>
      </c>
      <c r="D451" s="4" t="n">
        <v>45657</v>
      </c>
      <c r="E451" t="n">
        <v>40</v>
      </c>
      <c r="F451" t="inlineStr">
        <is>
          <t>Active</t>
        </is>
      </c>
      <c r="G451" t="inlineStr">
        <is>
          <t>LinkedIn</t>
        </is>
      </c>
      <c r="H451">
        <f>TEXT(C451,"mmm-yyyy")</f>
        <v/>
      </c>
      <c r="I451">
        <f>TEXT(D451,"mmm-yyyy")</f>
        <v/>
      </c>
      <c r="J451">
        <f>_xlfn.XLOOKUP(tbl_subscription[[#This Row],[Customer_ID]],tbl_clint[Customer_ID],tbl_clint[Country])</f>
        <v/>
      </c>
      <c r="K451">
        <f>_xlfn.XLOOKUP(tbl_subscription[[#This Row],[Customer_ID]],tbl_clint[[#This Row],[Customer_ID]],tbl_clint[[#This Row],[Industry]])</f>
        <v/>
      </c>
      <c r="L451">
        <f>_xlfn.XLOOKUP(tbl_subscription[[#This Row],[Customer_ID]],tbl_clint[[#This Row],[Customer_ID]],tbl_clint[[#This Row],[Company_Size]])</f>
        <v/>
      </c>
      <c r="M451">
        <f>YEAR(tbl_subscription[[#This Row],[Start_Date]])</f>
        <v/>
      </c>
    </row>
    <row r="452">
      <c r="A452" t="inlineStr">
        <is>
          <t>C0451</t>
        </is>
      </c>
      <c r="B452" t="inlineStr">
        <is>
          <t>Standard</t>
        </is>
      </c>
      <c r="C452" s="4" t="n">
        <v>44997</v>
      </c>
      <c r="D452" s="4" t="n">
        <v>45657</v>
      </c>
      <c r="E452" t="n">
        <v>25</v>
      </c>
      <c r="F452" t="inlineStr">
        <is>
          <t>Active</t>
        </is>
      </c>
      <c r="G452" t="inlineStr">
        <is>
          <t>Referral</t>
        </is>
      </c>
      <c r="H452">
        <f>TEXT(C452,"mmm-yyyy")</f>
        <v/>
      </c>
      <c r="I452">
        <f>TEXT(D452,"mmm-yyyy")</f>
        <v/>
      </c>
      <c r="J452">
        <f>_xlfn.XLOOKUP(tbl_subscription[[#This Row],[Customer_ID]],tbl_clint[Customer_ID],tbl_clint[Country])</f>
        <v/>
      </c>
      <c r="K452">
        <f>_xlfn.XLOOKUP(tbl_subscription[[#This Row],[Customer_ID]],tbl_clint[[#This Row],[Customer_ID]],tbl_clint[[#This Row],[Industry]])</f>
        <v/>
      </c>
      <c r="L452">
        <f>_xlfn.XLOOKUP(tbl_subscription[[#This Row],[Customer_ID]],tbl_clint[[#This Row],[Customer_ID]],tbl_clint[[#This Row],[Company_Size]])</f>
        <v/>
      </c>
      <c r="M452">
        <f>YEAR(tbl_subscription[[#This Row],[Start_Date]])</f>
        <v/>
      </c>
    </row>
    <row r="453">
      <c r="A453" t="inlineStr">
        <is>
          <t>C0452</t>
        </is>
      </c>
      <c r="B453" t="inlineStr">
        <is>
          <t>Basic</t>
        </is>
      </c>
      <c r="C453" s="4" t="n">
        <v>44720</v>
      </c>
      <c r="D453" s="4" t="n">
        <v>45657</v>
      </c>
      <c r="E453" t="n">
        <v>15</v>
      </c>
      <c r="F453" t="inlineStr">
        <is>
          <t>Active</t>
        </is>
      </c>
      <c r="G453" t="inlineStr">
        <is>
          <t>LinkedIn</t>
        </is>
      </c>
      <c r="H453">
        <f>TEXT(C453,"mmm-yyyy")</f>
        <v/>
      </c>
      <c r="I453">
        <f>TEXT(D453,"mmm-yyyy")</f>
        <v/>
      </c>
      <c r="J453">
        <f>_xlfn.XLOOKUP(tbl_subscription[[#This Row],[Customer_ID]],tbl_clint[Customer_ID],tbl_clint[Country])</f>
        <v/>
      </c>
      <c r="K453">
        <f>_xlfn.XLOOKUP(tbl_subscription[[#This Row],[Customer_ID]],tbl_clint[[#This Row],[Customer_ID]],tbl_clint[[#This Row],[Industry]])</f>
        <v/>
      </c>
      <c r="L453">
        <f>_xlfn.XLOOKUP(tbl_subscription[[#This Row],[Customer_ID]],tbl_clint[[#This Row],[Customer_ID]],tbl_clint[[#This Row],[Company_Size]])</f>
        <v/>
      </c>
      <c r="M453">
        <f>YEAR(tbl_subscription[[#This Row],[Start_Date]])</f>
        <v/>
      </c>
    </row>
    <row r="454">
      <c r="A454" t="inlineStr">
        <is>
          <t>C0453</t>
        </is>
      </c>
      <c r="B454" t="inlineStr">
        <is>
          <t>Premium</t>
        </is>
      </c>
      <c r="C454" s="4" t="n">
        <v>44885</v>
      </c>
      <c r="D454" s="4" t="n">
        <v>45141</v>
      </c>
      <c r="E454" t="n">
        <v>40</v>
      </c>
      <c r="F454" t="inlineStr">
        <is>
          <t>Churned</t>
        </is>
      </c>
      <c r="G454" t="inlineStr">
        <is>
          <t>LinkedIn</t>
        </is>
      </c>
      <c r="H454">
        <f>TEXT(C454,"mmm-yyyy")</f>
        <v/>
      </c>
      <c r="I454">
        <f>TEXT(D454,"mmm-yyyy")</f>
        <v/>
      </c>
      <c r="J454">
        <f>_xlfn.XLOOKUP(tbl_subscription[[#This Row],[Customer_ID]],tbl_clint[Customer_ID],tbl_clint[Country])</f>
        <v/>
      </c>
      <c r="K454">
        <f>_xlfn.XLOOKUP(tbl_subscription[[#This Row],[Customer_ID]],tbl_clint[[#This Row],[Customer_ID]],tbl_clint[[#This Row],[Industry]])</f>
        <v/>
      </c>
      <c r="L454">
        <f>_xlfn.XLOOKUP(tbl_subscription[[#This Row],[Customer_ID]],tbl_clint[[#This Row],[Customer_ID]],tbl_clint[[#This Row],[Company_Size]])</f>
        <v/>
      </c>
      <c r="M454">
        <f>YEAR(tbl_subscription[[#This Row],[Start_Date]])</f>
        <v/>
      </c>
    </row>
    <row r="455">
      <c r="A455" t="inlineStr">
        <is>
          <t>C0454</t>
        </is>
      </c>
      <c r="B455" t="inlineStr">
        <is>
          <t>Standard</t>
        </is>
      </c>
      <c r="C455" s="4" t="n">
        <v>44245</v>
      </c>
      <c r="D455" s="4" t="n">
        <v>44541</v>
      </c>
      <c r="E455" t="n">
        <v>25</v>
      </c>
      <c r="F455" t="inlineStr">
        <is>
          <t>Churned</t>
        </is>
      </c>
      <c r="G455" t="inlineStr">
        <is>
          <t>Google</t>
        </is>
      </c>
      <c r="H455">
        <f>TEXT(C455,"mmm-yyyy")</f>
        <v/>
      </c>
      <c r="I455">
        <f>TEXT(D455,"mmm-yyyy")</f>
        <v/>
      </c>
      <c r="J455">
        <f>_xlfn.XLOOKUP(tbl_subscription[[#This Row],[Customer_ID]],tbl_clint[Customer_ID],tbl_clint[Country])</f>
        <v/>
      </c>
      <c r="K455">
        <f>_xlfn.XLOOKUP(tbl_subscription[[#This Row],[Customer_ID]],tbl_clint[[#This Row],[Customer_ID]],tbl_clint[[#This Row],[Industry]])</f>
        <v/>
      </c>
      <c r="L455">
        <f>_xlfn.XLOOKUP(tbl_subscription[[#This Row],[Customer_ID]],tbl_clint[[#This Row],[Customer_ID]],tbl_clint[[#This Row],[Company_Size]])</f>
        <v/>
      </c>
      <c r="M455">
        <f>YEAR(tbl_subscription[[#This Row],[Start_Date]])</f>
        <v/>
      </c>
    </row>
    <row r="456">
      <c r="A456" t="inlineStr">
        <is>
          <t>C0455</t>
        </is>
      </c>
      <c r="B456" t="inlineStr">
        <is>
          <t>Basic</t>
        </is>
      </c>
      <c r="C456" s="4" t="n">
        <v>43890</v>
      </c>
      <c r="D456" s="4" t="n">
        <v>44519</v>
      </c>
      <c r="E456" t="n">
        <v>15</v>
      </c>
      <c r="F456" t="inlineStr">
        <is>
          <t>Churned</t>
        </is>
      </c>
      <c r="G456" t="inlineStr">
        <is>
          <t>Instagram</t>
        </is>
      </c>
      <c r="H456">
        <f>TEXT(C456,"mmm-yyyy")</f>
        <v/>
      </c>
      <c r="I456">
        <f>TEXT(D456,"mmm-yyyy")</f>
        <v/>
      </c>
      <c r="J456">
        <f>_xlfn.XLOOKUP(tbl_subscription[[#This Row],[Customer_ID]],tbl_clint[Customer_ID],tbl_clint[Country])</f>
        <v/>
      </c>
      <c r="K456">
        <f>_xlfn.XLOOKUP(tbl_subscription[[#This Row],[Customer_ID]],tbl_clint[[#This Row],[Customer_ID]],tbl_clint[[#This Row],[Industry]])</f>
        <v/>
      </c>
      <c r="L456">
        <f>_xlfn.XLOOKUP(tbl_subscription[[#This Row],[Customer_ID]],tbl_clint[[#This Row],[Customer_ID]],tbl_clint[[#This Row],[Company_Size]])</f>
        <v/>
      </c>
      <c r="M456">
        <f>YEAR(tbl_subscription[[#This Row],[Start_Date]])</f>
        <v/>
      </c>
    </row>
    <row r="457">
      <c r="A457" t="inlineStr">
        <is>
          <t>C0456</t>
        </is>
      </c>
      <c r="B457" t="inlineStr">
        <is>
          <t>Standard</t>
        </is>
      </c>
      <c r="C457" s="4" t="n">
        <v>45191</v>
      </c>
      <c r="D457" s="4" t="n">
        <v>45657</v>
      </c>
      <c r="E457" t="n">
        <v>25</v>
      </c>
      <c r="F457" t="inlineStr">
        <is>
          <t>Active</t>
        </is>
      </c>
      <c r="G457" t="inlineStr">
        <is>
          <t>Instagram</t>
        </is>
      </c>
      <c r="H457">
        <f>TEXT(C457,"mmm-yyyy")</f>
        <v/>
      </c>
      <c r="I457">
        <f>TEXT(D457,"mmm-yyyy")</f>
        <v/>
      </c>
      <c r="J457">
        <f>_xlfn.XLOOKUP(tbl_subscription[[#This Row],[Customer_ID]],tbl_clint[Customer_ID],tbl_clint[Country])</f>
        <v/>
      </c>
      <c r="K457">
        <f>_xlfn.XLOOKUP(tbl_subscription[[#This Row],[Customer_ID]],tbl_clint[[#This Row],[Customer_ID]],tbl_clint[[#This Row],[Industry]])</f>
        <v/>
      </c>
      <c r="L457">
        <f>_xlfn.XLOOKUP(tbl_subscription[[#This Row],[Customer_ID]],tbl_clint[[#This Row],[Customer_ID]],tbl_clint[[#This Row],[Company_Size]])</f>
        <v/>
      </c>
      <c r="M457">
        <f>YEAR(tbl_subscription[[#This Row],[Start_Date]])</f>
        <v/>
      </c>
    </row>
    <row r="458">
      <c r="A458" t="inlineStr">
        <is>
          <t>C0457</t>
        </is>
      </c>
      <c r="B458" t="inlineStr">
        <is>
          <t>Premium</t>
        </is>
      </c>
      <c r="C458" s="4" t="n">
        <v>45315</v>
      </c>
      <c r="D458" s="4" t="n">
        <v>45657</v>
      </c>
      <c r="E458" t="n">
        <v>40</v>
      </c>
      <c r="F458" t="inlineStr">
        <is>
          <t>Active</t>
        </is>
      </c>
      <c r="G458" t="inlineStr">
        <is>
          <t>Referral</t>
        </is>
      </c>
      <c r="H458">
        <f>TEXT(C458,"mmm-yyyy")</f>
        <v/>
      </c>
      <c r="I458">
        <f>TEXT(D458,"mmm-yyyy")</f>
        <v/>
      </c>
      <c r="J458">
        <f>_xlfn.XLOOKUP(tbl_subscription[[#This Row],[Customer_ID]],tbl_clint[Customer_ID],tbl_clint[Country])</f>
        <v/>
      </c>
      <c r="K458">
        <f>_xlfn.XLOOKUP(tbl_subscription[[#This Row],[Customer_ID]],tbl_clint[[#This Row],[Customer_ID]],tbl_clint[[#This Row],[Industry]])</f>
        <v/>
      </c>
      <c r="L458">
        <f>_xlfn.XLOOKUP(tbl_subscription[[#This Row],[Customer_ID]],tbl_clint[[#This Row],[Customer_ID]],tbl_clint[[#This Row],[Company_Size]])</f>
        <v/>
      </c>
      <c r="M458">
        <f>YEAR(tbl_subscription[[#This Row],[Start_Date]])</f>
        <v/>
      </c>
    </row>
    <row r="459">
      <c r="A459" t="inlineStr">
        <is>
          <t>C0458</t>
        </is>
      </c>
      <c r="B459" t="inlineStr">
        <is>
          <t>Premium</t>
        </is>
      </c>
      <c r="C459" s="4" t="n">
        <v>45195</v>
      </c>
      <c r="D459" s="4" t="n">
        <v>45510</v>
      </c>
      <c r="E459" t="n">
        <v>40</v>
      </c>
      <c r="F459" t="inlineStr">
        <is>
          <t>Churned</t>
        </is>
      </c>
      <c r="G459" t="inlineStr">
        <is>
          <t>Google</t>
        </is>
      </c>
      <c r="H459">
        <f>TEXT(C459,"mmm-yyyy")</f>
        <v/>
      </c>
      <c r="I459">
        <f>TEXT(D459,"mmm-yyyy")</f>
        <v/>
      </c>
      <c r="J459">
        <f>_xlfn.XLOOKUP(tbl_subscription[[#This Row],[Customer_ID]],tbl_clint[Customer_ID],tbl_clint[Country])</f>
        <v/>
      </c>
      <c r="K459">
        <f>_xlfn.XLOOKUP(tbl_subscription[[#This Row],[Customer_ID]],tbl_clint[[#This Row],[Customer_ID]],tbl_clint[[#This Row],[Industry]])</f>
        <v/>
      </c>
      <c r="L459">
        <f>_xlfn.XLOOKUP(tbl_subscription[[#This Row],[Customer_ID]],tbl_clint[[#This Row],[Customer_ID]],tbl_clint[[#This Row],[Company_Size]])</f>
        <v/>
      </c>
      <c r="M459">
        <f>YEAR(tbl_subscription[[#This Row],[Start_Date]])</f>
        <v/>
      </c>
    </row>
    <row r="460">
      <c r="A460" t="inlineStr">
        <is>
          <t>C0459</t>
        </is>
      </c>
      <c r="B460" t="inlineStr">
        <is>
          <t>Premium</t>
        </is>
      </c>
      <c r="C460" s="4" t="n">
        <v>44203</v>
      </c>
      <c r="D460" s="4" t="n">
        <v>45657</v>
      </c>
      <c r="E460" t="n">
        <v>40</v>
      </c>
      <c r="F460" t="inlineStr">
        <is>
          <t>Active</t>
        </is>
      </c>
      <c r="G460" t="inlineStr">
        <is>
          <t>Instagram</t>
        </is>
      </c>
      <c r="H460">
        <f>TEXT(C460,"mmm-yyyy")</f>
        <v/>
      </c>
      <c r="I460">
        <f>TEXT(D460,"mmm-yyyy")</f>
        <v/>
      </c>
      <c r="J460">
        <f>_xlfn.XLOOKUP(tbl_subscription[[#This Row],[Customer_ID]],tbl_clint[Customer_ID],tbl_clint[Country])</f>
        <v/>
      </c>
      <c r="K460">
        <f>_xlfn.XLOOKUP(tbl_subscription[[#This Row],[Customer_ID]],tbl_clint[[#This Row],[Customer_ID]],tbl_clint[[#This Row],[Industry]])</f>
        <v/>
      </c>
      <c r="L460">
        <f>_xlfn.XLOOKUP(tbl_subscription[[#This Row],[Customer_ID]],tbl_clint[[#This Row],[Customer_ID]],tbl_clint[[#This Row],[Company_Size]])</f>
        <v/>
      </c>
      <c r="M460">
        <f>YEAR(tbl_subscription[[#This Row],[Start_Date]])</f>
        <v/>
      </c>
    </row>
    <row r="461">
      <c r="A461" t="inlineStr">
        <is>
          <t>C0460</t>
        </is>
      </c>
      <c r="B461" t="inlineStr">
        <is>
          <t>Basic</t>
        </is>
      </c>
      <c r="C461" s="4" t="n">
        <v>44316</v>
      </c>
      <c r="D461" s="4" t="n">
        <v>44387</v>
      </c>
      <c r="E461" t="n">
        <v>15</v>
      </c>
      <c r="F461" t="inlineStr">
        <is>
          <t>Churned</t>
        </is>
      </c>
      <c r="G461" t="inlineStr">
        <is>
          <t>Instagram</t>
        </is>
      </c>
      <c r="H461">
        <f>TEXT(C461,"mmm-yyyy")</f>
        <v/>
      </c>
      <c r="I461">
        <f>TEXT(D461,"mmm-yyyy")</f>
        <v/>
      </c>
      <c r="J461">
        <f>_xlfn.XLOOKUP(tbl_subscription[[#This Row],[Customer_ID]],tbl_clint[Customer_ID],tbl_clint[Country])</f>
        <v/>
      </c>
      <c r="K461">
        <f>_xlfn.XLOOKUP(tbl_subscription[[#This Row],[Customer_ID]],tbl_clint[[#This Row],[Customer_ID]],tbl_clint[[#This Row],[Industry]])</f>
        <v/>
      </c>
      <c r="L461">
        <f>_xlfn.XLOOKUP(tbl_subscription[[#This Row],[Customer_ID]],tbl_clint[[#This Row],[Customer_ID]],tbl_clint[[#This Row],[Company_Size]])</f>
        <v/>
      </c>
      <c r="M461">
        <f>YEAR(tbl_subscription[[#This Row],[Start_Date]])</f>
        <v/>
      </c>
    </row>
    <row r="462">
      <c r="A462" t="inlineStr">
        <is>
          <t>C0461</t>
        </is>
      </c>
      <c r="B462" t="inlineStr">
        <is>
          <t>Basic</t>
        </is>
      </c>
      <c r="C462" s="4" t="n">
        <v>44518</v>
      </c>
      <c r="D462" s="4" t="n">
        <v>45657</v>
      </c>
      <c r="E462" t="n">
        <v>15</v>
      </c>
      <c r="F462" t="inlineStr">
        <is>
          <t>Active</t>
        </is>
      </c>
      <c r="G462" t="inlineStr">
        <is>
          <t>LinkedIn</t>
        </is>
      </c>
      <c r="H462">
        <f>TEXT(C462,"mmm-yyyy")</f>
        <v/>
      </c>
      <c r="I462">
        <f>TEXT(D462,"mmm-yyyy")</f>
        <v/>
      </c>
      <c r="J462">
        <f>_xlfn.XLOOKUP(tbl_subscription[[#This Row],[Customer_ID]],tbl_clint[Customer_ID],tbl_clint[Country])</f>
        <v/>
      </c>
      <c r="K462">
        <f>_xlfn.XLOOKUP(tbl_subscription[[#This Row],[Customer_ID]],tbl_clint[[#This Row],[Customer_ID]],tbl_clint[[#This Row],[Industry]])</f>
        <v/>
      </c>
      <c r="L462">
        <f>_xlfn.XLOOKUP(tbl_subscription[[#This Row],[Customer_ID]],tbl_clint[[#This Row],[Customer_ID]],tbl_clint[[#This Row],[Company_Size]])</f>
        <v/>
      </c>
      <c r="M462">
        <f>YEAR(tbl_subscription[[#This Row],[Start_Date]])</f>
        <v/>
      </c>
    </row>
    <row r="463">
      <c r="A463" t="inlineStr">
        <is>
          <t>C0462</t>
        </is>
      </c>
      <c r="B463" t="inlineStr">
        <is>
          <t>Standard</t>
        </is>
      </c>
      <c r="C463" s="4" t="n">
        <v>44255</v>
      </c>
      <c r="D463" s="4" t="n">
        <v>45087</v>
      </c>
      <c r="E463" t="n">
        <v>25</v>
      </c>
      <c r="F463" t="inlineStr">
        <is>
          <t>Churned</t>
        </is>
      </c>
      <c r="G463" t="inlineStr">
        <is>
          <t>Instagram</t>
        </is>
      </c>
      <c r="H463">
        <f>TEXT(C463,"mmm-yyyy")</f>
        <v/>
      </c>
      <c r="I463">
        <f>TEXT(D463,"mmm-yyyy")</f>
        <v/>
      </c>
      <c r="J463">
        <f>_xlfn.XLOOKUP(tbl_subscription[[#This Row],[Customer_ID]],tbl_clint[Customer_ID],tbl_clint[Country])</f>
        <v/>
      </c>
      <c r="K463">
        <f>_xlfn.XLOOKUP(tbl_subscription[[#This Row],[Customer_ID]],tbl_clint[[#This Row],[Customer_ID]],tbl_clint[[#This Row],[Industry]])</f>
        <v/>
      </c>
      <c r="L463">
        <f>_xlfn.XLOOKUP(tbl_subscription[[#This Row],[Customer_ID]],tbl_clint[[#This Row],[Customer_ID]],tbl_clint[[#This Row],[Company_Size]])</f>
        <v/>
      </c>
      <c r="M463">
        <f>YEAR(tbl_subscription[[#This Row],[Start_Date]])</f>
        <v/>
      </c>
    </row>
    <row r="464">
      <c r="A464" t="inlineStr">
        <is>
          <t>C0463</t>
        </is>
      </c>
      <c r="B464" t="inlineStr">
        <is>
          <t>Basic</t>
        </is>
      </c>
      <c r="C464" s="4" t="n">
        <v>43842</v>
      </c>
      <c r="D464" s="4" t="n">
        <v>45657</v>
      </c>
      <c r="E464" t="n">
        <v>15</v>
      </c>
      <c r="F464" t="inlineStr">
        <is>
          <t>Active</t>
        </is>
      </c>
      <c r="G464" t="inlineStr">
        <is>
          <t>LinkedIn</t>
        </is>
      </c>
      <c r="H464">
        <f>TEXT(C464,"mmm-yyyy")</f>
        <v/>
      </c>
      <c r="I464">
        <f>TEXT(D464,"mmm-yyyy")</f>
        <v/>
      </c>
      <c r="J464">
        <f>_xlfn.XLOOKUP(tbl_subscription[[#This Row],[Customer_ID]],tbl_clint[Customer_ID],tbl_clint[Country])</f>
        <v/>
      </c>
      <c r="K464">
        <f>_xlfn.XLOOKUP(tbl_subscription[[#This Row],[Customer_ID]],tbl_clint[[#This Row],[Customer_ID]],tbl_clint[[#This Row],[Industry]])</f>
        <v/>
      </c>
      <c r="L464">
        <f>_xlfn.XLOOKUP(tbl_subscription[[#This Row],[Customer_ID]],tbl_clint[[#This Row],[Customer_ID]],tbl_clint[[#This Row],[Company_Size]])</f>
        <v/>
      </c>
      <c r="M464">
        <f>YEAR(tbl_subscription[[#This Row],[Start_Date]])</f>
        <v/>
      </c>
    </row>
    <row r="465">
      <c r="A465" t="inlineStr">
        <is>
          <t>C0464</t>
        </is>
      </c>
      <c r="B465" t="inlineStr">
        <is>
          <t>Basic</t>
        </is>
      </c>
      <c r="C465" s="4" t="n">
        <v>44338</v>
      </c>
      <c r="D465" s="4" t="n">
        <v>45657</v>
      </c>
      <c r="E465" t="n">
        <v>15</v>
      </c>
      <c r="F465" t="inlineStr">
        <is>
          <t>Active</t>
        </is>
      </c>
      <c r="G465" t="inlineStr">
        <is>
          <t>Referral</t>
        </is>
      </c>
      <c r="H465">
        <f>TEXT(C465,"mmm-yyyy")</f>
        <v/>
      </c>
      <c r="I465">
        <f>TEXT(D465,"mmm-yyyy")</f>
        <v/>
      </c>
      <c r="J465">
        <f>_xlfn.XLOOKUP(tbl_subscription[[#This Row],[Customer_ID]],tbl_clint[Customer_ID],tbl_clint[Country])</f>
        <v/>
      </c>
      <c r="K465">
        <f>_xlfn.XLOOKUP(tbl_subscription[[#This Row],[Customer_ID]],tbl_clint[[#This Row],[Customer_ID]],tbl_clint[[#This Row],[Industry]])</f>
        <v/>
      </c>
      <c r="L465">
        <f>_xlfn.XLOOKUP(tbl_subscription[[#This Row],[Customer_ID]],tbl_clint[[#This Row],[Customer_ID]],tbl_clint[[#This Row],[Company_Size]])</f>
        <v/>
      </c>
      <c r="M465">
        <f>YEAR(tbl_subscription[[#This Row],[Start_Date]])</f>
        <v/>
      </c>
    </row>
    <row r="466">
      <c r="A466" t="inlineStr">
        <is>
          <t>C0465</t>
        </is>
      </c>
      <c r="B466" t="inlineStr">
        <is>
          <t>Standard</t>
        </is>
      </c>
      <c r="C466" s="4" t="n">
        <v>44838</v>
      </c>
      <c r="D466" s="4" t="n">
        <v>45657</v>
      </c>
      <c r="E466" t="n">
        <v>25</v>
      </c>
      <c r="F466" t="inlineStr">
        <is>
          <t>Active</t>
        </is>
      </c>
      <c r="G466" t="inlineStr">
        <is>
          <t>Referral</t>
        </is>
      </c>
      <c r="H466">
        <f>TEXT(C466,"mmm-yyyy")</f>
        <v/>
      </c>
      <c r="I466">
        <f>TEXT(D466,"mmm-yyyy")</f>
        <v/>
      </c>
      <c r="J466">
        <f>_xlfn.XLOOKUP(tbl_subscription[[#This Row],[Customer_ID]],tbl_clint[Customer_ID],tbl_clint[Country])</f>
        <v/>
      </c>
      <c r="K466">
        <f>_xlfn.XLOOKUP(tbl_subscription[[#This Row],[Customer_ID]],tbl_clint[[#This Row],[Customer_ID]],tbl_clint[[#This Row],[Industry]])</f>
        <v/>
      </c>
      <c r="L466">
        <f>_xlfn.XLOOKUP(tbl_subscription[[#This Row],[Customer_ID]],tbl_clint[[#This Row],[Customer_ID]],tbl_clint[[#This Row],[Company_Size]])</f>
        <v/>
      </c>
      <c r="M466">
        <f>YEAR(tbl_subscription[[#This Row],[Start_Date]])</f>
        <v/>
      </c>
    </row>
    <row r="467">
      <c r="A467" t="inlineStr">
        <is>
          <t>C0466</t>
        </is>
      </c>
      <c r="B467" t="inlineStr">
        <is>
          <t>Basic</t>
        </is>
      </c>
      <c r="C467" s="4" t="n">
        <v>44918</v>
      </c>
      <c r="D467" s="4" t="n">
        <v>45657</v>
      </c>
      <c r="E467" t="n">
        <v>15</v>
      </c>
      <c r="F467" t="inlineStr">
        <is>
          <t>Active</t>
        </is>
      </c>
      <c r="G467" t="inlineStr">
        <is>
          <t>Referral</t>
        </is>
      </c>
      <c r="H467">
        <f>TEXT(C467,"mmm-yyyy")</f>
        <v/>
      </c>
      <c r="I467">
        <f>TEXT(D467,"mmm-yyyy")</f>
        <v/>
      </c>
      <c r="J467">
        <f>_xlfn.XLOOKUP(tbl_subscription[[#This Row],[Customer_ID]],tbl_clint[Customer_ID],tbl_clint[Country])</f>
        <v/>
      </c>
      <c r="K467">
        <f>_xlfn.XLOOKUP(tbl_subscription[[#This Row],[Customer_ID]],tbl_clint[[#This Row],[Customer_ID]],tbl_clint[[#This Row],[Industry]])</f>
        <v/>
      </c>
      <c r="L467">
        <f>_xlfn.XLOOKUP(tbl_subscription[[#This Row],[Customer_ID]],tbl_clint[[#This Row],[Customer_ID]],tbl_clint[[#This Row],[Company_Size]])</f>
        <v/>
      </c>
      <c r="M467">
        <f>YEAR(tbl_subscription[[#This Row],[Start_Date]])</f>
        <v/>
      </c>
    </row>
    <row r="468">
      <c r="A468" t="inlineStr">
        <is>
          <t>C0467</t>
        </is>
      </c>
      <c r="B468" t="inlineStr">
        <is>
          <t>Standard</t>
        </is>
      </c>
      <c r="C468" s="4" t="n">
        <v>44098</v>
      </c>
      <c r="D468" s="4" t="n">
        <v>45657</v>
      </c>
      <c r="E468" t="n">
        <v>25</v>
      </c>
      <c r="F468" t="inlineStr">
        <is>
          <t>Active</t>
        </is>
      </c>
      <c r="G468" t="inlineStr">
        <is>
          <t>Referral</t>
        </is>
      </c>
      <c r="H468">
        <f>TEXT(C468,"mmm-yyyy")</f>
        <v/>
      </c>
      <c r="I468">
        <f>TEXT(D468,"mmm-yyyy")</f>
        <v/>
      </c>
      <c r="J468">
        <f>_xlfn.XLOOKUP(tbl_subscription[[#This Row],[Customer_ID]],tbl_clint[Customer_ID],tbl_clint[Country])</f>
        <v/>
      </c>
      <c r="K468">
        <f>_xlfn.XLOOKUP(tbl_subscription[[#This Row],[Customer_ID]],tbl_clint[[#This Row],[Customer_ID]],tbl_clint[[#This Row],[Industry]])</f>
        <v/>
      </c>
      <c r="L468">
        <f>_xlfn.XLOOKUP(tbl_subscription[[#This Row],[Customer_ID]],tbl_clint[[#This Row],[Customer_ID]],tbl_clint[[#This Row],[Company_Size]])</f>
        <v/>
      </c>
      <c r="M468">
        <f>YEAR(tbl_subscription[[#This Row],[Start_Date]])</f>
        <v/>
      </c>
    </row>
    <row r="469">
      <c r="A469" t="inlineStr">
        <is>
          <t>C0468</t>
        </is>
      </c>
      <c r="B469" t="inlineStr">
        <is>
          <t>Basic</t>
        </is>
      </c>
      <c r="C469" s="4" t="n">
        <v>44937</v>
      </c>
      <c r="D469" s="4" t="n">
        <v>45657</v>
      </c>
      <c r="E469" t="n">
        <v>15</v>
      </c>
      <c r="F469" t="inlineStr">
        <is>
          <t>Active</t>
        </is>
      </c>
      <c r="G469" t="inlineStr">
        <is>
          <t>Instagram</t>
        </is>
      </c>
      <c r="H469">
        <f>TEXT(C469,"mmm-yyyy")</f>
        <v/>
      </c>
      <c r="I469">
        <f>TEXT(D469,"mmm-yyyy")</f>
        <v/>
      </c>
      <c r="J469">
        <f>_xlfn.XLOOKUP(tbl_subscription[[#This Row],[Customer_ID]],tbl_clint[Customer_ID],tbl_clint[Country])</f>
        <v/>
      </c>
      <c r="K469">
        <f>_xlfn.XLOOKUP(tbl_subscription[[#This Row],[Customer_ID]],tbl_clint[[#This Row],[Customer_ID]],tbl_clint[[#This Row],[Industry]])</f>
        <v/>
      </c>
      <c r="L469">
        <f>_xlfn.XLOOKUP(tbl_subscription[[#This Row],[Customer_ID]],tbl_clint[[#This Row],[Customer_ID]],tbl_clint[[#This Row],[Company_Size]])</f>
        <v/>
      </c>
      <c r="M469">
        <f>YEAR(tbl_subscription[[#This Row],[Start_Date]])</f>
        <v/>
      </c>
    </row>
    <row r="470">
      <c r="A470" t="inlineStr">
        <is>
          <t>C0469</t>
        </is>
      </c>
      <c r="B470" t="inlineStr">
        <is>
          <t>Premium</t>
        </is>
      </c>
      <c r="C470" s="4" t="n">
        <v>45346</v>
      </c>
      <c r="D470" s="4" t="n">
        <v>45657</v>
      </c>
      <c r="E470" t="n">
        <v>40</v>
      </c>
      <c r="F470" t="inlineStr">
        <is>
          <t>Active</t>
        </is>
      </c>
      <c r="G470" t="inlineStr">
        <is>
          <t>LinkedIn</t>
        </is>
      </c>
      <c r="H470">
        <f>TEXT(C470,"mmm-yyyy")</f>
        <v/>
      </c>
      <c r="I470">
        <f>TEXT(D470,"mmm-yyyy")</f>
        <v/>
      </c>
      <c r="J470">
        <f>_xlfn.XLOOKUP(tbl_subscription[[#This Row],[Customer_ID]],tbl_clint[Customer_ID],tbl_clint[Country])</f>
        <v/>
      </c>
      <c r="K470">
        <f>_xlfn.XLOOKUP(tbl_subscription[[#This Row],[Customer_ID]],tbl_clint[[#This Row],[Customer_ID]],tbl_clint[[#This Row],[Industry]])</f>
        <v/>
      </c>
      <c r="L470">
        <f>_xlfn.XLOOKUP(tbl_subscription[[#This Row],[Customer_ID]],tbl_clint[[#This Row],[Customer_ID]],tbl_clint[[#This Row],[Company_Size]])</f>
        <v/>
      </c>
      <c r="M470">
        <f>YEAR(tbl_subscription[[#This Row],[Start_Date]])</f>
        <v/>
      </c>
    </row>
    <row r="471">
      <c r="A471" t="inlineStr">
        <is>
          <t>C0470</t>
        </is>
      </c>
      <c r="B471" t="inlineStr">
        <is>
          <t>Standard</t>
        </is>
      </c>
      <c r="C471" s="4" t="n">
        <v>45142</v>
      </c>
      <c r="D471" s="4" t="n">
        <v>45657</v>
      </c>
      <c r="E471" t="n">
        <v>25</v>
      </c>
      <c r="F471" t="inlineStr">
        <is>
          <t>Active</t>
        </is>
      </c>
      <c r="G471" t="inlineStr">
        <is>
          <t>Referral</t>
        </is>
      </c>
      <c r="H471">
        <f>TEXT(C471,"mmm-yyyy")</f>
        <v/>
      </c>
      <c r="I471">
        <f>TEXT(D471,"mmm-yyyy")</f>
        <v/>
      </c>
      <c r="J471">
        <f>_xlfn.XLOOKUP(tbl_subscription[[#This Row],[Customer_ID]],tbl_clint[Customer_ID],tbl_clint[Country])</f>
        <v/>
      </c>
      <c r="K471">
        <f>_xlfn.XLOOKUP(tbl_subscription[[#This Row],[Customer_ID]],tbl_clint[[#This Row],[Customer_ID]],tbl_clint[[#This Row],[Industry]])</f>
        <v/>
      </c>
      <c r="L471">
        <f>_xlfn.XLOOKUP(tbl_subscription[[#This Row],[Customer_ID]],tbl_clint[[#This Row],[Customer_ID]],tbl_clint[[#This Row],[Company_Size]])</f>
        <v/>
      </c>
      <c r="M471">
        <f>YEAR(tbl_subscription[[#This Row],[Start_Date]])</f>
        <v/>
      </c>
    </row>
    <row r="472">
      <c r="A472" t="inlineStr">
        <is>
          <t>C0471</t>
        </is>
      </c>
      <c r="B472" t="inlineStr">
        <is>
          <t>Standard</t>
        </is>
      </c>
      <c r="C472" s="4" t="n">
        <v>45456</v>
      </c>
      <c r="D472" s="4" t="n">
        <v>45657</v>
      </c>
      <c r="E472" t="n">
        <v>25</v>
      </c>
      <c r="F472" t="inlineStr">
        <is>
          <t>Active</t>
        </is>
      </c>
      <c r="G472" t="inlineStr">
        <is>
          <t>Google</t>
        </is>
      </c>
      <c r="H472">
        <f>TEXT(C472,"mmm-yyyy")</f>
        <v/>
      </c>
      <c r="I472">
        <f>TEXT(D472,"mmm-yyyy")</f>
        <v/>
      </c>
      <c r="J472">
        <f>_xlfn.XLOOKUP(tbl_subscription[[#This Row],[Customer_ID]],tbl_clint[Customer_ID],tbl_clint[Country])</f>
        <v/>
      </c>
      <c r="K472">
        <f>_xlfn.XLOOKUP(tbl_subscription[[#This Row],[Customer_ID]],tbl_clint[[#This Row],[Customer_ID]],tbl_clint[[#This Row],[Industry]])</f>
        <v/>
      </c>
      <c r="L472">
        <f>_xlfn.XLOOKUP(tbl_subscription[[#This Row],[Customer_ID]],tbl_clint[[#This Row],[Customer_ID]],tbl_clint[[#This Row],[Company_Size]])</f>
        <v/>
      </c>
      <c r="M472">
        <f>YEAR(tbl_subscription[[#This Row],[Start_Date]])</f>
        <v/>
      </c>
    </row>
    <row r="473">
      <c r="A473" t="inlineStr">
        <is>
          <t>C0472</t>
        </is>
      </c>
      <c r="B473" t="inlineStr">
        <is>
          <t>Premium</t>
        </is>
      </c>
      <c r="C473" s="4" t="n">
        <v>43913</v>
      </c>
      <c r="D473" s="4" t="n">
        <v>45657</v>
      </c>
      <c r="E473" t="n">
        <v>40</v>
      </c>
      <c r="F473" t="inlineStr">
        <is>
          <t>Active</t>
        </is>
      </c>
      <c r="G473" t="inlineStr">
        <is>
          <t>Google</t>
        </is>
      </c>
      <c r="H473">
        <f>TEXT(C473,"mmm-yyyy")</f>
        <v/>
      </c>
      <c r="I473">
        <f>TEXT(D473,"mmm-yyyy")</f>
        <v/>
      </c>
      <c r="J473">
        <f>_xlfn.XLOOKUP(tbl_subscription[[#This Row],[Customer_ID]],tbl_clint[Customer_ID],tbl_clint[Country])</f>
        <v/>
      </c>
      <c r="K473">
        <f>_xlfn.XLOOKUP(tbl_subscription[[#This Row],[Customer_ID]],tbl_clint[[#This Row],[Customer_ID]],tbl_clint[[#This Row],[Industry]])</f>
        <v/>
      </c>
      <c r="L473">
        <f>_xlfn.XLOOKUP(tbl_subscription[[#This Row],[Customer_ID]],tbl_clint[[#This Row],[Customer_ID]],tbl_clint[[#This Row],[Company_Size]])</f>
        <v/>
      </c>
      <c r="M473">
        <f>YEAR(tbl_subscription[[#This Row],[Start_Date]])</f>
        <v/>
      </c>
    </row>
    <row r="474">
      <c r="A474" t="inlineStr">
        <is>
          <t>C0473</t>
        </is>
      </c>
      <c r="B474" t="inlineStr">
        <is>
          <t>Basic</t>
        </is>
      </c>
      <c r="C474" s="4" t="n">
        <v>43891</v>
      </c>
      <c r="D474" s="4" t="n">
        <v>44099</v>
      </c>
      <c r="E474" t="n">
        <v>15</v>
      </c>
      <c r="F474" t="inlineStr">
        <is>
          <t>Churned</t>
        </is>
      </c>
      <c r="G474" t="inlineStr">
        <is>
          <t>Referral</t>
        </is>
      </c>
      <c r="H474">
        <f>TEXT(C474,"mmm-yyyy")</f>
        <v/>
      </c>
      <c r="I474">
        <f>TEXT(D474,"mmm-yyyy")</f>
        <v/>
      </c>
      <c r="J474">
        <f>_xlfn.XLOOKUP(tbl_subscription[[#This Row],[Customer_ID]],tbl_clint[Customer_ID],tbl_clint[Country])</f>
        <v/>
      </c>
      <c r="K474">
        <f>_xlfn.XLOOKUP(tbl_subscription[[#This Row],[Customer_ID]],tbl_clint[[#This Row],[Customer_ID]],tbl_clint[[#This Row],[Industry]])</f>
        <v/>
      </c>
      <c r="L474">
        <f>_xlfn.XLOOKUP(tbl_subscription[[#This Row],[Customer_ID]],tbl_clint[[#This Row],[Customer_ID]],tbl_clint[[#This Row],[Company_Size]])</f>
        <v/>
      </c>
      <c r="M474">
        <f>YEAR(tbl_subscription[[#This Row],[Start_Date]])</f>
        <v/>
      </c>
    </row>
    <row r="475">
      <c r="A475" t="inlineStr">
        <is>
          <t>C0474</t>
        </is>
      </c>
      <c r="B475" t="inlineStr">
        <is>
          <t>Basic</t>
        </is>
      </c>
      <c r="C475" s="4" t="n">
        <v>44638</v>
      </c>
      <c r="D475" s="4" t="n">
        <v>45037</v>
      </c>
      <c r="E475" t="n">
        <v>15</v>
      </c>
      <c r="F475" t="inlineStr">
        <is>
          <t>Churned</t>
        </is>
      </c>
      <c r="G475" t="inlineStr">
        <is>
          <t>LinkedIn</t>
        </is>
      </c>
      <c r="H475">
        <f>TEXT(C475,"mmm-yyyy")</f>
        <v/>
      </c>
      <c r="I475">
        <f>TEXT(D475,"mmm-yyyy")</f>
        <v/>
      </c>
      <c r="J475">
        <f>_xlfn.XLOOKUP(tbl_subscription[[#This Row],[Customer_ID]],tbl_clint[Customer_ID],tbl_clint[Country])</f>
        <v/>
      </c>
      <c r="K475">
        <f>_xlfn.XLOOKUP(tbl_subscription[[#This Row],[Customer_ID]],tbl_clint[[#This Row],[Customer_ID]],tbl_clint[[#This Row],[Industry]])</f>
        <v/>
      </c>
      <c r="L475">
        <f>_xlfn.XLOOKUP(tbl_subscription[[#This Row],[Customer_ID]],tbl_clint[[#This Row],[Customer_ID]],tbl_clint[[#This Row],[Company_Size]])</f>
        <v/>
      </c>
      <c r="M475">
        <f>YEAR(tbl_subscription[[#This Row],[Start_Date]])</f>
        <v/>
      </c>
    </row>
    <row r="476">
      <c r="A476" t="inlineStr">
        <is>
          <t>C0475</t>
        </is>
      </c>
      <c r="B476" t="inlineStr">
        <is>
          <t>Basic</t>
        </is>
      </c>
      <c r="C476" s="4" t="n">
        <v>43975</v>
      </c>
      <c r="D476" s="4" t="n">
        <v>45657</v>
      </c>
      <c r="E476" t="n">
        <v>15</v>
      </c>
      <c r="F476" t="inlineStr">
        <is>
          <t>Active</t>
        </is>
      </c>
      <c r="G476" t="inlineStr">
        <is>
          <t>Referral</t>
        </is>
      </c>
      <c r="H476">
        <f>TEXT(C476,"mmm-yyyy")</f>
        <v/>
      </c>
      <c r="I476">
        <f>TEXT(D476,"mmm-yyyy")</f>
        <v/>
      </c>
      <c r="J476">
        <f>_xlfn.XLOOKUP(tbl_subscription[[#This Row],[Customer_ID]],tbl_clint[Customer_ID],tbl_clint[Country])</f>
        <v/>
      </c>
      <c r="K476">
        <f>_xlfn.XLOOKUP(tbl_subscription[[#This Row],[Customer_ID]],tbl_clint[[#This Row],[Customer_ID]],tbl_clint[[#This Row],[Industry]])</f>
        <v/>
      </c>
      <c r="L476">
        <f>_xlfn.XLOOKUP(tbl_subscription[[#This Row],[Customer_ID]],tbl_clint[[#This Row],[Customer_ID]],tbl_clint[[#This Row],[Company_Size]])</f>
        <v/>
      </c>
      <c r="M476">
        <f>YEAR(tbl_subscription[[#This Row],[Start_Date]])</f>
        <v/>
      </c>
    </row>
    <row r="477">
      <c r="A477" t="inlineStr">
        <is>
          <t>C0476</t>
        </is>
      </c>
      <c r="B477" t="inlineStr">
        <is>
          <t>Basic</t>
        </is>
      </c>
      <c r="C477" s="4" t="n">
        <v>44536</v>
      </c>
      <c r="D477" s="4" t="n">
        <v>45657</v>
      </c>
      <c r="E477" t="n">
        <v>15</v>
      </c>
      <c r="F477" t="inlineStr">
        <is>
          <t>Active</t>
        </is>
      </c>
      <c r="G477" t="inlineStr">
        <is>
          <t>Facebook</t>
        </is>
      </c>
      <c r="H477">
        <f>TEXT(C477,"mmm-yyyy")</f>
        <v/>
      </c>
      <c r="I477">
        <f>TEXT(D477,"mmm-yyyy")</f>
        <v/>
      </c>
      <c r="J477">
        <f>_xlfn.XLOOKUP(tbl_subscription[[#This Row],[Customer_ID]],tbl_clint[Customer_ID],tbl_clint[Country])</f>
        <v/>
      </c>
      <c r="K477">
        <f>_xlfn.XLOOKUP(tbl_subscription[[#This Row],[Customer_ID]],tbl_clint[[#This Row],[Customer_ID]],tbl_clint[[#This Row],[Industry]])</f>
        <v/>
      </c>
      <c r="L477">
        <f>_xlfn.XLOOKUP(tbl_subscription[[#This Row],[Customer_ID]],tbl_clint[[#This Row],[Customer_ID]],tbl_clint[[#This Row],[Company_Size]])</f>
        <v/>
      </c>
      <c r="M477">
        <f>YEAR(tbl_subscription[[#This Row],[Start_Date]])</f>
        <v/>
      </c>
    </row>
    <row r="478">
      <c r="A478" t="inlineStr">
        <is>
          <t>C0477</t>
        </is>
      </c>
      <c r="B478" t="inlineStr">
        <is>
          <t>Basic</t>
        </is>
      </c>
      <c r="C478" s="4" t="n">
        <v>43881</v>
      </c>
      <c r="D478" s="4" t="n">
        <v>43973</v>
      </c>
      <c r="E478" t="n">
        <v>15</v>
      </c>
      <c r="F478" t="inlineStr">
        <is>
          <t>Churned</t>
        </is>
      </c>
      <c r="G478" t="inlineStr">
        <is>
          <t>Facebook</t>
        </is>
      </c>
      <c r="H478">
        <f>TEXT(C478,"mmm-yyyy")</f>
        <v/>
      </c>
      <c r="I478">
        <f>TEXT(D478,"mmm-yyyy")</f>
        <v/>
      </c>
      <c r="J478">
        <f>_xlfn.XLOOKUP(tbl_subscription[[#This Row],[Customer_ID]],tbl_clint[Customer_ID],tbl_clint[Country])</f>
        <v/>
      </c>
      <c r="K478">
        <f>_xlfn.XLOOKUP(tbl_subscription[[#This Row],[Customer_ID]],tbl_clint[[#This Row],[Customer_ID]],tbl_clint[[#This Row],[Industry]])</f>
        <v/>
      </c>
      <c r="L478">
        <f>_xlfn.XLOOKUP(tbl_subscription[[#This Row],[Customer_ID]],tbl_clint[[#This Row],[Customer_ID]],tbl_clint[[#This Row],[Company_Size]])</f>
        <v/>
      </c>
      <c r="M478">
        <f>YEAR(tbl_subscription[[#This Row],[Start_Date]])</f>
        <v/>
      </c>
    </row>
    <row r="479">
      <c r="A479" t="inlineStr">
        <is>
          <t>C0478</t>
        </is>
      </c>
      <c r="B479" t="inlineStr">
        <is>
          <t>Standard</t>
        </is>
      </c>
      <c r="C479" s="4" t="n">
        <v>43878</v>
      </c>
      <c r="D479" s="4" t="n">
        <v>45657</v>
      </c>
      <c r="E479" t="n">
        <v>25</v>
      </c>
      <c r="F479" t="inlineStr">
        <is>
          <t>Active</t>
        </is>
      </c>
      <c r="G479" t="inlineStr">
        <is>
          <t>Instagram</t>
        </is>
      </c>
      <c r="H479">
        <f>TEXT(C479,"mmm-yyyy")</f>
        <v/>
      </c>
      <c r="I479">
        <f>TEXT(D479,"mmm-yyyy")</f>
        <v/>
      </c>
      <c r="J479">
        <f>_xlfn.XLOOKUP(tbl_subscription[[#This Row],[Customer_ID]],tbl_clint[Customer_ID],tbl_clint[Country])</f>
        <v/>
      </c>
      <c r="K479">
        <f>_xlfn.XLOOKUP(tbl_subscription[[#This Row],[Customer_ID]],tbl_clint[[#This Row],[Customer_ID]],tbl_clint[[#This Row],[Industry]])</f>
        <v/>
      </c>
      <c r="L479">
        <f>_xlfn.XLOOKUP(tbl_subscription[[#This Row],[Customer_ID]],tbl_clint[[#This Row],[Customer_ID]],tbl_clint[[#This Row],[Company_Size]])</f>
        <v/>
      </c>
      <c r="M479">
        <f>YEAR(tbl_subscription[[#This Row],[Start_Date]])</f>
        <v/>
      </c>
    </row>
    <row r="480">
      <c r="A480" t="inlineStr">
        <is>
          <t>C0479</t>
        </is>
      </c>
      <c r="B480" t="inlineStr">
        <is>
          <t>Basic</t>
        </is>
      </c>
      <c r="C480" s="4" t="n">
        <v>44587</v>
      </c>
      <c r="D480" s="4" t="n">
        <v>45657</v>
      </c>
      <c r="E480" t="n">
        <v>15</v>
      </c>
      <c r="F480" t="inlineStr">
        <is>
          <t>Active</t>
        </is>
      </c>
      <c r="G480" t="inlineStr">
        <is>
          <t>Facebook</t>
        </is>
      </c>
      <c r="H480">
        <f>TEXT(C480,"mmm-yyyy")</f>
        <v/>
      </c>
      <c r="I480">
        <f>TEXT(D480,"mmm-yyyy")</f>
        <v/>
      </c>
      <c r="J480">
        <f>_xlfn.XLOOKUP(tbl_subscription[[#This Row],[Customer_ID]],tbl_clint[Customer_ID],tbl_clint[Country])</f>
        <v/>
      </c>
      <c r="K480">
        <f>_xlfn.XLOOKUP(tbl_subscription[[#This Row],[Customer_ID]],tbl_clint[[#This Row],[Customer_ID]],tbl_clint[[#This Row],[Industry]])</f>
        <v/>
      </c>
      <c r="L480">
        <f>_xlfn.XLOOKUP(tbl_subscription[[#This Row],[Customer_ID]],tbl_clint[[#This Row],[Customer_ID]],tbl_clint[[#This Row],[Company_Size]])</f>
        <v/>
      </c>
      <c r="M480">
        <f>YEAR(tbl_subscription[[#This Row],[Start_Date]])</f>
        <v/>
      </c>
    </row>
    <row r="481">
      <c r="A481" t="inlineStr">
        <is>
          <t>C0480</t>
        </is>
      </c>
      <c r="B481" t="inlineStr">
        <is>
          <t>Standard</t>
        </is>
      </c>
      <c r="C481" s="4" t="n">
        <v>44829</v>
      </c>
      <c r="D481" s="4" t="n">
        <v>45657</v>
      </c>
      <c r="E481" t="n">
        <v>25</v>
      </c>
      <c r="F481" t="inlineStr">
        <is>
          <t>Active</t>
        </is>
      </c>
      <c r="G481" t="inlineStr">
        <is>
          <t>LinkedIn</t>
        </is>
      </c>
      <c r="H481">
        <f>TEXT(C481,"mmm-yyyy")</f>
        <v/>
      </c>
      <c r="I481">
        <f>TEXT(D481,"mmm-yyyy")</f>
        <v/>
      </c>
      <c r="J481">
        <f>_xlfn.XLOOKUP(tbl_subscription[[#This Row],[Customer_ID]],tbl_clint[Customer_ID],tbl_clint[Country])</f>
        <v/>
      </c>
      <c r="K481">
        <f>_xlfn.XLOOKUP(tbl_subscription[[#This Row],[Customer_ID]],tbl_clint[[#This Row],[Customer_ID]],tbl_clint[[#This Row],[Industry]])</f>
        <v/>
      </c>
      <c r="L481">
        <f>_xlfn.XLOOKUP(tbl_subscription[[#This Row],[Customer_ID]],tbl_clint[[#This Row],[Customer_ID]],tbl_clint[[#This Row],[Company_Size]])</f>
        <v/>
      </c>
      <c r="M481">
        <f>YEAR(tbl_subscription[[#This Row],[Start_Date]])</f>
        <v/>
      </c>
    </row>
    <row r="482">
      <c r="A482" t="inlineStr">
        <is>
          <t>C0481</t>
        </is>
      </c>
      <c r="B482" t="inlineStr">
        <is>
          <t>Basic</t>
        </is>
      </c>
      <c r="C482" s="4" t="n">
        <v>44683</v>
      </c>
      <c r="D482" s="4" t="n">
        <v>45657</v>
      </c>
      <c r="E482" t="n">
        <v>15</v>
      </c>
      <c r="F482" t="inlineStr">
        <is>
          <t>Active</t>
        </is>
      </c>
      <c r="G482" t="inlineStr">
        <is>
          <t>Facebook</t>
        </is>
      </c>
      <c r="H482">
        <f>TEXT(C482,"mmm-yyyy")</f>
        <v/>
      </c>
      <c r="I482">
        <f>TEXT(D482,"mmm-yyyy")</f>
        <v/>
      </c>
      <c r="J482">
        <f>_xlfn.XLOOKUP(tbl_subscription[[#This Row],[Customer_ID]],tbl_clint[Customer_ID],tbl_clint[Country])</f>
        <v/>
      </c>
      <c r="K482">
        <f>_xlfn.XLOOKUP(tbl_subscription[[#This Row],[Customer_ID]],tbl_clint[[#This Row],[Customer_ID]],tbl_clint[[#This Row],[Industry]])</f>
        <v/>
      </c>
      <c r="L482">
        <f>_xlfn.XLOOKUP(tbl_subscription[[#This Row],[Customer_ID]],tbl_clint[[#This Row],[Customer_ID]],tbl_clint[[#This Row],[Company_Size]])</f>
        <v/>
      </c>
      <c r="M482">
        <f>YEAR(tbl_subscription[[#This Row],[Start_Date]])</f>
        <v/>
      </c>
    </row>
    <row r="483">
      <c r="A483" t="inlineStr">
        <is>
          <t>C0482</t>
        </is>
      </c>
      <c r="B483" t="inlineStr">
        <is>
          <t>Premium</t>
        </is>
      </c>
      <c r="C483" s="4" t="n">
        <v>45140</v>
      </c>
      <c r="D483" s="4" t="n">
        <v>45657</v>
      </c>
      <c r="E483" t="n">
        <v>40</v>
      </c>
      <c r="F483" t="inlineStr">
        <is>
          <t>Active</t>
        </is>
      </c>
      <c r="G483" t="inlineStr">
        <is>
          <t>Facebook</t>
        </is>
      </c>
      <c r="H483">
        <f>TEXT(C483,"mmm-yyyy")</f>
        <v/>
      </c>
      <c r="I483">
        <f>TEXT(D483,"mmm-yyyy")</f>
        <v/>
      </c>
      <c r="J483">
        <f>_xlfn.XLOOKUP(tbl_subscription[[#This Row],[Customer_ID]],tbl_clint[Customer_ID],tbl_clint[Country])</f>
        <v/>
      </c>
      <c r="K483">
        <f>_xlfn.XLOOKUP(tbl_subscription[[#This Row],[Customer_ID]],tbl_clint[[#This Row],[Customer_ID]],tbl_clint[[#This Row],[Industry]])</f>
        <v/>
      </c>
      <c r="L483">
        <f>_xlfn.XLOOKUP(tbl_subscription[[#This Row],[Customer_ID]],tbl_clint[[#This Row],[Customer_ID]],tbl_clint[[#This Row],[Company_Size]])</f>
        <v/>
      </c>
      <c r="M483">
        <f>YEAR(tbl_subscription[[#This Row],[Start_Date]])</f>
        <v/>
      </c>
    </row>
    <row r="484">
      <c r="A484" t="inlineStr">
        <is>
          <t>C0483</t>
        </is>
      </c>
      <c r="B484" t="inlineStr">
        <is>
          <t>Basic</t>
        </is>
      </c>
      <c r="C484" s="4" t="n">
        <v>43956</v>
      </c>
      <c r="D484" s="4" t="n">
        <v>44605</v>
      </c>
      <c r="E484" t="n">
        <v>15</v>
      </c>
      <c r="F484" t="inlineStr">
        <is>
          <t>Churned</t>
        </is>
      </c>
      <c r="G484" t="inlineStr">
        <is>
          <t>LinkedIn</t>
        </is>
      </c>
      <c r="H484">
        <f>TEXT(C484,"mmm-yyyy")</f>
        <v/>
      </c>
      <c r="I484">
        <f>TEXT(D484,"mmm-yyyy")</f>
        <v/>
      </c>
      <c r="J484">
        <f>_xlfn.XLOOKUP(tbl_subscription[[#This Row],[Customer_ID]],tbl_clint[Customer_ID],tbl_clint[Country])</f>
        <v/>
      </c>
      <c r="K484">
        <f>_xlfn.XLOOKUP(tbl_subscription[[#This Row],[Customer_ID]],tbl_clint[[#This Row],[Customer_ID]],tbl_clint[[#This Row],[Industry]])</f>
        <v/>
      </c>
      <c r="L484">
        <f>_xlfn.XLOOKUP(tbl_subscription[[#This Row],[Customer_ID]],tbl_clint[[#This Row],[Customer_ID]],tbl_clint[[#This Row],[Company_Size]])</f>
        <v/>
      </c>
      <c r="M484">
        <f>YEAR(tbl_subscription[[#This Row],[Start_Date]])</f>
        <v/>
      </c>
    </row>
    <row r="485">
      <c r="A485" t="inlineStr">
        <is>
          <t>C0484</t>
        </is>
      </c>
      <c r="B485" t="inlineStr">
        <is>
          <t>Premium</t>
        </is>
      </c>
      <c r="C485" s="4" t="n">
        <v>44403</v>
      </c>
      <c r="D485" s="4" t="n">
        <v>45657</v>
      </c>
      <c r="E485" t="n">
        <v>40</v>
      </c>
      <c r="F485" t="inlineStr">
        <is>
          <t>Active</t>
        </is>
      </c>
      <c r="G485" t="inlineStr">
        <is>
          <t>Google</t>
        </is>
      </c>
      <c r="H485">
        <f>TEXT(C485,"mmm-yyyy")</f>
        <v/>
      </c>
      <c r="I485">
        <f>TEXT(D485,"mmm-yyyy")</f>
        <v/>
      </c>
      <c r="J485">
        <f>_xlfn.XLOOKUP(tbl_subscription[[#This Row],[Customer_ID]],tbl_clint[Customer_ID],tbl_clint[Country])</f>
        <v/>
      </c>
      <c r="K485">
        <f>_xlfn.XLOOKUP(tbl_subscription[[#This Row],[Customer_ID]],tbl_clint[[#This Row],[Customer_ID]],tbl_clint[[#This Row],[Industry]])</f>
        <v/>
      </c>
      <c r="L485">
        <f>_xlfn.XLOOKUP(tbl_subscription[[#This Row],[Customer_ID]],tbl_clint[[#This Row],[Customer_ID]],tbl_clint[[#This Row],[Company_Size]])</f>
        <v/>
      </c>
      <c r="M485">
        <f>YEAR(tbl_subscription[[#This Row],[Start_Date]])</f>
        <v/>
      </c>
    </row>
    <row r="486">
      <c r="A486" t="inlineStr">
        <is>
          <t>C0485</t>
        </is>
      </c>
      <c r="B486" t="inlineStr">
        <is>
          <t>Basic</t>
        </is>
      </c>
      <c r="C486" s="4" t="n">
        <v>44908</v>
      </c>
      <c r="D486" s="4" t="n">
        <v>45049</v>
      </c>
      <c r="E486" t="n">
        <v>15</v>
      </c>
      <c r="F486" t="inlineStr">
        <is>
          <t>Churned</t>
        </is>
      </c>
      <c r="G486" t="inlineStr">
        <is>
          <t>LinkedIn</t>
        </is>
      </c>
      <c r="H486">
        <f>TEXT(C486,"mmm-yyyy")</f>
        <v/>
      </c>
      <c r="I486">
        <f>TEXT(D486,"mmm-yyyy")</f>
        <v/>
      </c>
      <c r="J486">
        <f>_xlfn.XLOOKUP(tbl_subscription[[#This Row],[Customer_ID]],tbl_clint[Customer_ID],tbl_clint[Country])</f>
        <v/>
      </c>
      <c r="K486">
        <f>_xlfn.XLOOKUP(tbl_subscription[[#This Row],[Customer_ID]],tbl_clint[[#This Row],[Customer_ID]],tbl_clint[[#This Row],[Industry]])</f>
        <v/>
      </c>
      <c r="L486">
        <f>_xlfn.XLOOKUP(tbl_subscription[[#This Row],[Customer_ID]],tbl_clint[[#This Row],[Customer_ID]],tbl_clint[[#This Row],[Company_Size]])</f>
        <v/>
      </c>
      <c r="M486">
        <f>YEAR(tbl_subscription[[#This Row],[Start_Date]])</f>
        <v/>
      </c>
    </row>
    <row r="487">
      <c r="A487" t="inlineStr">
        <is>
          <t>C0486</t>
        </is>
      </c>
      <c r="B487" t="inlineStr">
        <is>
          <t>Premium</t>
        </is>
      </c>
      <c r="C487" s="4" t="n">
        <v>44801</v>
      </c>
      <c r="D487" s="4" t="n">
        <v>45657</v>
      </c>
      <c r="E487" t="n">
        <v>40</v>
      </c>
      <c r="F487" t="inlineStr">
        <is>
          <t>Active</t>
        </is>
      </c>
      <c r="G487" t="inlineStr">
        <is>
          <t>LinkedIn</t>
        </is>
      </c>
      <c r="H487">
        <f>TEXT(C487,"mmm-yyyy")</f>
        <v/>
      </c>
      <c r="I487">
        <f>TEXT(D487,"mmm-yyyy")</f>
        <v/>
      </c>
      <c r="J487">
        <f>_xlfn.XLOOKUP(tbl_subscription[[#This Row],[Customer_ID]],tbl_clint[Customer_ID],tbl_clint[Country])</f>
        <v/>
      </c>
      <c r="K487">
        <f>_xlfn.XLOOKUP(tbl_subscription[[#This Row],[Customer_ID]],tbl_clint[[#This Row],[Customer_ID]],tbl_clint[[#This Row],[Industry]])</f>
        <v/>
      </c>
      <c r="L487">
        <f>_xlfn.XLOOKUP(tbl_subscription[[#This Row],[Customer_ID]],tbl_clint[[#This Row],[Customer_ID]],tbl_clint[[#This Row],[Company_Size]])</f>
        <v/>
      </c>
      <c r="M487">
        <f>YEAR(tbl_subscription[[#This Row],[Start_Date]])</f>
        <v/>
      </c>
    </row>
    <row r="488">
      <c r="A488" t="inlineStr">
        <is>
          <t>C0487</t>
        </is>
      </c>
      <c r="B488" t="inlineStr">
        <is>
          <t>Premium</t>
        </is>
      </c>
      <c r="C488" s="4" t="n">
        <v>43910</v>
      </c>
      <c r="D488" s="4" t="n">
        <v>45657</v>
      </c>
      <c r="E488" t="n">
        <v>40</v>
      </c>
      <c r="F488" t="inlineStr">
        <is>
          <t>Active</t>
        </is>
      </c>
      <c r="G488" t="inlineStr">
        <is>
          <t>Google</t>
        </is>
      </c>
      <c r="H488">
        <f>TEXT(C488,"mmm-yyyy")</f>
        <v/>
      </c>
      <c r="I488">
        <f>TEXT(D488,"mmm-yyyy")</f>
        <v/>
      </c>
      <c r="J488">
        <f>_xlfn.XLOOKUP(tbl_subscription[[#This Row],[Customer_ID]],tbl_clint[Customer_ID],tbl_clint[Country])</f>
        <v/>
      </c>
      <c r="K488">
        <f>_xlfn.XLOOKUP(tbl_subscription[[#This Row],[Customer_ID]],tbl_clint[[#This Row],[Customer_ID]],tbl_clint[[#This Row],[Industry]])</f>
        <v/>
      </c>
      <c r="L488">
        <f>_xlfn.XLOOKUP(tbl_subscription[[#This Row],[Customer_ID]],tbl_clint[[#This Row],[Customer_ID]],tbl_clint[[#This Row],[Company_Size]])</f>
        <v/>
      </c>
      <c r="M488">
        <f>YEAR(tbl_subscription[[#This Row],[Start_Date]])</f>
        <v/>
      </c>
    </row>
    <row r="489">
      <c r="A489" t="inlineStr">
        <is>
          <t>C0488</t>
        </is>
      </c>
      <c r="B489" t="inlineStr">
        <is>
          <t>Standard</t>
        </is>
      </c>
      <c r="C489" s="4" t="n">
        <v>45341</v>
      </c>
      <c r="D489" s="4" t="n">
        <v>45657</v>
      </c>
      <c r="E489" t="n">
        <v>25</v>
      </c>
      <c r="F489" t="inlineStr">
        <is>
          <t>Active</t>
        </is>
      </c>
      <c r="G489" t="inlineStr">
        <is>
          <t>Facebook</t>
        </is>
      </c>
      <c r="H489">
        <f>TEXT(C489,"mmm-yyyy")</f>
        <v/>
      </c>
      <c r="I489">
        <f>TEXT(D489,"mmm-yyyy")</f>
        <v/>
      </c>
      <c r="J489">
        <f>_xlfn.XLOOKUP(tbl_subscription[[#This Row],[Customer_ID]],tbl_clint[Customer_ID],tbl_clint[Country])</f>
        <v/>
      </c>
      <c r="K489">
        <f>_xlfn.XLOOKUP(tbl_subscription[[#This Row],[Customer_ID]],tbl_clint[[#This Row],[Customer_ID]],tbl_clint[[#This Row],[Industry]])</f>
        <v/>
      </c>
      <c r="L489">
        <f>_xlfn.XLOOKUP(tbl_subscription[[#This Row],[Customer_ID]],tbl_clint[[#This Row],[Customer_ID]],tbl_clint[[#This Row],[Company_Size]])</f>
        <v/>
      </c>
      <c r="M489">
        <f>YEAR(tbl_subscription[[#This Row],[Start_Date]])</f>
        <v/>
      </c>
    </row>
    <row r="490">
      <c r="A490" t="inlineStr">
        <is>
          <t>C0489</t>
        </is>
      </c>
      <c r="B490" t="inlineStr">
        <is>
          <t>Standard</t>
        </is>
      </c>
      <c r="C490" s="4" t="n">
        <v>45279</v>
      </c>
      <c r="D490" s="4" t="n">
        <v>45657</v>
      </c>
      <c r="E490" t="n">
        <v>25</v>
      </c>
      <c r="F490" t="inlineStr">
        <is>
          <t>Active</t>
        </is>
      </c>
      <c r="G490" t="inlineStr">
        <is>
          <t>Referral</t>
        </is>
      </c>
      <c r="H490">
        <f>TEXT(C490,"mmm-yyyy")</f>
        <v/>
      </c>
      <c r="I490">
        <f>TEXT(D490,"mmm-yyyy")</f>
        <v/>
      </c>
      <c r="J490">
        <f>_xlfn.XLOOKUP(tbl_subscription[[#This Row],[Customer_ID]],tbl_clint[Customer_ID],tbl_clint[Country])</f>
        <v/>
      </c>
      <c r="K490">
        <f>_xlfn.XLOOKUP(tbl_subscription[[#This Row],[Customer_ID]],tbl_clint[[#This Row],[Customer_ID]],tbl_clint[[#This Row],[Industry]])</f>
        <v/>
      </c>
      <c r="L490">
        <f>_xlfn.XLOOKUP(tbl_subscription[[#This Row],[Customer_ID]],tbl_clint[[#This Row],[Customer_ID]],tbl_clint[[#This Row],[Company_Size]])</f>
        <v/>
      </c>
      <c r="M490">
        <f>YEAR(tbl_subscription[[#This Row],[Start_Date]])</f>
        <v/>
      </c>
    </row>
    <row r="491">
      <c r="A491" t="inlineStr">
        <is>
          <t>C0490</t>
        </is>
      </c>
      <c r="B491" t="inlineStr">
        <is>
          <t>Basic</t>
        </is>
      </c>
      <c r="C491" s="4" t="n">
        <v>44515</v>
      </c>
      <c r="D491" s="4" t="n">
        <v>45076</v>
      </c>
      <c r="E491" t="n">
        <v>15</v>
      </c>
      <c r="F491" t="inlineStr">
        <is>
          <t>Churned</t>
        </is>
      </c>
      <c r="G491" t="inlineStr">
        <is>
          <t>Facebook</t>
        </is>
      </c>
      <c r="H491">
        <f>TEXT(C491,"mmm-yyyy")</f>
        <v/>
      </c>
      <c r="I491">
        <f>TEXT(D491,"mmm-yyyy")</f>
        <v/>
      </c>
      <c r="J491">
        <f>_xlfn.XLOOKUP(tbl_subscription[[#This Row],[Customer_ID]],tbl_clint[Customer_ID],tbl_clint[Country])</f>
        <v/>
      </c>
      <c r="K491">
        <f>_xlfn.XLOOKUP(tbl_subscription[[#This Row],[Customer_ID]],tbl_clint[[#This Row],[Customer_ID]],tbl_clint[[#This Row],[Industry]])</f>
        <v/>
      </c>
      <c r="L491">
        <f>_xlfn.XLOOKUP(tbl_subscription[[#This Row],[Customer_ID]],tbl_clint[[#This Row],[Customer_ID]],tbl_clint[[#This Row],[Company_Size]])</f>
        <v/>
      </c>
      <c r="M491">
        <f>YEAR(tbl_subscription[[#This Row],[Start_Date]])</f>
        <v/>
      </c>
    </row>
    <row r="492">
      <c r="A492" t="inlineStr">
        <is>
          <t>C0491</t>
        </is>
      </c>
      <c r="B492" t="inlineStr">
        <is>
          <t>Premium</t>
        </is>
      </c>
      <c r="C492" s="4" t="n">
        <v>44109</v>
      </c>
      <c r="D492" s="4" t="n">
        <v>44883</v>
      </c>
      <c r="E492" t="n">
        <v>40</v>
      </c>
      <c r="F492" t="inlineStr">
        <is>
          <t>Churned</t>
        </is>
      </c>
      <c r="G492" t="inlineStr">
        <is>
          <t>Instagram</t>
        </is>
      </c>
      <c r="H492">
        <f>TEXT(C492,"mmm-yyyy")</f>
        <v/>
      </c>
      <c r="I492">
        <f>TEXT(D492,"mmm-yyyy")</f>
        <v/>
      </c>
      <c r="J492">
        <f>_xlfn.XLOOKUP(tbl_subscription[[#This Row],[Customer_ID]],tbl_clint[Customer_ID],tbl_clint[Country])</f>
        <v/>
      </c>
      <c r="K492">
        <f>_xlfn.XLOOKUP(tbl_subscription[[#This Row],[Customer_ID]],tbl_clint[[#This Row],[Customer_ID]],tbl_clint[[#This Row],[Industry]])</f>
        <v/>
      </c>
      <c r="L492">
        <f>_xlfn.XLOOKUP(tbl_subscription[[#This Row],[Customer_ID]],tbl_clint[[#This Row],[Customer_ID]],tbl_clint[[#This Row],[Company_Size]])</f>
        <v/>
      </c>
      <c r="M492">
        <f>YEAR(tbl_subscription[[#This Row],[Start_Date]])</f>
        <v/>
      </c>
    </row>
    <row r="493">
      <c r="A493" t="inlineStr">
        <is>
          <t>C0492</t>
        </is>
      </c>
      <c r="B493" t="inlineStr">
        <is>
          <t>Basic</t>
        </is>
      </c>
      <c r="C493" s="4" t="n">
        <v>44852</v>
      </c>
      <c r="D493" s="4" t="n">
        <v>45559</v>
      </c>
      <c r="E493" t="n">
        <v>15</v>
      </c>
      <c r="F493" t="inlineStr">
        <is>
          <t>Churned</t>
        </is>
      </c>
      <c r="G493" t="inlineStr">
        <is>
          <t>Referral</t>
        </is>
      </c>
      <c r="H493">
        <f>TEXT(C493,"mmm-yyyy")</f>
        <v/>
      </c>
      <c r="I493">
        <f>TEXT(D493,"mmm-yyyy")</f>
        <v/>
      </c>
      <c r="J493">
        <f>_xlfn.XLOOKUP(tbl_subscription[[#This Row],[Customer_ID]],tbl_clint[Customer_ID],tbl_clint[Country])</f>
        <v/>
      </c>
      <c r="K493">
        <f>_xlfn.XLOOKUP(tbl_subscription[[#This Row],[Customer_ID]],tbl_clint[[#This Row],[Customer_ID]],tbl_clint[[#This Row],[Industry]])</f>
        <v/>
      </c>
      <c r="L493">
        <f>_xlfn.XLOOKUP(tbl_subscription[[#This Row],[Customer_ID]],tbl_clint[[#This Row],[Customer_ID]],tbl_clint[[#This Row],[Company_Size]])</f>
        <v/>
      </c>
      <c r="M493">
        <f>YEAR(tbl_subscription[[#This Row],[Start_Date]])</f>
        <v/>
      </c>
    </row>
    <row r="494">
      <c r="A494" t="inlineStr">
        <is>
          <t>C0493</t>
        </is>
      </c>
      <c r="B494" t="inlineStr">
        <is>
          <t>Basic</t>
        </is>
      </c>
      <c r="C494" s="4" t="n">
        <v>45199</v>
      </c>
      <c r="D494" s="4" t="n">
        <v>45657</v>
      </c>
      <c r="E494" t="n">
        <v>15</v>
      </c>
      <c r="F494" t="inlineStr">
        <is>
          <t>Active</t>
        </is>
      </c>
      <c r="G494" t="inlineStr">
        <is>
          <t>LinkedIn</t>
        </is>
      </c>
      <c r="H494">
        <f>TEXT(C494,"mmm-yyyy")</f>
        <v/>
      </c>
      <c r="I494">
        <f>TEXT(D494,"mmm-yyyy")</f>
        <v/>
      </c>
      <c r="J494">
        <f>_xlfn.XLOOKUP(tbl_subscription[[#This Row],[Customer_ID]],tbl_clint[Customer_ID],tbl_clint[Country])</f>
        <v/>
      </c>
      <c r="K494">
        <f>_xlfn.XLOOKUP(tbl_subscription[[#This Row],[Customer_ID]],tbl_clint[[#This Row],[Customer_ID]],tbl_clint[[#This Row],[Industry]])</f>
        <v/>
      </c>
      <c r="L494">
        <f>_xlfn.XLOOKUP(tbl_subscription[[#This Row],[Customer_ID]],tbl_clint[[#This Row],[Customer_ID]],tbl_clint[[#This Row],[Company_Size]])</f>
        <v/>
      </c>
      <c r="M494">
        <f>YEAR(tbl_subscription[[#This Row],[Start_Date]])</f>
        <v/>
      </c>
    </row>
    <row r="495">
      <c r="A495" t="inlineStr">
        <is>
          <t>C0494</t>
        </is>
      </c>
      <c r="B495" t="inlineStr">
        <is>
          <t>Basic</t>
        </is>
      </c>
      <c r="C495" s="4" t="n">
        <v>44974</v>
      </c>
      <c r="D495" s="4" t="n">
        <v>45657</v>
      </c>
      <c r="E495" t="n">
        <v>15</v>
      </c>
      <c r="F495" t="inlineStr">
        <is>
          <t>Active</t>
        </is>
      </c>
      <c r="G495" t="inlineStr">
        <is>
          <t>Referral</t>
        </is>
      </c>
      <c r="H495">
        <f>TEXT(C495,"mmm-yyyy")</f>
        <v/>
      </c>
      <c r="I495">
        <f>TEXT(D495,"mmm-yyyy")</f>
        <v/>
      </c>
      <c r="J495">
        <f>_xlfn.XLOOKUP(tbl_subscription[[#This Row],[Customer_ID]],tbl_clint[Customer_ID],tbl_clint[Country])</f>
        <v/>
      </c>
      <c r="K495">
        <f>_xlfn.XLOOKUP(tbl_subscription[[#This Row],[Customer_ID]],tbl_clint[[#This Row],[Customer_ID]],tbl_clint[[#This Row],[Industry]])</f>
        <v/>
      </c>
      <c r="L495">
        <f>_xlfn.XLOOKUP(tbl_subscription[[#This Row],[Customer_ID]],tbl_clint[[#This Row],[Customer_ID]],tbl_clint[[#This Row],[Company_Size]])</f>
        <v/>
      </c>
      <c r="M495">
        <f>YEAR(tbl_subscription[[#This Row],[Start_Date]])</f>
        <v/>
      </c>
    </row>
    <row r="496">
      <c r="A496" t="inlineStr">
        <is>
          <t>C0495</t>
        </is>
      </c>
      <c r="B496" t="inlineStr">
        <is>
          <t>Premium</t>
        </is>
      </c>
      <c r="C496" s="4" t="n">
        <v>44116</v>
      </c>
      <c r="D496" s="4" t="n">
        <v>45657</v>
      </c>
      <c r="E496" t="n">
        <v>40</v>
      </c>
      <c r="F496" t="inlineStr">
        <is>
          <t>Active</t>
        </is>
      </c>
      <c r="G496" t="inlineStr">
        <is>
          <t>Referral</t>
        </is>
      </c>
      <c r="H496">
        <f>TEXT(C496,"mmm-yyyy")</f>
        <v/>
      </c>
      <c r="I496">
        <f>TEXT(D496,"mmm-yyyy")</f>
        <v/>
      </c>
      <c r="J496">
        <f>_xlfn.XLOOKUP(tbl_subscription[[#This Row],[Customer_ID]],tbl_clint[Customer_ID],tbl_clint[Country])</f>
        <v/>
      </c>
      <c r="K496">
        <f>_xlfn.XLOOKUP(tbl_subscription[[#This Row],[Customer_ID]],tbl_clint[[#This Row],[Customer_ID]],tbl_clint[[#This Row],[Industry]])</f>
        <v/>
      </c>
      <c r="L496">
        <f>_xlfn.XLOOKUP(tbl_subscription[[#This Row],[Customer_ID]],tbl_clint[[#This Row],[Customer_ID]],tbl_clint[[#This Row],[Company_Size]])</f>
        <v/>
      </c>
      <c r="M496">
        <f>YEAR(tbl_subscription[[#This Row],[Start_Date]])</f>
        <v/>
      </c>
    </row>
    <row r="497">
      <c r="A497" t="inlineStr">
        <is>
          <t>C0496</t>
        </is>
      </c>
      <c r="B497" t="inlineStr">
        <is>
          <t>Standard</t>
        </is>
      </c>
      <c r="C497" s="4" t="n">
        <v>44550</v>
      </c>
      <c r="D497" s="4" t="n">
        <v>45657</v>
      </c>
      <c r="E497" t="n">
        <v>25</v>
      </c>
      <c r="F497" t="inlineStr">
        <is>
          <t>Active</t>
        </is>
      </c>
      <c r="G497" t="inlineStr">
        <is>
          <t>Referral</t>
        </is>
      </c>
      <c r="H497">
        <f>TEXT(C497,"mmm-yyyy")</f>
        <v/>
      </c>
      <c r="I497">
        <f>TEXT(D497,"mmm-yyyy")</f>
        <v/>
      </c>
      <c r="J497">
        <f>_xlfn.XLOOKUP(tbl_subscription[[#This Row],[Customer_ID]],tbl_clint[Customer_ID],tbl_clint[Country])</f>
        <v/>
      </c>
      <c r="K497">
        <f>_xlfn.XLOOKUP(tbl_subscription[[#This Row],[Customer_ID]],tbl_clint[[#This Row],[Customer_ID]],tbl_clint[[#This Row],[Industry]])</f>
        <v/>
      </c>
      <c r="L497">
        <f>_xlfn.XLOOKUP(tbl_subscription[[#This Row],[Customer_ID]],tbl_clint[[#This Row],[Customer_ID]],tbl_clint[[#This Row],[Company_Size]])</f>
        <v/>
      </c>
      <c r="M497">
        <f>YEAR(tbl_subscription[[#This Row],[Start_Date]])</f>
        <v/>
      </c>
    </row>
    <row r="498">
      <c r="A498" t="inlineStr">
        <is>
          <t>C0497</t>
        </is>
      </c>
      <c r="B498" t="inlineStr">
        <is>
          <t>Premium</t>
        </is>
      </c>
      <c r="C498" s="4" t="n">
        <v>44647</v>
      </c>
      <c r="D498" s="4" t="n">
        <v>45657</v>
      </c>
      <c r="E498" t="n">
        <v>40</v>
      </c>
      <c r="F498" t="inlineStr">
        <is>
          <t>Active</t>
        </is>
      </c>
      <c r="G498" t="inlineStr">
        <is>
          <t>Instagram</t>
        </is>
      </c>
      <c r="H498">
        <f>TEXT(C498,"mmm-yyyy")</f>
        <v/>
      </c>
      <c r="I498">
        <f>TEXT(D498,"mmm-yyyy")</f>
        <v/>
      </c>
      <c r="J498">
        <f>_xlfn.XLOOKUP(tbl_subscription[[#This Row],[Customer_ID]],tbl_clint[Customer_ID],tbl_clint[Country])</f>
        <v/>
      </c>
      <c r="K498">
        <f>_xlfn.XLOOKUP(tbl_subscription[[#This Row],[Customer_ID]],tbl_clint[[#This Row],[Customer_ID]],tbl_clint[[#This Row],[Industry]])</f>
        <v/>
      </c>
      <c r="L498">
        <f>_xlfn.XLOOKUP(tbl_subscription[[#This Row],[Customer_ID]],tbl_clint[[#This Row],[Customer_ID]],tbl_clint[[#This Row],[Company_Size]])</f>
        <v/>
      </c>
      <c r="M498">
        <f>YEAR(tbl_subscription[[#This Row],[Start_Date]])</f>
        <v/>
      </c>
    </row>
    <row r="499">
      <c r="A499" t="inlineStr">
        <is>
          <t>C0498</t>
        </is>
      </c>
      <c r="B499" t="inlineStr">
        <is>
          <t>Standard</t>
        </is>
      </c>
      <c r="C499" s="4" t="n">
        <v>45301</v>
      </c>
      <c r="D499" s="4" t="n">
        <v>45657</v>
      </c>
      <c r="E499" t="n">
        <v>25</v>
      </c>
      <c r="F499" t="inlineStr">
        <is>
          <t>Active</t>
        </is>
      </c>
      <c r="G499" t="inlineStr">
        <is>
          <t>Google</t>
        </is>
      </c>
      <c r="H499">
        <f>TEXT(C499,"mmm-yyyy")</f>
        <v/>
      </c>
      <c r="I499">
        <f>TEXT(D499,"mmm-yyyy")</f>
        <v/>
      </c>
      <c r="J499">
        <f>_xlfn.XLOOKUP(tbl_subscription[[#This Row],[Customer_ID]],tbl_clint[Customer_ID],tbl_clint[Country])</f>
        <v/>
      </c>
      <c r="K499">
        <f>_xlfn.XLOOKUP(tbl_subscription[[#This Row],[Customer_ID]],tbl_clint[[#This Row],[Customer_ID]],tbl_clint[[#This Row],[Industry]])</f>
        <v/>
      </c>
      <c r="L499">
        <f>_xlfn.XLOOKUP(tbl_subscription[[#This Row],[Customer_ID]],tbl_clint[[#This Row],[Customer_ID]],tbl_clint[[#This Row],[Company_Size]])</f>
        <v/>
      </c>
      <c r="M499">
        <f>YEAR(tbl_subscription[[#This Row],[Start_Date]])</f>
        <v/>
      </c>
    </row>
    <row r="500">
      <c r="A500" t="inlineStr">
        <is>
          <t>C0499</t>
        </is>
      </c>
      <c r="B500" t="inlineStr">
        <is>
          <t>Premium</t>
        </is>
      </c>
      <c r="C500" s="4" t="n">
        <v>45320</v>
      </c>
      <c r="D500" s="4" t="n">
        <v>45657</v>
      </c>
      <c r="E500" t="n">
        <v>40</v>
      </c>
      <c r="F500" t="inlineStr">
        <is>
          <t>Active</t>
        </is>
      </c>
      <c r="G500" t="inlineStr">
        <is>
          <t>Instagram</t>
        </is>
      </c>
      <c r="H500">
        <f>TEXT(C500,"mmm-yyyy")</f>
        <v/>
      </c>
      <c r="I500">
        <f>TEXT(D500,"mmm-yyyy")</f>
        <v/>
      </c>
      <c r="J500">
        <f>_xlfn.XLOOKUP(tbl_subscription[[#This Row],[Customer_ID]],tbl_clint[Customer_ID],tbl_clint[Country])</f>
        <v/>
      </c>
      <c r="K500">
        <f>_xlfn.XLOOKUP(tbl_subscription[[#This Row],[Customer_ID]],tbl_clint[[#This Row],[Customer_ID]],tbl_clint[[#This Row],[Industry]])</f>
        <v/>
      </c>
      <c r="L500">
        <f>_xlfn.XLOOKUP(tbl_subscription[[#This Row],[Customer_ID]],tbl_clint[[#This Row],[Customer_ID]],tbl_clint[[#This Row],[Company_Size]])</f>
        <v/>
      </c>
      <c r="M500">
        <f>YEAR(tbl_subscription[[#This Row],[Start_Date]])</f>
        <v/>
      </c>
    </row>
    <row r="501">
      <c r="A501" t="inlineStr">
        <is>
          <t>C0500</t>
        </is>
      </c>
      <c r="B501" t="inlineStr">
        <is>
          <t>Basic</t>
        </is>
      </c>
      <c r="C501" s="4" t="n">
        <v>45131</v>
      </c>
      <c r="D501" s="4" t="n">
        <v>45325</v>
      </c>
      <c r="E501" t="n">
        <v>15</v>
      </c>
      <c r="F501" t="inlineStr">
        <is>
          <t>Churned</t>
        </is>
      </c>
      <c r="G501" t="inlineStr">
        <is>
          <t>Google</t>
        </is>
      </c>
      <c r="H501">
        <f>TEXT(C501,"mmm-yyyy")</f>
        <v/>
      </c>
      <c r="I501">
        <f>TEXT(D501,"mmm-yyyy")</f>
        <v/>
      </c>
      <c r="J501">
        <f>_xlfn.XLOOKUP(tbl_subscription[[#This Row],[Customer_ID]],tbl_clint[Customer_ID],tbl_clint[Country])</f>
        <v/>
      </c>
      <c r="K501">
        <f>_xlfn.XLOOKUP(tbl_subscription[[#This Row],[Customer_ID]],tbl_clint[[#This Row],[Customer_ID]],tbl_clint[[#This Row],[Industry]])</f>
        <v/>
      </c>
      <c r="L501">
        <f>_xlfn.XLOOKUP(tbl_subscription[[#This Row],[Customer_ID]],tbl_clint[[#This Row],[Customer_ID]],tbl_clint[[#This Row],[Company_Size]])</f>
        <v/>
      </c>
      <c r="M501">
        <f>YEAR(tbl_subscription[[#This Row],[Start_Date]])</f>
        <v/>
      </c>
    </row>
    <row r="502">
      <c r="A502" t="inlineStr">
        <is>
          <t>C0501</t>
        </is>
      </c>
      <c r="B502" t="inlineStr">
        <is>
          <t>Premium</t>
        </is>
      </c>
      <c r="C502" s="4" t="n">
        <v>44760</v>
      </c>
      <c r="D502" s="4" t="n">
        <v>45657</v>
      </c>
      <c r="E502" t="n">
        <v>40</v>
      </c>
      <c r="F502" t="inlineStr">
        <is>
          <t>Active</t>
        </is>
      </c>
      <c r="G502" t="inlineStr">
        <is>
          <t>Facebook</t>
        </is>
      </c>
      <c r="H502">
        <f>TEXT(C502,"mmm-yyyy")</f>
        <v/>
      </c>
      <c r="I502">
        <f>TEXT(D502,"mmm-yyyy")</f>
        <v/>
      </c>
      <c r="J502">
        <f>_xlfn.XLOOKUP(tbl_subscription[[#This Row],[Customer_ID]],tbl_clint[Customer_ID],tbl_clint[Country])</f>
        <v/>
      </c>
      <c r="K502">
        <f>_xlfn.XLOOKUP(tbl_subscription[[#This Row],[Customer_ID]],tbl_clint[[#This Row],[Customer_ID]],tbl_clint[[#This Row],[Industry]])</f>
        <v/>
      </c>
      <c r="L502">
        <f>_xlfn.XLOOKUP(tbl_subscription[[#This Row],[Customer_ID]],tbl_clint[[#This Row],[Customer_ID]],tbl_clint[[#This Row],[Company_Size]])</f>
        <v/>
      </c>
      <c r="M502">
        <f>YEAR(tbl_subscription[[#This Row],[Start_Date]])</f>
        <v/>
      </c>
    </row>
    <row r="503">
      <c r="A503" t="inlineStr">
        <is>
          <t>C0502</t>
        </is>
      </c>
      <c r="B503" t="inlineStr">
        <is>
          <t>Basic</t>
        </is>
      </c>
      <c r="C503" s="4" t="n">
        <v>43985</v>
      </c>
      <c r="D503" s="4" t="n">
        <v>44798</v>
      </c>
      <c r="E503" t="n">
        <v>15</v>
      </c>
      <c r="F503" t="inlineStr">
        <is>
          <t>Churned</t>
        </is>
      </c>
      <c r="G503" t="inlineStr">
        <is>
          <t>Referral</t>
        </is>
      </c>
      <c r="H503">
        <f>TEXT(C503,"mmm-yyyy")</f>
        <v/>
      </c>
      <c r="I503">
        <f>TEXT(D503,"mmm-yyyy")</f>
        <v/>
      </c>
      <c r="J503">
        <f>_xlfn.XLOOKUP(tbl_subscription[[#This Row],[Customer_ID]],tbl_clint[Customer_ID],tbl_clint[Country])</f>
        <v/>
      </c>
      <c r="K503">
        <f>_xlfn.XLOOKUP(tbl_subscription[[#This Row],[Customer_ID]],tbl_clint[[#This Row],[Customer_ID]],tbl_clint[[#This Row],[Industry]])</f>
        <v/>
      </c>
      <c r="L503">
        <f>_xlfn.XLOOKUP(tbl_subscription[[#This Row],[Customer_ID]],tbl_clint[[#This Row],[Customer_ID]],tbl_clint[[#This Row],[Company_Size]])</f>
        <v/>
      </c>
      <c r="M503">
        <f>YEAR(tbl_subscription[[#This Row],[Start_Date]])</f>
        <v/>
      </c>
    </row>
    <row r="504">
      <c r="A504" t="inlineStr">
        <is>
          <t>C0503</t>
        </is>
      </c>
      <c r="B504" t="inlineStr">
        <is>
          <t>Basic</t>
        </is>
      </c>
      <c r="C504" s="4" t="n">
        <v>44729</v>
      </c>
      <c r="D504" s="4" t="n">
        <v>45657</v>
      </c>
      <c r="E504" t="n">
        <v>15</v>
      </c>
      <c r="F504" t="inlineStr">
        <is>
          <t>Active</t>
        </is>
      </c>
      <c r="G504" t="inlineStr">
        <is>
          <t>Facebook</t>
        </is>
      </c>
      <c r="H504">
        <f>TEXT(C504,"mmm-yyyy")</f>
        <v/>
      </c>
      <c r="I504">
        <f>TEXT(D504,"mmm-yyyy")</f>
        <v/>
      </c>
      <c r="J504">
        <f>_xlfn.XLOOKUP(tbl_subscription[[#This Row],[Customer_ID]],tbl_clint[Customer_ID],tbl_clint[Country])</f>
        <v/>
      </c>
      <c r="K504">
        <f>_xlfn.XLOOKUP(tbl_subscription[[#This Row],[Customer_ID]],tbl_clint[[#This Row],[Customer_ID]],tbl_clint[[#This Row],[Industry]])</f>
        <v/>
      </c>
      <c r="L504">
        <f>_xlfn.XLOOKUP(tbl_subscription[[#This Row],[Customer_ID]],tbl_clint[[#This Row],[Customer_ID]],tbl_clint[[#This Row],[Company_Size]])</f>
        <v/>
      </c>
      <c r="M504">
        <f>YEAR(tbl_subscription[[#This Row],[Start_Date]])</f>
        <v/>
      </c>
    </row>
    <row r="505">
      <c r="A505" t="inlineStr">
        <is>
          <t>C0504</t>
        </is>
      </c>
      <c r="B505" t="inlineStr">
        <is>
          <t>Standard</t>
        </is>
      </c>
      <c r="C505" s="4" t="n">
        <v>45472</v>
      </c>
      <c r="D505" s="4" t="n">
        <v>45657</v>
      </c>
      <c r="E505" t="n">
        <v>25</v>
      </c>
      <c r="F505" t="inlineStr">
        <is>
          <t>Active</t>
        </is>
      </c>
      <c r="G505" t="inlineStr">
        <is>
          <t>Google</t>
        </is>
      </c>
      <c r="H505">
        <f>TEXT(C505,"mmm-yyyy")</f>
        <v/>
      </c>
      <c r="I505">
        <f>TEXT(D505,"mmm-yyyy")</f>
        <v/>
      </c>
      <c r="J505">
        <f>_xlfn.XLOOKUP(tbl_subscription[[#This Row],[Customer_ID]],tbl_clint[Customer_ID],tbl_clint[Country])</f>
        <v/>
      </c>
      <c r="K505">
        <f>_xlfn.XLOOKUP(tbl_subscription[[#This Row],[Customer_ID]],tbl_clint[[#This Row],[Customer_ID]],tbl_clint[[#This Row],[Industry]])</f>
        <v/>
      </c>
      <c r="L505">
        <f>_xlfn.XLOOKUP(tbl_subscription[[#This Row],[Customer_ID]],tbl_clint[[#This Row],[Customer_ID]],tbl_clint[[#This Row],[Company_Size]])</f>
        <v/>
      </c>
      <c r="M505">
        <f>YEAR(tbl_subscription[[#This Row],[Start_Date]])</f>
        <v/>
      </c>
    </row>
    <row r="506">
      <c r="A506" t="inlineStr">
        <is>
          <t>C0505</t>
        </is>
      </c>
      <c r="B506" t="inlineStr">
        <is>
          <t>Standard</t>
        </is>
      </c>
      <c r="C506" s="4" t="n">
        <v>44550</v>
      </c>
      <c r="D506" s="4" t="n">
        <v>45154</v>
      </c>
      <c r="E506" t="n">
        <v>25</v>
      </c>
      <c r="F506" t="inlineStr">
        <is>
          <t>Churned</t>
        </is>
      </c>
      <c r="G506" t="inlineStr">
        <is>
          <t>Facebook</t>
        </is>
      </c>
      <c r="H506">
        <f>TEXT(C506,"mmm-yyyy")</f>
        <v/>
      </c>
      <c r="I506">
        <f>TEXT(D506,"mmm-yyyy")</f>
        <v/>
      </c>
      <c r="J506">
        <f>_xlfn.XLOOKUP(tbl_subscription[[#This Row],[Customer_ID]],tbl_clint[Customer_ID],tbl_clint[Country])</f>
        <v/>
      </c>
      <c r="K506">
        <f>_xlfn.XLOOKUP(tbl_subscription[[#This Row],[Customer_ID]],tbl_clint[[#This Row],[Customer_ID]],tbl_clint[[#This Row],[Industry]])</f>
        <v/>
      </c>
      <c r="L506">
        <f>_xlfn.XLOOKUP(tbl_subscription[[#This Row],[Customer_ID]],tbl_clint[[#This Row],[Customer_ID]],tbl_clint[[#This Row],[Company_Size]])</f>
        <v/>
      </c>
      <c r="M506">
        <f>YEAR(tbl_subscription[[#This Row],[Start_Date]])</f>
        <v/>
      </c>
    </row>
    <row r="507">
      <c r="A507" t="inlineStr">
        <is>
          <t>C0506</t>
        </is>
      </c>
      <c r="B507" t="inlineStr">
        <is>
          <t>Premium</t>
        </is>
      </c>
      <c r="C507" s="4" t="n">
        <v>44957</v>
      </c>
      <c r="D507" s="4" t="n">
        <v>45620</v>
      </c>
      <c r="E507" t="n">
        <v>40</v>
      </c>
      <c r="F507" t="inlineStr">
        <is>
          <t>Churned</t>
        </is>
      </c>
      <c r="G507" t="inlineStr">
        <is>
          <t>Referral</t>
        </is>
      </c>
      <c r="H507">
        <f>TEXT(C507,"mmm-yyyy")</f>
        <v/>
      </c>
      <c r="I507">
        <f>TEXT(D507,"mmm-yyyy")</f>
        <v/>
      </c>
      <c r="J507">
        <f>_xlfn.XLOOKUP(tbl_subscription[[#This Row],[Customer_ID]],tbl_clint[Customer_ID],tbl_clint[Country])</f>
        <v/>
      </c>
      <c r="K507">
        <f>_xlfn.XLOOKUP(tbl_subscription[[#This Row],[Customer_ID]],tbl_clint[[#This Row],[Customer_ID]],tbl_clint[[#This Row],[Industry]])</f>
        <v/>
      </c>
      <c r="L507">
        <f>_xlfn.XLOOKUP(tbl_subscription[[#This Row],[Customer_ID]],tbl_clint[[#This Row],[Customer_ID]],tbl_clint[[#This Row],[Company_Size]])</f>
        <v/>
      </c>
      <c r="M507">
        <f>YEAR(tbl_subscription[[#This Row],[Start_Date]])</f>
        <v/>
      </c>
    </row>
    <row r="508">
      <c r="A508" t="inlineStr">
        <is>
          <t>C0507</t>
        </is>
      </c>
      <c r="B508" t="inlineStr">
        <is>
          <t>Standard</t>
        </is>
      </c>
      <c r="C508" s="4" t="n">
        <v>44371</v>
      </c>
      <c r="D508" s="4" t="n">
        <v>45657</v>
      </c>
      <c r="E508" t="n">
        <v>25</v>
      </c>
      <c r="F508" t="inlineStr">
        <is>
          <t>Active</t>
        </is>
      </c>
      <c r="G508" t="inlineStr">
        <is>
          <t>Referral</t>
        </is>
      </c>
      <c r="H508">
        <f>TEXT(C508,"mmm-yyyy")</f>
        <v/>
      </c>
      <c r="I508">
        <f>TEXT(D508,"mmm-yyyy")</f>
        <v/>
      </c>
      <c r="J508">
        <f>_xlfn.XLOOKUP(tbl_subscription[[#This Row],[Customer_ID]],tbl_clint[Customer_ID],tbl_clint[Country])</f>
        <v/>
      </c>
      <c r="K508">
        <f>_xlfn.XLOOKUP(tbl_subscription[[#This Row],[Customer_ID]],tbl_clint[[#This Row],[Customer_ID]],tbl_clint[[#This Row],[Industry]])</f>
        <v/>
      </c>
      <c r="L508">
        <f>_xlfn.XLOOKUP(tbl_subscription[[#This Row],[Customer_ID]],tbl_clint[[#This Row],[Customer_ID]],tbl_clint[[#This Row],[Company_Size]])</f>
        <v/>
      </c>
      <c r="M508">
        <f>YEAR(tbl_subscription[[#This Row],[Start_Date]])</f>
        <v/>
      </c>
    </row>
    <row r="509">
      <c r="A509" t="inlineStr">
        <is>
          <t>C0508</t>
        </is>
      </c>
      <c r="B509" t="inlineStr">
        <is>
          <t>Basic</t>
        </is>
      </c>
      <c r="C509" s="4" t="n">
        <v>45452</v>
      </c>
      <c r="D509" s="4" t="n">
        <v>45657</v>
      </c>
      <c r="E509" t="n">
        <v>15</v>
      </c>
      <c r="F509" t="inlineStr">
        <is>
          <t>Active</t>
        </is>
      </c>
      <c r="G509" t="inlineStr">
        <is>
          <t>Facebook</t>
        </is>
      </c>
      <c r="H509">
        <f>TEXT(C509,"mmm-yyyy")</f>
        <v/>
      </c>
      <c r="I509">
        <f>TEXT(D509,"mmm-yyyy")</f>
        <v/>
      </c>
      <c r="J509">
        <f>_xlfn.XLOOKUP(tbl_subscription[[#This Row],[Customer_ID]],tbl_clint[Customer_ID],tbl_clint[Country])</f>
        <v/>
      </c>
      <c r="K509">
        <f>_xlfn.XLOOKUP(tbl_subscription[[#This Row],[Customer_ID]],tbl_clint[[#This Row],[Customer_ID]],tbl_clint[[#This Row],[Industry]])</f>
        <v/>
      </c>
      <c r="L509">
        <f>_xlfn.XLOOKUP(tbl_subscription[[#This Row],[Customer_ID]],tbl_clint[[#This Row],[Customer_ID]],tbl_clint[[#This Row],[Company_Size]])</f>
        <v/>
      </c>
      <c r="M509">
        <f>YEAR(tbl_subscription[[#This Row],[Start_Date]])</f>
        <v/>
      </c>
    </row>
    <row r="510">
      <c r="A510" t="inlineStr">
        <is>
          <t>C0509</t>
        </is>
      </c>
      <c r="B510" t="inlineStr">
        <is>
          <t>Premium</t>
        </is>
      </c>
      <c r="C510" s="4" t="n">
        <v>45262</v>
      </c>
      <c r="D510" s="4" t="n">
        <v>45657</v>
      </c>
      <c r="E510" t="n">
        <v>40</v>
      </c>
      <c r="F510" t="inlineStr">
        <is>
          <t>Churned</t>
        </is>
      </c>
      <c r="G510" t="inlineStr">
        <is>
          <t>LinkedIn</t>
        </is>
      </c>
      <c r="H510">
        <f>TEXT(C510,"mmm-yyyy")</f>
        <v/>
      </c>
      <c r="I510">
        <f>TEXT(D510,"mmm-yyyy")</f>
        <v/>
      </c>
      <c r="J510">
        <f>_xlfn.XLOOKUP(tbl_subscription[[#This Row],[Customer_ID]],tbl_clint[Customer_ID],tbl_clint[Country])</f>
        <v/>
      </c>
      <c r="K510">
        <f>_xlfn.XLOOKUP(tbl_subscription[[#This Row],[Customer_ID]],tbl_clint[[#This Row],[Customer_ID]],tbl_clint[[#This Row],[Industry]])</f>
        <v/>
      </c>
      <c r="L510">
        <f>_xlfn.XLOOKUP(tbl_subscription[[#This Row],[Customer_ID]],tbl_clint[[#This Row],[Customer_ID]],tbl_clint[[#This Row],[Company_Size]])</f>
        <v/>
      </c>
      <c r="M510">
        <f>YEAR(tbl_subscription[[#This Row],[Start_Date]])</f>
        <v/>
      </c>
    </row>
    <row r="511">
      <c r="A511" t="inlineStr">
        <is>
          <t>C0510</t>
        </is>
      </c>
      <c r="B511" t="inlineStr">
        <is>
          <t>Standard</t>
        </is>
      </c>
      <c r="C511" s="4" t="n">
        <v>43946</v>
      </c>
      <c r="D511" s="4" t="n">
        <v>45657</v>
      </c>
      <c r="E511" t="n">
        <v>25</v>
      </c>
      <c r="F511" t="inlineStr">
        <is>
          <t>Active</t>
        </is>
      </c>
      <c r="G511" t="inlineStr">
        <is>
          <t>Referral</t>
        </is>
      </c>
      <c r="H511">
        <f>TEXT(C511,"mmm-yyyy")</f>
        <v/>
      </c>
      <c r="I511">
        <f>TEXT(D511,"mmm-yyyy")</f>
        <v/>
      </c>
      <c r="J511">
        <f>_xlfn.XLOOKUP(tbl_subscription[[#This Row],[Customer_ID]],tbl_clint[Customer_ID],tbl_clint[Country])</f>
        <v/>
      </c>
      <c r="K511">
        <f>_xlfn.XLOOKUP(tbl_subscription[[#This Row],[Customer_ID]],tbl_clint[[#This Row],[Customer_ID]],tbl_clint[[#This Row],[Industry]])</f>
        <v/>
      </c>
      <c r="L511">
        <f>_xlfn.XLOOKUP(tbl_subscription[[#This Row],[Customer_ID]],tbl_clint[[#This Row],[Customer_ID]],tbl_clint[[#This Row],[Company_Size]])</f>
        <v/>
      </c>
      <c r="M511">
        <f>YEAR(tbl_subscription[[#This Row],[Start_Date]])</f>
        <v/>
      </c>
    </row>
    <row r="512">
      <c r="A512" t="inlineStr">
        <is>
          <t>C0511</t>
        </is>
      </c>
      <c r="B512" t="inlineStr">
        <is>
          <t>Basic</t>
        </is>
      </c>
      <c r="C512" s="4" t="n">
        <v>44457</v>
      </c>
      <c r="D512" s="4" t="n">
        <v>45657</v>
      </c>
      <c r="E512" t="n">
        <v>15</v>
      </c>
      <c r="F512" t="inlineStr">
        <is>
          <t>Active</t>
        </is>
      </c>
      <c r="G512" t="inlineStr">
        <is>
          <t>LinkedIn</t>
        </is>
      </c>
      <c r="H512">
        <f>TEXT(C512,"mmm-yyyy")</f>
        <v/>
      </c>
      <c r="I512">
        <f>TEXT(D512,"mmm-yyyy")</f>
        <v/>
      </c>
      <c r="J512">
        <f>_xlfn.XLOOKUP(tbl_subscription[[#This Row],[Customer_ID]],tbl_clint[Customer_ID],tbl_clint[Country])</f>
        <v/>
      </c>
      <c r="K512">
        <f>_xlfn.XLOOKUP(tbl_subscription[[#This Row],[Customer_ID]],tbl_clint[[#This Row],[Customer_ID]],tbl_clint[[#This Row],[Industry]])</f>
        <v/>
      </c>
      <c r="L512">
        <f>_xlfn.XLOOKUP(tbl_subscription[[#This Row],[Customer_ID]],tbl_clint[[#This Row],[Customer_ID]],tbl_clint[[#This Row],[Company_Size]])</f>
        <v/>
      </c>
      <c r="M512">
        <f>YEAR(tbl_subscription[[#This Row],[Start_Date]])</f>
        <v/>
      </c>
    </row>
    <row r="513">
      <c r="A513" t="inlineStr">
        <is>
          <t>C0512</t>
        </is>
      </c>
      <c r="B513" t="inlineStr">
        <is>
          <t>Basic</t>
        </is>
      </c>
      <c r="C513" s="4" t="n">
        <v>45246</v>
      </c>
      <c r="D513" s="4" t="n">
        <v>45486</v>
      </c>
      <c r="E513" t="n">
        <v>15</v>
      </c>
      <c r="F513" t="inlineStr">
        <is>
          <t>Churned</t>
        </is>
      </c>
      <c r="G513" t="inlineStr">
        <is>
          <t>LinkedIn</t>
        </is>
      </c>
      <c r="H513">
        <f>TEXT(C513,"mmm-yyyy")</f>
        <v/>
      </c>
      <c r="I513">
        <f>TEXT(D513,"mmm-yyyy")</f>
        <v/>
      </c>
      <c r="J513">
        <f>_xlfn.XLOOKUP(tbl_subscription[[#This Row],[Customer_ID]],tbl_clint[Customer_ID],tbl_clint[Country])</f>
        <v/>
      </c>
      <c r="K513">
        <f>_xlfn.XLOOKUP(tbl_subscription[[#This Row],[Customer_ID]],tbl_clint[[#This Row],[Customer_ID]],tbl_clint[[#This Row],[Industry]])</f>
        <v/>
      </c>
      <c r="L513">
        <f>_xlfn.XLOOKUP(tbl_subscription[[#This Row],[Customer_ID]],tbl_clint[[#This Row],[Customer_ID]],tbl_clint[[#This Row],[Company_Size]])</f>
        <v/>
      </c>
      <c r="M513">
        <f>YEAR(tbl_subscription[[#This Row],[Start_Date]])</f>
        <v/>
      </c>
    </row>
    <row r="514">
      <c r="A514" t="inlineStr">
        <is>
          <t>C0513</t>
        </is>
      </c>
      <c r="B514" t="inlineStr">
        <is>
          <t>Standard</t>
        </is>
      </c>
      <c r="C514" s="4" t="n">
        <v>45136</v>
      </c>
      <c r="D514" s="4" t="n">
        <v>45657</v>
      </c>
      <c r="E514" t="n">
        <v>25</v>
      </c>
      <c r="F514" t="inlineStr">
        <is>
          <t>Churned</t>
        </is>
      </c>
      <c r="G514" t="inlineStr">
        <is>
          <t>LinkedIn</t>
        </is>
      </c>
      <c r="H514">
        <f>TEXT(C514,"mmm-yyyy")</f>
        <v/>
      </c>
      <c r="I514">
        <f>TEXT(D514,"mmm-yyyy")</f>
        <v/>
      </c>
      <c r="J514">
        <f>_xlfn.XLOOKUP(tbl_subscription[[#This Row],[Customer_ID]],tbl_clint[Customer_ID],tbl_clint[Country])</f>
        <v/>
      </c>
      <c r="K514">
        <f>_xlfn.XLOOKUP(tbl_subscription[[#This Row],[Customer_ID]],tbl_clint[[#This Row],[Customer_ID]],tbl_clint[[#This Row],[Industry]])</f>
        <v/>
      </c>
      <c r="L514">
        <f>_xlfn.XLOOKUP(tbl_subscription[[#This Row],[Customer_ID]],tbl_clint[[#This Row],[Customer_ID]],tbl_clint[[#This Row],[Company_Size]])</f>
        <v/>
      </c>
      <c r="M514">
        <f>YEAR(tbl_subscription[[#This Row],[Start_Date]])</f>
        <v/>
      </c>
    </row>
    <row r="515">
      <c r="A515" t="inlineStr">
        <is>
          <t>C0514</t>
        </is>
      </c>
      <c r="B515" t="inlineStr">
        <is>
          <t>Standard</t>
        </is>
      </c>
      <c r="C515" s="4" t="n">
        <v>44202</v>
      </c>
      <c r="D515" s="4" t="n">
        <v>44413</v>
      </c>
      <c r="E515" t="n">
        <v>25</v>
      </c>
      <c r="F515" t="inlineStr">
        <is>
          <t>Churned</t>
        </is>
      </c>
      <c r="G515" t="inlineStr">
        <is>
          <t>LinkedIn</t>
        </is>
      </c>
      <c r="H515">
        <f>TEXT(C515,"mmm-yyyy")</f>
        <v/>
      </c>
      <c r="I515">
        <f>TEXT(D515,"mmm-yyyy")</f>
        <v/>
      </c>
      <c r="J515">
        <f>_xlfn.XLOOKUP(tbl_subscription[[#This Row],[Customer_ID]],tbl_clint[Customer_ID],tbl_clint[Country])</f>
        <v/>
      </c>
      <c r="K515">
        <f>_xlfn.XLOOKUP(tbl_subscription[[#This Row],[Customer_ID]],tbl_clint[[#This Row],[Customer_ID]],tbl_clint[[#This Row],[Industry]])</f>
        <v/>
      </c>
      <c r="L515">
        <f>_xlfn.XLOOKUP(tbl_subscription[[#This Row],[Customer_ID]],tbl_clint[[#This Row],[Customer_ID]],tbl_clint[[#This Row],[Company_Size]])</f>
        <v/>
      </c>
      <c r="M515">
        <f>YEAR(tbl_subscription[[#This Row],[Start_Date]])</f>
        <v/>
      </c>
    </row>
    <row r="516">
      <c r="A516" t="inlineStr">
        <is>
          <t>C0515</t>
        </is>
      </c>
      <c r="B516" t="inlineStr">
        <is>
          <t>Basic</t>
        </is>
      </c>
      <c r="C516" s="4" t="n">
        <v>44365</v>
      </c>
      <c r="D516" s="4" t="n">
        <v>45657</v>
      </c>
      <c r="E516" t="n">
        <v>15</v>
      </c>
      <c r="F516" t="inlineStr">
        <is>
          <t>Active</t>
        </is>
      </c>
      <c r="G516" t="inlineStr">
        <is>
          <t>Instagram</t>
        </is>
      </c>
      <c r="H516">
        <f>TEXT(C516,"mmm-yyyy")</f>
        <v/>
      </c>
      <c r="I516">
        <f>TEXT(D516,"mmm-yyyy")</f>
        <v/>
      </c>
      <c r="J516">
        <f>_xlfn.XLOOKUP(tbl_subscription[[#This Row],[Customer_ID]],tbl_clint[Customer_ID],tbl_clint[Country])</f>
        <v/>
      </c>
      <c r="K516">
        <f>_xlfn.XLOOKUP(tbl_subscription[[#This Row],[Customer_ID]],tbl_clint[[#This Row],[Customer_ID]],tbl_clint[[#This Row],[Industry]])</f>
        <v/>
      </c>
      <c r="L516">
        <f>_xlfn.XLOOKUP(tbl_subscription[[#This Row],[Customer_ID]],tbl_clint[[#This Row],[Customer_ID]],tbl_clint[[#This Row],[Company_Size]])</f>
        <v/>
      </c>
      <c r="M516">
        <f>YEAR(tbl_subscription[[#This Row],[Start_Date]])</f>
        <v/>
      </c>
    </row>
    <row r="517">
      <c r="A517" t="inlineStr">
        <is>
          <t>C0516</t>
        </is>
      </c>
      <c r="B517" t="inlineStr">
        <is>
          <t>Standard</t>
        </is>
      </c>
      <c r="C517" s="4" t="n">
        <v>44834</v>
      </c>
      <c r="D517" s="4" t="n">
        <v>45657</v>
      </c>
      <c r="E517" t="n">
        <v>25</v>
      </c>
      <c r="F517" t="inlineStr">
        <is>
          <t>Active</t>
        </is>
      </c>
      <c r="G517" t="inlineStr">
        <is>
          <t>Facebook</t>
        </is>
      </c>
      <c r="H517">
        <f>TEXT(C517,"mmm-yyyy")</f>
        <v/>
      </c>
      <c r="I517">
        <f>TEXT(D517,"mmm-yyyy")</f>
        <v/>
      </c>
      <c r="J517">
        <f>_xlfn.XLOOKUP(tbl_subscription[[#This Row],[Customer_ID]],tbl_clint[Customer_ID],tbl_clint[Country])</f>
        <v/>
      </c>
      <c r="K517">
        <f>_xlfn.XLOOKUP(tbl_subscription[[#This Row],[Customer_ID]],tbl_clint[[#This Row],[Customer_ID]],tbl_clint[[#This Row],[Industry]])</f>
        <v/>
      </c>
      <c r="L517">
        <f>_xlfn.XLOOKUP(tbl_subscription[[#This Row],[Customer_ID]],tbl_clint[[#This Row],[Customer_ID]],tbl_clint[[#This Row],[Company_Size]])</f>
        <v/>
      </c>
      <c r="M517">
        <f>YEAR(tbl_subscription[[#This Row],[Start_Date]])</f>
        <v/>
      </c>
    </row>
    <row r="518">
      <c r="A518" t="inlineStr">
        <is>
          <t>C0517</t>
        </is>
      </c>
      <c r="B518" t="inlineStr">
        <is>
          <t>Basic</t>
        </is>
      </c>
      <c r="C518" s="4" t="n">
        <v>44780</v>
      </c>
      <c r="D518" s="4" t="n">
        <v>45657</v>
      </c>
      <c r="E518" t="n">
        <v>15</v>
      </c>
      <c r="F518" t="inlineStr">
        <is>
          <t>Active</t>
        </is>
      </c>
      <c r="G518" t="inlineStr">
        <is>
          <t>Facebook</t>
        </is>
      </c>
      <c r="H518">
        <f>TEXT(C518,"mmm-yyyy")</f>
        <v/>
      </c>
      <c r="I518">
        <f>TEXT(D518,"mmm-yyyy")</f>
        <v/>
      </c>
      <c r="J518">
        <f>_xlfn.XLOOKUP(tbl_subscription[[#This Row],[Customer_ID]],tbl_clint[Customer_ID],tbl_clint[Country])</f>
        <v/>
      </c>
      <c r="K518">
        <f>_xlfn.XLOOKUP(tbl_subscription[[#This Row],[Customer_ID]],tbl_clint[[#This Row],[Customer_ID]],tbl_clint[[#This Row],[Industry]])</f>
        <v/>
      </c>
      <c r="L518">
        <f>_xlfn.XLOOKUP(tbl_subscription[[#This Row],[Customer_ID]],tbl_clint[[#This Row],[Customer_ID]],tbl_clint[[#This Row],[Company_Size]])</f>
        <v/>
      </c>
      <c r="M518">
        <f>YEAR(tbl_subscription[[#This Row],[Start_Date]])</f>
        <v/>
      </c>
    </row>
    <row r="519">
      <c r="A519" t="inlineStr">
        <is>
          <t>C0518</t>
        </is>
      </c>
      <c r="B519" t="inlineStr">
        <is>
          <t>Basic</t>
        </is>
      </c>
      <c r="C519" s="4" t="n">
        <v>45388</v>
      </c>
      <c r="D519" s="4" t="n">
        <v>45657</v>
      </c>
      <c r="E519" t="n">
        <v>15</v>
      </c>
      <c r="F519" t="inlineStr">
        <is>
          <t>Churned</t>
        </is>
      </c>
      <c r="G519" t="inlineStr">
        <is>
          <t>Google</t>
        </is>
      </c>
      <c r="H519">
        <f>TEXT(C519,"mmm-yyyy")</f>
        <v/>
      </c>
      <c r="I519">
        <f>TEXT(D519,"mmm-yyyy")</f>
        <v/>
      </c>
      <c r="J519">
        <f>_xlfn.XLOOKUP(tbl_subscription[[#This Row],[Customer_ID]],tbl_clint[Customer_ID],tbl_clint[Country])</f>
        <v/>
      </c>
      <c r="K519">
        <f>_xlfn.XLOOKUP(tbl_subscription[[#This Row],[Customer_ID]],tbl_clint[[#This Row],[Customer_ID]],tbl_clint[[#This Row],[Industry]])</f>
        <v/>
      </c>
      <c r="L519">
        <f>_xlfn.XLOOKUP(tbl_subscription[[#This Row],[Customer_ID]],tbl_clint[[#This Row],[Customer_ID]],tbl_clint[[#This Row],[Company_Size]])</f>
        <v/>
      </c>
      <c r="M519">
        <f>YEAR(tbl_subscription[[#This Row],[Start_Date]])</f>
        <v/>
      </c>
    </row>
    <row r="520">
      <c r="A520" t="inlineStr">
        <is>
          <t>C0519</t>
        </is>
      </c>
      <c r="B520" t="inlineStr">
        <is>
          <t>Standard</t>
        </is>
      </c>
      <c r="C520" s="4" t="n">
        <v>43959</v>
      </c>
      <c r="D520" s="4" t="n">
        <v>44737</v>
      </c>
      <c r="E520" t="n">
        <v>25</v>
      </c>
      <c r="F520" t="inlineStr">
        <is>
          <t>Churned</t>
        </is>
      </c>
      <c r="G520" t="inlineStr">
        <is>
          <t>Google</t>
        </is>
      </c>
      <c r="H520">
        <f>TEXT(C520,"mmm-yyyy")</f>
        <v/>
      </c>
      <c r="I520">
        <f>TEXT(D520,"mmm-yyyy")</f>
        <v/>
      </c>
      <c r="J520">
        <f>_xlfn.XLOOKUP(tbl_subscription[[#This Row],[Customer_ID]],tbl_clint[Customer_ID],tbl_clint[Country])</f>
        <v/>
      </c>
      <c r="K520">
        <f>_xlfn.XLOOKUP(tbl_subscription[[#This Row],[Customer_ID]],tbl_clint[[#This Row],[Customer_ID]],tbl_clint[[#This Row],[Industry]])</f>
        <v/>
      </c>
      <c r="L520">
        <f>_xlfn.XLOOKUP(tbl_subscription[[#This Row],[Customer_ID]],tbl_clint[[#This Row],[Customer_ID]],tbl_clint[[#This Row],[Company_Size]])</f>
        <v/>
      </c>
      <c r="M520">
        <f>YEAR(tbl_subscription[[#This Row],[Start_Date]])</f>
        <v/>
      </c>
    </row>
    <row r="521">
      <c r="A521" t="inlineStr">
        <is>
          <t>C0520</t>
        </is>
      </c>
      <c r="B521" t="inlineStr">
        <is>
          <t>Standard</t>
        </is>
      </c>
      <c r="C521" s="4" t="n">
        <v>44995</v>
      </c>
      <c r="D521" s="4" t="n">
        <v>45468</v>
      </c>
      <c r="E521" t="n">
        <v>25</v>
      </c>
      <c r="F521" t="inlineStr">
        <is>
          <t>Churned</t>
        </is>
      </c>
      <c r="G521" t="inlineStr">
        <is>
          <t>LinkedIn</t>
        </is>
      </c>
      <c r="H521">
        <f>TEXT(C521,"mmm-yyyy")</f>
        <v/>
      </c>
      <c r="I521">
        <f>TEXT(D521,"mmm-yyyy")</f>
        <v/>
      </c>
      <c r="J521">
        <f>_xlfn.XLOOKUP(tbl_subscription[[#This Row],[Customer_ID]],tbl_clint[Customer_ID],tbl_clint[Country])</f>
        <v/>
      </c>
      <c r="K521">
        <f>_xlfn.XLOOKUP(tbl_subscription[[#This Row],[Customer_ID]],tbl_clint[[#This Row],[Customer_ID]],tbl_clint[[#This Row],[Industry]])</f>
        <v/>
      </c>
      <c r="L521">
        <f>_xlfn.XLOOKUP(tbl_subscription[[#This Row],[Customer_ID]],tbl_clint[[#This Row],[Customer_ID]],tbl_clint[[#This Row],[Company_Size]])</f>
        <v/>
      </c>
      <c r="M521">
        <f>YEAR(tbl_subscription[[#This Row],[Start_Date]])</f>
        <v/>
      </c>
    </row>
    <row r="522">
      <c r="A522" t="inlineStr">
        <is>
          <t>C0521</t>
        </is>
      </c>
      <c r="B522" t="inlineStr">
        <is>
          <t>Premium</t>
        </is>
      </c>
      <c r="C522" s="4" t="n">
        <v>44254</v>
      </c>
      <c r="D522" s="4" t="n">
        <v>45036</v>
      </c>
      <c r="E522" t="n">
        <v>40</v>
      </c>
      <c r="F522" t="inlineStr">
        <is>
          <t>Churned</t>
        </is>
      </c>
      <c r="G522" t="inlineStr">
        <is>
          <t>Instagram</t>
        </is>
      </c>
      <c r="H522">
        <f>TEXT(C522,"mmm-yyyy")</f>
        <v/>
      </c>
      <c r="I522">
        <f>TEXT(D522,"mmm-yyyy")</f>
        <v/>
      </c>
      <c r="J522">
        <f>_xlfn.XLOOKUP(tbl_subscription[[#This Row],[Customer_ID]],tbl_clint[Customer_ID],tbl_clint[Country])</f>
        <v/>
      </c>
      <c r="K522">
        <f>_xlfn.XLOOKUP(tbl_subscription[[#This Row],[Customer_ID]],tbl_clint[[#This Row],[Customer_ID]],tbl_clint[[#This Row],[Industry]])</f>
        <v/>
      </c>
      <c r="L522">
        <f>_xlfn.XLOOKUP(tbl_subscription[[#This Row],[Customer_ID]],tbl_clint[[#This Row],[Customer_ID]],tbl_clint[[#This Row],[Company_Size]])</f>
        <v/>
      </c>
      <c r="M522">
        <f>YEAR(tbl_subscription[[#This Row],[Start_Date]])</f>
        <v/>
      </c>
    </row>
    <row r="523">
      <c r="A523" t="inlineStr">
        <is>
          <t>C0522</t>
        </is>
      </c>
      <c r="B523" t="inlineStr">
        <is>
          <t>Basic</t>
        </is>
      </c>
      <c r="C523" s="4" t="n">
        <v>45147</v>
      </c>
      <c r="D523" s="4" t="n">
        <v>45657</v>
      </c>
      <c r="E523" t="n">
        <v>15</v>
      </c>
      <c r="F523" t="inlineStr">
        <is>
          <t>Churned</t>
        </is>
      </c>
      <c r="G523" t="inlineStr">
        <is>
          <t>LinkedIn</t>
        </is>
      </c>
      <c r="H523">
        <f>TEXT(C523,"mmm-yyyy")</f>
        <v/>
      </c>
      <c r="I523">
        <f>TEXT(D523,"mmm-yyyy")</f>
        <v/>
      </c>
      <c r="J523">
        <f>_xlfn.XLOOKUP(tbl_subscription[[#This Row],[Customer_ID]],tbl_clint[Customer_ID],tbl_clint[Country])</f>
        <v/>
      </c>
      <c r="K523">
        <f>_xlfn.XLOOKUP(tbl_subscription[[#This Row],[Customer_ID]],tbl_clint[[#This Row],[Customer_ID]],tbl_clint[[#This Row],[Industry]])</f>
        <v/>
      </c>
      <c r="L523">
        <f>_xlfn.XLOOKUP(tbl_subscription[[#This Row],[Customer_ID]],tbl_clint[[#This Row],[Customer_ID]],tbl_clint[[#This Row],[Company_Size]])</f>
        <v/>
      </c>
      <c r="M523">
        <f>YEAR(tbl_subscription[[#This Row],[Start_Date]])</f>
        <v/>
      </c>
    </row>
    <row r="524">
      <c r="A524" t="inlineStr">
        <is>
          <t>C0523</t>
        </is>
      </c>
      <c r="B524" t="inlineStr">
        <is>
          <t>Standard</t>
        </is>
      </c>
      <c r="C524" s="4" t="n">
        <v>45278</v>
      </c>
      <c r="D524" s="4" t="n">
        <v>45573</v>
      </c>
      <c r="E524" t="n">
        <v>25</v>
      </c>
      <c r="F524" t="inlineStr">
        <is>
          <t>Churned</t>
        </is>
      </c>
      <c r="G524" t="inlineStr">
        <is>
          <t>Facebook</t>
        </is>
      </c>
      <c r="H524">
        <f>TEXT(C524,"mmm-yyyy")</f>
        <v/>
      </c>
      <c r="I524">
        <f>TEXT(D524,"mmm-yyyy")</f>
        <v/>
      </c>
      <c r="J524">
        <f>_xlfn.XLOOKUP(tbl_subscription[[#This Row],[Customer_ID]],tbl_clint[Customer_ID],tbl_clint[Country])</f>
        <v/>
      </c>
      <c r="K524">
        <f>_xlfn.XLOOKUP(tbl_subscription[[#This Row],[Customer_ID]],tbl_clint[[#This Row],[Customer_ID]],tbl_clint[[#This Row],[Industry]])</f>
        <v/>
      </c>
      <c r="L524">
        <f>_xlfn.XLOOKUP(tbl_subscription[[#This Row],[Customer_ID]],tbl_clint[[#This Row],[Customer_ID]],tbl_clint[[#This Row],[Company_Size]])</f>
        <v/>
      </c>
      <c r="M524">
        <f>YEAR(tbl_subscription[[#This Row],[Start_Date]])</f>
        <v/>
      </c>
    </row>
    <row r="525">
      <c r="A525" t="inlineStr">
        <is>
          <t>C0524</t>
        </is>
      </c>
      <c r="B525" t="inlineStr">
        <is>
          <t>Premium</t>
        </is>
      </c>
      <c r="C525" s="4" t="n">
        <v>43953</v>
      </c>
      <c r="D525" s="4" t="n">
        <v>44385</v>
      </c>
      <c r="E525" t="n">
        <v>40</v>
      </c>
      <c r="F525" t="inlineStr">
        <is>
          <t>Churned</t>
        </is>
      </c>
      <c r="G525" t="inlineStr">
        <is>
          <t>Google</t>
        </is>
      </c>
      <c r="H525">
        <f>TEXT(C525,"mmm-yyyy")</f>
        <v/>
      </c>
      <c r="I525">
        <f>TEXT(D525,"mmm-yyyy")</f>
        <v/>
      </c>
      <c r="J525">
        <f>_xlfn.XLOOKUP(tbl_subscription[[#This Row],[Customer_ID]],tbl_clint[Customer_ID],tbl_clint[Country])</f>
        <v/>
      </c>
      <c r="K525">
        <f>_xlfn.XLOOKUP(tbl_subscription[[#This Row],[Customer_ID]],tbl_clint[[#This Row],[Customer_ID]],tbl_clint[[#This Row],[Industry]])</f>
        <v/>
      </c>
      <c r="L525">
        <f>_xlfn.XLOOKUP(tbl_subscription[[#This Row],[Customer_ID]],tbl_clint[[#This Row],[Customer_ID]],tbl_clint[[#This Row],[Company_Size]])</f>
        <v/>
      </c>
      <c r="M525">
        <f>YEAR(tbl_subscription[[#This Row],[Start_Date]])</f>
        <v/>
      </c>
    </row>
    <row r="526">
      <c r="A526" t="inlineStr">
        <is>
          <t>C0525</t>
        </is>
      </c>
      <c r="B526" t="inlineStr">
        <is>
          <t>Premium</t>
        </is>
      </c>
      <c r="C526" s="4" t="n">
        <v>44878</v>
      </c>
      <c r="D526" s="4" t="n">
        <v>45657</v>
      </c>
      <c r="E526" t="n">
        <v>40</v>
      </c>
      <c r="F526" t="inlineStr">
        <is>
          <t>Active</t>
        </is>
      </c>
      <c r="G526" t="inlineStr">
        <is>
          <t>Facebook</t>
        </is>
      </c>
      <c r="H526">
        <f>TEXT(C526,"mmm-yyyy")</f>
        <v/>
      </c>
      <c r="I526">
        <f>TEXT(D526,"mmm-yyyy")</f>
        <v/>
      </c>
      <c r="J526">
        <f>_xlfn.XLOOKUP(tbl_subscription[[#This Row],[Customer_ID]],tbl_clint[Customer_ID],tbl_clint[Country])</f>
        <v/>
      </c>
      <c r="K526">
        <f>_xlfn.XLOOKUP(tbl_subscription[[#This Row],[Customer_ID]],tbl_clint[[#This Row],[Customer_ID]],tbl_clint[[#This Row],[Industry]])</f>
        <v/>
      </c>
      <c r="L526">
        <f>_xlfn.XLOOKUP(tbl_subscription[[#This Row],[Customer_ID]],tbl_clint[[#This Row],[Customer_ID]],tbl_clint[[#This Row],[Company_Size]])</f>
        <v/>
      </c>
      <c r="M526">
        <f>YEAR(tbl_subscription[[#This Row],[Start_Date]])</f>
        <v/>
      </c>
    </row>
    <row r="527">
      <c r="A527" t="inlineStr">
        <is>
          <t>C0526</t>
        </is>
      </c>
      <c r="B527" t="inlineStr">
        <is>
          <t>Basic</t>
        </is>
      </c>
      <c r="C527" s="4" t="n">
        <v>44080</v>
      </c>
      <c r="D527" s="4" t="n">
        <v>45657</v>
      </c>
      <c r="E527" t="n">
        <v>15</v>
      </c>
      <c r="F527" t="inlineStr">
        <is>
          <t>Active</t>
        </is>
      </c>
      <c r="G527" t="inlineStr">
        <is>
          <t>LinkedIn</t>
        </is>
      </c>
      <c r="H527">
        <f>TEXT(C527,"mmm-yyyy")</f>
        <v/>
      </c>
      <c r="I527">
        <f>TEXT(D527,"mmm-yyyy")</f>
        <v/>
      </c>
      <c r="J527">
        <f>_xlfn.XLOOKUP(tbl_subscription[[#This Row],[Customer_ID]],tbl_clint[Customer_ID],tbl_clint[Country])</f>
        <v/>
      </c>
      <c r="K527">
        <f>_xlfn.XLOOKUP(tbl_subscription[[#This Row],[Customer_ID]],tbl_clint[[#This Row],[Customer_ID]],tbl_clint[[#This Row],[Industry]])</f>
        <v/>
      </c>
      <c r="L527">
        <f>_xlfn.XLOOKUP(tbl_subscription[[#This Row],[Customer_ID]],tbl_clint[[#This Row],[Customer_ID]],tbl_clint[[#This Row],[Company_Size]])</f>
        <v/>
      </c>
      <c r="M527">
        <f>YEAR(tbl_subscription[[#This Row],[Start_Date]])</f>
        <v/>
      </c>
    </row>
    <row r="528">
      <c r="A528" t="inlineStr">
        <is>
          <t>C0527</t>
        </is>
      </c>
      <c r="B528" t="inlineStr">
        <is>
          <t>Basic</t>
        </is>
      </c>
      <c r="C528" s="4" t="n">
        <v>45262</v>
      </c>
      <c r="D528" s="4" t="n">
        <v>45657</v>
      </c>
      <c r="E528" t="n">
        <v>15</v>
      </c>
      <c r="F528" t="inlineStr">
        <is>
          <t>Active</t>
        </is>
      </c>
      <c r="G528" t="inlineStr">
        <is>
          <t>Facebook</t>
        </is>
      </c>
      <c r="H528">
        <f>TEXT(C528,"mmm-yyyy")</f>
        <v/>
      </c>
      <c r="I528">
        <f>TEXT(D528,"mmm-yyyy")</f>
        <v/>
      </c>
      <c r="J528">
        <f>_xlfn.XLOOKUP(tbl_subscription[[#This Row],[Customer_ID]],tbl_clint[Customer_ID],tbl_clint[Country])</f>
        <v/>
      </c>
      <c r="K528">
        <f>_xlfn.XLOOKUP(tbl_subscription[[#This Row],[Customer_ID]],tbl_clint[[#This Row],[Customer_ID]],tbl_clint[[#This Row],[Industry]])</f>
        <v/>
      </c>
      <c r="L528">
        <f>_xlfn.XLOOKUP(tbl_subscription[[#This Row],[Customer_ID]],tbl_clint[[#This Row],[Customer_ID]],tbl_clint[[#This Row],[Company_Size]])</f>
        <v/>
      </c>
      <c r="M528">
        <f>YEAR(tbl_subscription[[#This Row],[Start_Date]])</f>
        <v/>
      </c>
    </row>
    <row r="529">
      <c r="A529" t="inlineStr">
        <is>
          <t>C0528</t>
        </is>
      </c>
      <c r="B529" t="inlineStr">
        <is>
          <t>Premium</t>
        </is>
      </c>
      <c r="C529" s="4" t="n">
        <v>44513</v>
      </c>
      <c r="D529" s="4" t="n">
        <v>45657</v>
      </c>
      <c r="E529" t="n">
        <v>40</v>
      </c>
      <c r="F529" t="inlineStr">
        <is>
          <t>Active</t>
        </is>
      </c>
      <c r="G529" t="inlineStr">
        <is>
          <t>Instagram</t>
        </is>
      </c>
      <c r="H529">
        <f>TEXT(C529,"mmm-yyyy")</f>
        <v/>
      </c>
      <c r="I529">
        <f>TEXT(D529,"mmm-yyyy")</f>
        <v/>
      </c>
      <c r="J529">
        <f>_xlfn.XLOOKUP(tbl_subscription[[#This Row],[Customer_ID]],tbl_clint[Customer_ID],tbl_clint[Country])</f>
        <v/>
      </c>
      <c r="K529">
        <f>_xlfn.XLOOKUP(tbl_subscription[[#This Row],[Customer_ID]],tbl_clint[[#This Row],[Customer_ID]],tbl_clint[[#This Row],[Industry]])</f>
        <v/>
      </c>
      <c r="L529">
        <f>_xlfn.XLOOKUP(tbl_subscription[[#This Row],[Customer_ID]],tbl_clint[[#This Row],[Customer_ID]],tbl_clint[[#This Row],[Company_Size]])</f>
        <v/>
      </c>
      <c r="M529">
        <f>YEAR(tbl_subscription[[#This Row],[Start_Date]])</f>
        <v/>
      </c>
    </row>
    <row r="530">
      <c r="A530" t="inlineStr">
        <is>
          <t>C0529</t>
        </is>
      </c>
      <c r="B530" t="inlineStr">
        <is>
          <t>Basic</t>
        </is>
      </c>
      <c r="C530" s="4" t="n">
        <v>44748</v>
      </c>
      <c r="D530" s="4" t="n">
        <v>45657</v>
      </c>
      <c r="E530" t="n">
        <v>15</v>
      </c>
      <c r="F530" t="inlineStr">
        <is>
          <t>Active</t>
        </is>
      </c>
      <c r="G530" t="inlineStr">
        <is>
          <t>LinkedIn</t>
        </is>
      </c>
      <c r="H530">
        <f>TEXT(C530,"mmm-yyyy")</f>
        <v/>
      </c>
      <c r="I530">
        <f>TEXT(D530,"mmm-yyyy")</f>
        <v/>
      </c>
      <c r="J530">
        <f>_xlfn.XLOOKUP(tbl_subscription[[#This Row],[Customer_ID]],tbl_clint[Customer_ID],tbl_clint[Country])</f>
        <v/>
      </c>
      <c r="K530">
        <f>_xlfn.XLOOKUP(tbl_subscription[[#This Row],[Customer_ID]],tbl_clint[[#This Row],[Customer_ID]],tbl_clint[[#This Row],[Industry]])</f>
        <v/>
      </c>
      <c r="L530">
        <f>_xlfn.XLOOKUP(tbl_subscription[[#This Row],[Customer_ID]],tbl_clint[[#This Row],[Customer_ID]],tbl_clint[[#This Row],[Company_Size]])</f>
        <v/>
      </c>
      <c r="M530">
        <f>YEAR(tbl_subscription[[#This Row],[Start_Date]])</f>
        <v/>
      </c>
    </row>
    <row r="531">
      <c r="A531" t="inlineStr">
        <is>
          <t>C0530</t>
        </is>
      </c>
      <c r="B531" t="inlineStr">
        <is>
          <t>Basic</t>
        </is>
      </c>
      <c r="C531" s="4" t="n">
        <v>44197</v>
      </c>
      <c r="D531" s="4" t="n">
        <v>45657</v>
      </c>
      <c r="E531" t="n">
        <v>15</v>
      </c>
      <c r="F531" t="inlineStr">
        <is>
          <t>Active</t>
        </is>
      </c>
      <c r="G531" t="inlineStr">
        <is>
          <t>Instagram</t>
        </is>
      </c>
      <c r="H531">
        <f>TEXT(C531,"mmm-yyyy")</f>
        <v/>
      </c>
      <c r="I531">
        <f>TEXT(D531,"mmm-yyyy")</f>
        <v/>
      </c>
      <c r="J531">
        <f>_xlfn.XLOOKUP(tbl_subscription[[#This Row],[Customer_ID]],tbl_clint[Customer_ID],tbl_clint[Country])</f>
        <v/>
      </c>
      <c r="K531">
        <f>_xlfn.XLOOKUP(tbl_subscription[[#This Row],[Customer_ID]],tbl_clint[[#This Row],[Customer_ID]],tbl_clint[[#This Row],[Industry]])</f>
        <v/>
      </c>
      <c r="L531">
        <f>_xlfn.XLOOKUP(tbl_subscription[[#This Row],[Customer_ID]],tbl_clint[[#This Row],[Customer_ID]],tbl_clint[[#This Row],[Company_Size]])</f>
        <v/>
      </c>
      <c r="M531">
        <f>YEAR(tbl_subscription[[#This Row],[Start_Date]])</f>
        <v/>
      </c>
    </row>
    <row r="532">
      <c r="A532" t="inlineStr">
        <is>
          <t>C0531</t>
        </is>
      </c>
      <c r="B532" t="inlineStr">
        <is>
          <t>Premium</t>
        </is>
      </c>
      <c r="C532" s="4" t="n">
        <v>44467</v>
      </c>
      <c r="D532" s="4" t="n">
        <v>45657</v>
      </c>
      <c r="E532" t="n">
        <v>40</v>
      </c>
      <c r="F532" t="inlineStr">
        <is>
          <t>Active</t>
        </is>
      </c>
      <c r="G532" t="inlineStr">
        <is>
          <t>Facebook</t>
        </is>
      </c>
      <c r="H532">
        <f>TEXT(C532,"mmm-yyyy")</f>
        <v/>
      </c>
      <c r="I532">
        <f>TEXT(D532,"mmm-yyyy")</f>
        <v/>
      </c>
      <c r="J532">
        <f>_xlfn.XLOOKUP(tbl_subscription[[#This Row],[Customer_ID]],tbl_clint[Customer_ID],tbl_clint[Country])</f>
        <v/>
      </c>
      <c r="K532">
        <f>_xlfn.XLOOKUP(tbl_subscription[[#This Row],[Customer_ID]],tbl_clint[[#This Row],[Customer_ID]],tbl_clint[[#This Row],[Industry]])</f>
        <v/>
      </c>
      <c r="L532">
        <f>_xlfn.XLOOKUP(tbl_subscription[[#This Row],[Customer_ID]],tbl_clint[[#This Row],[Customer_ID]],tbl_clint[[#This Row],[Company_Size]])</f>
        <v/>
      </c>
      <c r="M532">
        <f>YEAR(tbl_subscription[[#This Row],[Start_Date]])</f>
        <v/>
      </c>
    </row>
    <row r="533">
      <c r="A533" t="inlineStr">
        <is>
          <t>C0532</t>
        </is>
      </c>
      <c r="B533" t="inlineStr">
        <is>
          <t>Standard</t>
        </is>
      </c>
      <c r="C533" s="4" t="n">
        <v>44116</v>
      </c>
      <c r="D533" s="4" t="n">
        <v>45657</v>
      </c>
      <c r="E533" t="n">
        <v>25</v>
      </c>
      <c r="F533" t="inlineStr">
        <is>
          <t>Active</t>
        </is>
      </c>
      <c r="G533" t="inlineStr">
        <is>
          <t>Instagram</t>
        </is>
      </c>
      <c r="H533">
        <f>TEXT(C533,"mmm-yyyy")</f>
        <v/>
      </c>
      <c r="I533">
        <f>TEXT(D533,"mmm-yyyy")</f>
        <v/>
      </c>
      <c r="J533">
        <f>_xlfn.XLOOKUP(tbl_subscription[[#This Row],[Customer_ID]],tbl_clint[Customer_ID],tbl_clint[Country])</f>
        <v/>
      </c>
      <c r="K533">
        <f>_xlfn.XLOOKUP(tbl_subscription[[#This Row],[Customer_ID]],tbl_clint[[#This Row],[Customer_ID]],tbl_clint[[#This Row],[Industry]])</f>
        <v/>
      </c>
      <c r="L533">
        <f>_xlfn.XLOOKUP(tbl_subscription[[#This Row],[Customer_ID]],tbl_clint[[#This Row],[Customer_ID]],tbl_clint[[#This Row],[Company_Size]])</f>
        <v/>
      </c>
      <c r="M533">
        <f>YEAR(tbl_subscription[[#This Row],[Start_Date]])</f>
        <v/>
      </c>
    </row>
    <row r="534">
      <c r="A534" t="inlineStr">
        <is>
          <t>C0533</t>
        </is>
      </c>
      <c r="B534" t="inlineStr">
        <is>
          <t>Basic</t>
        </is>
      </c>
      <c r="C534" s="4" t="n">
        <v>44873</v>
      </c>
      <c r="D534" s="4" t="n">
        <v>45134</v>
      </c>
      <c r="E534" t="n">
        <v>15</v>
      </c>
      <c r="F534" t="inlineStr">
        <is>
          <t>Churned</t>
        </is>
      </c>
      <c r="G534" t="inlineStr">
        <is>
          <t>Facebook</t>
        </is>
      </c>
      <c r="H534">
        <f>TEXT(C534,"mmm-yyyy")</f>
        <v/>
      </c>
      <c r="I534">
        <f>TEXT(D534,"mmm-yyyy")</f>
        <v/>
      </c>
      <c r="J534">
        <f>_xlfn.XLOOKUP(tbl_subscription[[#This Row],[Customer_ID]],tbl_clint[Customer_ID],tbl_clint[Country])</f>
        <v/>
      </c>
      <c r="K534">
        <f>_xlfn.XLOOKUP(tbl_subscription[[#This Row],[Customer_ID]],tbl_clint[[#This Row],[Customer_ID]],tbl_clint[[#This Row],[Industry]])</f>
        <v/>
      </c>
      <c r="L534">
        <f>_xlfn.XLOOKUP(tbl_subscription[[#This Row],[Customer_ID]],tbl_clint[[#This Row],[Customer_ID]],tbl_clint[[#This Row],[Company_Size]])</f>
        <v/>
      </c>
      <c r="M534">
        <f>YEAR(tbl_subscription[[#This Row],[Start_Date]])</f>
        <v/>
      </c>
    </row>
    <row r="535">
      <c r="A535" t="inlineStr">
        <is>
          <t>C0534</t>
        </is>
      </c>
      <c r="B535" t="inlineStr">
        <is>
          <t>Basic</t>
        </is>
      </c>
      <c r="C535" s="4" t="n">
        <v>44392</v>
      </c>
      <c r="D535" s="4" t="n">
        <v>45657</v>
      </c>
      <c r="E535" t="n">
        <v>15</v>
      </c>
      <c r="F535" t="inlineStr">
        <is>
          <t>Active</t>
        </is>
      </c>
      <c r="G535" t="inlineStr">
        <is>
          <t>Instagram</t>
        </is>
      </c>
      <c r="H535">
        <f>TEXT(C535,"mmm-yyyy")</f>
        <v/>
      </c>
      <c r="I535">
        <f>TEXT(D535,"mmm-yyyy")</f>
        <v/>
      </c>
      <c r="J535">
        <f>_xlfn.XLOOKUP(tbl_subscription[[#This Row],[Customer_ID]],tbl_clint[Customer_ID],tbl_clint[Country])</f>
        <v/>
      </c>
      <c r="K535">
        <f>_xlfn.XLOOKUP(tbl_subscription[[#This Row],[Customer_ID]],tbl_clint[[#This Row],[Customer_ID]],tbl_clint[[#This Row],[Industry]])</f>
        <v/>
      </c>
      <c r="L535">
        <f>_xlfn.XLOOKUP(tbl_subscription[[#This Row],[Customer_ID]],tbl_clint[[#This Row],[Customer_ID]],tbl_clint[[#This Row],[Company_Size]])</f>
        <v/>
      </c>
      <c r="M535">
        <f>YEAR(tbl_subscription[[#This Row],[Start_Date]])</f>
        <v/>
      </c>
    </row>
    <row r="536">
      <c r="A536" t="inlineStr">
        <is>
          <t>C0535</t>
        </is>
      </c>
      <c r="B536" t="inlineStr">
        <is>
          <t>Standard</t>
        </is>
      </c>
      <c r="C536" s="4" t="n">
        <v>44057</v>
      </c>
      <c r="D536" s="4" t="n">
        <v>45657</v>
      </c>
      <c r="E536" t="n">
        <v>25</v>
      </c>
      <c r="F536" t="inlineStr">
        <is>
          <t>Active</t>
        </is>
      </c>
      <c r="G536" t="inlineStr">
        <is>
          <t>Google</t>
        </is>
      </c>
      <c r="H536">
        <f>TEXT(C536,"mmm-yyyy")</f>
        <v/>
      </c>
      <c r="I536">
        <f>TEXT(D536,"mmm-yyyy")</f>
        <v/>
      </c>
      <c r="J536">
        <f>_xlfn.XLOOKUP(tbl_subscription[[#This Row],[Customer_ID]],tbl_clint[Customer_ID],tbl_clint[Country])</f>
        <v/>
      </c>
      <c r="K536">
        <f>_xlfn.XLOOKUP(tbl_subscription[[#This Row],[Customer_ID]],tbl_clint[[#This Row],[Customer_ID]],tbl_clint[[#This Row],[Industry]])</f>
        <v/>
      </c>
      <c r="L536">
        <f>_xlfn.XLOOKUP(tbl_subscription[[#This Row],[Customer_ID]],tbl_clint[[#This Row],[Customer_ID]],tbl_clint[[#This Row],[Company_Size]])</f>
        <v/>
      </c>
      <c r="M536">
        <f>YEAR(tbl_subscription[[#This Row],[Start_Date]])</f>
        <v/>
      </c>
    </row>
    <row r="537">
      <c r="A537" t="inlineStr">
        <is>
          <t>C0536</t>
        </is>
      </c>
      <c r="B537" t="inlineStr">
        <is>
          <t>Standard</t>
        </is>
      </c>
      <c r="C537" s="4" t="n">
        <v>45330</v>
      </c>
      <c r="D537" s="4" t="n">
        <v>45657</v>
      </c>
      <c r="E537" t="n">
        <v>25</v>
      </c>
      <c r="F537" t="inlineStr">
        <is>
          <t>Active</t>
        </is>
      </c>
      <c r="G537" t="inlineStr">
        <is>
          <t>LinkedIn</t>
        </is>
      </c>
      <c r="H537">
        <f>TEXT(C537,"mmm-yyyy")</f>
        <v/>
      </c>
      <c r="I537">
        <f>TEXT(D537,"mmm-yyyy")</f>
        <v/>
      </c>
      <c r="J537">
        <f>_xlfn.XLOOKUP(tbl_subscription[[#This Row],[Customer_ID]],tbl_clint[Customer_ID],tbl_clint[Country])</f>
        <v/>
      </c>
      <c r="K537">
        <f>_xlfn.XLOOKUP(tbl_subscription[[#This Row],[Customer_ID]],tbl_clint[[#This Row],[Customer_ID]],tbl_clint[[#This Row],[Industry]])</f>
        <v/>
      </c>
      <c r="L537">
        <f>_xlfn.XLOOKUP(tbl_subscription[[#This Row],[Customer_ID]],tbl_clint[[#This Row],[Customer_ID]],tbl_clint[[#This Row],[Company_Size]])</f>
        <v/>
      </c>
      <c r="M537">
        <f>YEAR(tbl_subscription[[#This Row],[Start_Date]])</f>
        <v/>
      </c>
    </row>
    <row r="538">
      <c r="A538" t="inlineStr">
        <is>
          <t>C0537</t>
        </is>
      </c>
      <c r="B538" t="inlineStr">
        <is>
          <t>Standard</t>
        </is>
      </c>
      <c r="C538" s="4" t="n">
        <v>44012</v>
      </c>
      <c r="D538" s="4" t="n">
        <v>44661</v>
      </c>
      <c r="E538" t="n">
        <v>25</v>
      </c>
      <c r="F538" t="inlineStr">
        <is>
          <t>Churned</t>
        </is>
      </c>
      <c r="G538" t="inlineStr">
        <is>
          <t>Referral</t>
        </is>
      </c>
      <c r="H538">
        <f>TEXT(C538,"mmm-yyyy")</f>
        <v/>
      </c>
      <c r="I538">
        <f>TEXT(D538,"mmm-yyyy")</f>
        <v/>
      </c>
      <c r="J538">
        <f>_xlfn.XLOOKUP(tbl_subscription[[#This Row],[Customer_ID]],tbl_clint[Customer_ID],tbl_clint[Country])</f>
        <v/>
      </c>
      <c r="K538">
        <f>_xlfn.XLOOKUP(tbl_subscription[[#This Row],[Customer_ID]],tbl_clint[[#This Row],[Customer_ID]],tbl_clint[[#This Row],[Industry]])</f>
        <v/>
      </c>
      <c r="L538">
        <f>_xlfn.XLOOKUP(tbl_subscription[[#This Row],[Customer_ID]],tbl_clint[[#This Row],[Customer_ID]],tbl_clint[[#This Row],[Company_Size]])</f>
        <v/>
      </c>
      <c r="M538">
        <f>YEAR(tbl_subscription[[#This Row],[Start_Date]])</f>
        <v/>
      </c>
    </row>
    <row r="539">
      <c r="A539" t="inlineStr">
        <is>
          <t>C0538</t>
        </is>
      </c>
      <c r="B539" t="inlineStr">
        <is>
          <t>Standard</t>
        </is>
      </c>
      <c r="C539" s="4" t="n">
        <v>44664</v>
      </c>
      <c r="D539" s="4" t="n">
        <v>45657</v>
      </c>
      <c r="E539" t="n">
        <v>25</v>
      </c>
      <c r="F539" t="inlineStr">
        <is>
          <t>Active</t>
        </is>
      </c>
      <c r="G539" t="inlineStr">
        <is>
          <t>Google</t>
        </is>
      </c>
      <c r="H539">
        <f>TEXT(C539,"mmm-yyyy")</f>
        <v/>
      </c>
      <c r="I539">
        <f>TEXT(D539,"mmm-yyyy")</f>
        <v/>
      </c>
      <c r="J539">
        <f>_xlfn.XLOOKUP(tbl_subscription[[#This Row],[Customer_ID]],tbl_clint[Customer_ID],tbl_clint[Country])</f>
        <v/>
      </c>
      <c r="K539">
        <f>_xlfn.XLOOKUP(tbl_subscription[[#This Row],[Customer_ID]],tbl_clint[[#This Row],[Customer_ID]],tbl_clint[[#This Row],[Industry]])</f>
        <v/>
      </c>
      <c r="L539">
        <f>_xlfn.XLOOKUP(tbl_subscription[[#This Row],[Customer_ID]],tbl_clint[[#This Row],[Customer_ID]],tbl_clint[[#This Row],[Company_Size]])</f>
        <v/>
      </c>
      <c r="M539">
        <f>YEAR(tbl_subscription[[#This Row],[Start_Date]])</f>
        <v/>
      </c>
    </row>
    <row r="540">
      <c r="A540" t="inlineStr">
        <is>
          <t>C0539</t>
        </is>
      </c>
      <c r="B540" t="inlineStr">
        <is>
          <t>Standard</t>
        </is>
      </c>
      <c r="C540" s="4" t="n">
        <v>44574</v>
      </c>
      <c r="D540" s="4" t="n">
        <v>45408</v>
      </c>
      <c r="E540" t="n">
        <v>25</v>
      </c>
      <c r="F540" t="inlineStr">
        <is>
          <t>Churned</t>
        </is>
      </c>
      <c r="G540" t="inlineStr">
        <is>
          <t>LinkedIn</t>
        </is>
      </c>
      <c r="H540">
        <f>TEXT(C540,"mmm-yyyy")</f>
        <v/>
      </c>
      <c r="I540">
        <f>TEXT(D540,"mmm-yyyy")</f>
        <v/>
      </c>
      <c r="J540">
        <f>_xlfn.XLOOKUP(tbl_subscription[[#This Row],[Customer_ID]],tbl_clint[Customer_ID],tbl_clint[Country])</f>
        <v/>
      </c>
      <c r="K540">
        <f>_xlfn.XLOOKUP(tbl_subscription[[#This Row],[Customer_ID]],tbl_clint[[#This Row],[Customer_ID]],tbl_clint[[#This Row],[Industry]])</f>
        <v/>
      </c>
      <c r="L540">
        <f>_xlfn.XLOOKUP(tbl_subscription[[#This Row],[Customer_ID]],tbl_clint[[#This Row],[Customer_ID]],tbl_clint[[#This Row],[Company_Size]])</f>
        <v/>
      </c>
      <c r="M540">
        <f>YEAR(tbl_subscription[[#This Row],[Start_Date]])</f>
        <v/>
      </c>
    </row>
    <row r="541">
      <c r="A541" t="inlineStr">
        <is>
          <t>C0540</t>
        </is>
      </c>
      <c r="B541" t="inlineStr">
        <is>
          <t>Basic</t>
        </is>
      </c>
      <c r="C541" s="4" t="n">
        <v>44708</v>
      </c>
      <c r="D541" s="4" t="n">
        <v>45657</v>
      </c>
      <c r="E541" t="n">
        <v>15</v>
      </c>
      <c r="F541" t="inlineStr">
        <is>
          <t>Active</t>
        </is>
      </c>
      <c r="G541" t="inlineStr">
        <is>
          <t>LinkedIn</t>
        </is>
      </c>
      <c r="H541">
        <f>TEXT(C541,"mmm-yyyy")</f>
        <v/>
      </c>
      <c r="I541">
        <f>TEXT(D541,"mmm-yyyy")</f>
        <v/>
      </c>
      <c r="J541">
        <f>_xlfn.XLOOKUP(tbl_subscription[[#This Row],[Customer_ID]],tbl_clint[Customer_ID],tbl_clint[Country])</f>
        <v/>
      </c>
      <c r="K541">
        <f>_xlfn.XLOOKUP(tbl_subscription[[#This Row],[Customer_ID]],tbl_clint[[#This Row],[Customer_ID]],tbl_clint[[#This Row],[Industry]])</f>
        <v/>
      </c>
      <c r="L541">
        <f>_xlfn.XLOOKUP(tbl_subscription[[#This Row],[Customer_ID]],tbl_clint[[#This Row],[Customer_ID]],tbl_clint[[#This Row],[Company_Size]])</f>
        <v/>
      </c>
      <c r="M541">
        <f>YEAR(tbl_subscription[[#This Row],[Start_Date]])</f>
        <v/>
      </c>
    </row>
    <row r="542">
      <c r="A542" t="inlineStr">
        <is>
          <t>C0541</t>
        </is>
      </c>
      <c r="B542" t="inlineStr">
        <is>
          <t>Standard</t>
        </is>
      </c>
      <c r="C542" s="4" t="n">
        <v>43926</v>
      </c>
      <c r="D542" s="4" t="n">
        <v>44079</v>
      </c>
      <c r="E542" t="n">
        <v>25</v>
      </c>
      <c r="F542" t="inlineStr">
        <is>
          <t>Churned</t>
        </is>
      </c>
      <c r="G542" t="inlineStr">
        <is>
          <t>LinkedIn</t>
        </is>
      </c>
      <c r="H542">
        <f>TEXT(C542,"mmm-yyyy")</f>
        <v/>
      </c>
      <c r="I542">
        <f>TEXT(D542,"mmm-yyyy")</f>
        <v/>
      </c>
      <c r="J542">
        <f>_xlfn.XLOOKUP(tbl_subscription[[#This Row],[Customer_ID]],tbl_clint[Customer_ID],tbl_clint[Country])</f>
        <v/>
      </c>
      <c r="K542">
        <f>_xlfn.XLOOKUP(tbl_subscription[[#This Row],[Customer_ID]],tbl_clint[[#This Row],[Customer_ID]],tbl_clint[[#This Row],[Industry]])</f>
        <v/>
      </c>
      <c r="L542">
        <f>_xlfn.XLOOKUP(tbl_subscription[[#This Row],[Customer_ID]],tbl_clint[[#This Row],[Customer_ID]],tbl_clint[[#This Row],[Company_Size]])</f>
        <v/>
      </c>
      <c r="M542">
        <f>YEAR(tbl_subscription[[#This Row],[Start_Date]])</f>
        <v/>
      </c>
    </row>
    <row r="543">
      <c r="A543" t="inlineStr">
        <is>
          <t>C0542</t>
        </is>
      </c>
      <c r="B543" t="inlineStr">
        <is>
          <t>Basic</t>
        </is>
      </c>
      <c r="C543" s="4" t="n">
        <v>44781</v>
      </c>
      <c r="D543" s="4" t="n">
        <v>45657</v>
      </c>
      <c r="E543" t="n">
        <v>15</v>
      </c>
      <c r="F543" t="inlineStr">
        <is>
          <t>Active</t>
        </is>
      </c>
      <c r="G543" t="inlineStr">
        <is>
          <t>Google</t>
        </is>
      </c>
      <c r="H543">
        <f>TEXT(C543,"mmm-yyyy")</f>
        <v/>
      </c>
      <c r="I543">
        <f>TEXT(D543,"mmm-yyyy")</f>
        <v/>
      </c>
      <c r="J543">
        <f>_xlfn.XLOOKUP(tbl_subscription[[#This Row],[Customer_ID]],tbl_clint[Customer_ID],tbl_clint[Country])</f>
        <v/>
      </c>
      <c r="K543">
        <f>_xlfn.XLOOKUP(tbl_subscription[[#This Row],[Customer_ID]],tbl_clint[[#This Row],[Customer_ID]],tbl_clint[[#This Row],[Industry]])</f>
        <v/>
      </c>
      <c r="L543">
        <f>_xlfn.XLOOKUP(tbl_subscription[[#This Row],[Customer_ID]],tbl_clint[[#This Row],[Customer_ID]],tbl_clint[[#This Row],[Company_Size]])</f>
        <v/>
      </c>
      <c r="M543">
        <f>YEAR(tbl_subscription[[#This Row],[Start_Date]])</f>
        <v/>
      </c>
    </row>
    <row r="544">
      <c r="A544" t="inlineStr">
        <is>
          <t>C0543</t>
        </is>
      </c>
      <c r="B544" t="inlineStr">
        <is>
          <t>Standard</t>
        </is>
      </c>
      <c r="C544" s="4" t="n">
        <v>45342</v>
      </c>
      <c r="D544" s="4" t="n">
        <v>45657</v>
      </c>
      <c r="E544" t="n">
        <v>25</v>
      </c>
      <c r="F544" t="inlineStr">
        <is>
          <t>Active</t>
        </is>
      </c>
      <c r="G544" t="inlineStr">
        <is>
          <t>Referral</t>
        </is>
      </c>
      <c r="H544">
        <f>TEXT(C544,"mmm-yyyy")</f>
        <v/>
      </c>
      <c r="I544">
        <f>TEXT(D544,"mmm-yyyy")</f>
        <v/>
      </c>
      <c r="J544">
        <f>_xlfn.XLOOKUP(tbl_subscription[[#This Row],[Customer_ID]],tbl_clint[Customer_ID],tbl_clint[Country])</f>
        <v/>
      </c>
      <c r="K544">
        <f>_xlfn.XLOOKUP(tbl_subscription[[#This Row],[Customer_ID]],tbl_clint[[#This Row],[Customer_ID]],tbl_clint[[#This Row],[Industry]])</f>
        <v/>
      </c>
      <c r="L544">
        <f>_xlfn.XLOOKUP(tbl_subscription[[#This Row],[Customer_ID]],tbl_clint[[#This Row],[Customer_ID]],tbl_clint[[#This Row],[Company_Size]])</f>
        <v/>
      </c>
      <c r="M544">
        <f>YEAR(tbl_subscription[[#This Row],[Start_Date]])</f>
        <v/>
      </c>
    </row>
    <row r="545">
      <c r="A545" t="inlineStr">
        <is>
          <t>C0544</t>
        </is>
      </c>
      <c r="B545" t="inlineStr">
        <is>
          <t>Standard</t>
        </is>
      </c>
      <c r="C545" s="4" t="n">
        <v>44384</v>
      </c>
      <c r="D545" s="4" t="n">
        <v>44755</v>
      </c>
      <c r="E545" t="n">
        <v>25</v>
      </c>
      <c r="F545" t="inlineStr">
        <is>
          <t>Churned</t>
        </is>
      </c>
      <c r="G545" t="inlineStr">
        <is>
          <t>Google</t>
        </is>
      </c>
      <c r="H545">
        <f>TEXT(C545,"mmm-yyyy")</f>
        <v/>
      </c>
      <c r="I545">
        <f>TEXT(D545,"mmm-yyyy")</f>
        <v/>
      </c>
      <c r="J545">
        <f>_xlfn.XLOOKUP(tbl_subscription[[#This Row],[Customer_ID]],tbl_clint[Customer_ID],tbl_clint[Country])</f>
        <v/>
      </c>
      <c r="K545">
        <f>_xlfn.XLOOKUP(tbl_subscription[[#This Row],[Customer_ID]],tbl_clint[[#This Row],[Customer_ID]],tbl_clint[[#This Row],[Industry]])</f>
        <v/>
      </c>
      <c r="L545">
        <f>_xlfn.XLOOKUP(tbl_subscription[[#This Row],[Customer_ID]],tbl_clint[[#This Row],[Customer_ID]],tbl_clint[[#This Row],[Company_Size]])</f>
        <v/>
      </c>
      <c r="M545">
        <f>YEAR(tbl_subscription[[#This Row],[Start_Date]])</f>
        <v/>
      </c>
    </row>
    <row r="546">
      <c r="A546" t="inlineStr">
        <is>
          <t>C0545</t>
        </is>
      </c>
      <c r="B546" t="inlineStr">
        <is>
          <t>Standard</t>
        </is>
      </c>
      <c r="C546" s="4" t="n">
        <v>45469</v>
      </c>
      <c r="D546" s="4" t="n">
        <v>45657</v>
      </c>
      <c r="E546" t="n">
        <v>25</v>
      </c>
      <c r="F546" t="inlineStr">
        <is>
          <t>Active</t>
        </is>
      </c>
      <c r="G546" t="inlineStr">
        <is>
          <t>LinkedIn</t>
        </is>
      </c>
      <c r="H546">
        <f>TEXT(C546,"mmm-yyyy")</f>
        <v/>
      </c>
      <c r="I546">
        <f>TEXT(D546,"mmm-yyyy")</f>
        <v/>
      </c>
      <c r="J546">
        <f>_xlfn.XLOOKUP(tbl_subscription[[#This Row],[Customer_ID]],tbl_clint[Customer_ID],tbl_clint[Country])</f>
        <v/>
      </c>
      <c r="K546">
        <f>_xlfn.XLOOKUP(tbl_subscription[[#This Row],[Customer_ID]],tbl_clint[[#This Row],[Customer_ID]],tbl_clint[[#This Row],[Industry]])</f>
        <v/>
      </c>
      <c r="L546">
        <f>_xlfn.XLOOKUP(tbl_subscription[[#This Row],[Customer_ID]],tbl_clint[[#This Row],[Customer_ID]],tbl_clint[[#This Row],[Company_Size]])</f>
        <v/>
      </c>
      <c r="M546">
        <f>YEAR(tbl_subscription[[#This Row],[Start_Date]])</f>
        <v/>
      </c>
    </row>
    <row r="547">
      <c r="A547" t="inlineStr">
        <is>
          <t>C0546</t>
        </is>
      </c>
      <c r="B547" t="inlineStr">
        <is>
          <t>Standard</t>
        </is>
      </c>
      <c r="C547" s="4" t="n">
        <v>44612</v>
      </c>
      <c r="D547" s="4" t="n">
        <v>45657</v>
      </c>
      <c r="E547" t="n">
        <v>25</v>
      </c>
      <c r="F547" t="inlineStr">
        <is>
          <t>Active</t>
        </is>
      </c>
      <c r="G547" t="inlineStr">
        <is>
          <t>Referral</t>
        </is>
      </c>
      <c r="H547">
        <f>TEXT(C547,"mmm-yyyy")</f>
        <v/>
      </c>
      <c r="I547">
        <f>TEXT(D547,"mmm-yyyy")</f>
        <v/>
      </c>
      <c r="J547">
        <f>_xlfn.XLOOKUP(tbl_subscription[[#This Row],[Customer_ID]],tbl_clint[Customer_ID],tbl_clint[Country])</f>
        <v/>
      </c>
      <c r="K547">
        <f>_xlfn.XLOOKUP(tbl_subscription[[#This Row],[Customer_ID]],tbl_clint[[#This Row],[Customer_ID]],tbl_clint[[#This Row],[Industry]])</f>
        <v/>
      </c>
      <c r="L547">
        <f>_xlfn.XLOOKUP(tbl_subscription[[#This Row],[Customer_ID]],tbl_clint[[#This Row],[Customer_ID]],tbl_clint[[#This Row],[Company_Size]])</f>
        <v/>
      </c>
      <c r="M547">
        <f>YEAR(tbl_subscription[[#This Row],[Start_Date]])</f>
        <v/>
      </c>
    </row>
    <row r="548">
      <c r="A548" t="inlineStr">
        <is>
          <t>C0547</t>
        </is>
      </c>
      <c r="B548" t="inlineStr">
        <is>
          <t>Basic</t>
        </is>
      </c>
      <c r="C548" s="4" t="n">
        <v>45441</v>
      </c>
      <c r="D548" s="4" t="n">
        <v>45657</v>
      </c>
      <c r="E548" t="n">
        <v>15</v>
      </c>
      <c r="F548" t="inlineStr">
        <is>
          <t>Active</t>
        </is>
      </c>
      <c r="G548" t="inlineStr">
        <is>
          <t>Referral</t>
        </is>
      </c>
      <c r="H548">
        <f>TEXT(C548,"mmm-yyyy")</f>
        <v/>
      </c>
      <c r="I548">
        <f>TEXT(D548,"mmm-yyyy")</f>
        <v/>
      </c>
      <c r="J548">
        <f>_xlfn.XLOOKUP(tbl_subscription[[#This Row],[Customer_ID]],tbl_clint[Customer_ID],tbl_clint[Country])</f>
        <v/>
      </c>
      <c r="K548">
        <f>_xlfn.XLOOKUP(tbl_subscription[[#This Row],[Customer_ID]],tbl_clint[[#This Row],[Customer_ID]],tbl_clint[[#This Row],[Industry]])</f>
        <v/>
      </c>
      <c r="L548">
        <f>_xlfn.XLOOKUP(tbl_subscription[[#This Row],[Customer_ID]],tbl_clint[[#This Row],[Customer_ID]],tbl_clint[[#This Row],[Company_Size]])</f>
        <v/>
      </c>
      <c r="M548">
        <f>YEAR(tbl_subscription[[#This Row],[Start_Date]])</f>
        <v/>
      </c>
    </row>
    <row r="549">
      <c r="A549" t="inlineStr">
        <is>
          <t>C0548</t>
        </is>
      </c>
      <c r="B549" t="inlineStr">
        <is>
          <t>Premium</t>
        </is>
      </c>
      <c r="C549" s="4" t="n">
        <v>45192</v>
      </c>
      <c r="D549" s="4" t="n">
        <v>45657</v>
      </c>
      <c r="E549" t="n">
        <v>40</v>
      </c>
      <c r="F549" t="inlineStr">
        <is>
          <t>Churned</t>
        </is>
      </c>
      <c r="G549" t="inlineStr">
        <is>
          <t>Referral</t>
        </is>
      </c>
      <c r="H549">
        <f>TEXT(C549,"mmm-yyyy")</f>
        <v/>
      </c>
      <c r="I549">
        <f>TEXT(D549,"mmm-yyyy")</f>
        <v/>
      </c>
      <c r="J549">
        <f>_xlfn.XLOOKUP(tbl_subscription[[#This Row],[Customer_ID]],tbl_clint[Customer_ID],tbl_clint[Country])</f>
        <v/>
      </c>
      <c r="K549">
        <f>_xlfn.XLOOKUP(tbl_subscription[[#This Row],[Customer_ID]],tbl_clint[[#This Row],[Customer_ID]],tbl_clint[[#This Row],[Industry]])</f>
        <v/>
      </c>
      <c r="L549">
        <f>_xlfn.XLOOKUP(tbl_subscription[[#This Row],[Customer_ID]],tbl_clint[[#This Row],[Customer_ID]],tbl_clint[[#This Row],[Company_Size]])</f>
        <v/>
      </c>
      <c r="M549">
        <f>YEAR(tbl_subscription[[#This Row],[Start_Date]])</f>
        <v/>
      </c>
    </row>
    <row r="550">
      <c r="A550" t="inlineStr">
        <is>
          <t>C0549</t>
        </is>
      </c>
      <c r="B550" t="inlineStr">
        <is>
          <t>Standard</t>
        </is>
      </c>
      <c r="C550" s="4" t="n">
        <v>44342</v>
      </c>
      <c r="D550" s="4" t="n">
        <v>45197</v>
      </c>
      <c r="E550" t="n">
        <v>25</v>
      </c>
      <c r="F550" t="inlineStr">
        <is>
          <t>Churned</t>
        </is>
      </c>
      <c r="G550" t="inlineStr">
        <is>
          <t>LinkedIn</t>
        </is>
      </c>
      <c r="H550">
        <f>TEXT(C550,"mmm-yyyy")</f>
        <v/>
      </c>
      <c r="I550">
        <f>TEXT(D550,"mmm-yyyy")</f>
        <v/>
      </c>
      <c r="J550">
        <f>_xlfn.XLOOKUP(tbl_subscription[[#This Row],[Customer_ID]],tbl_clint[Customer_ID],tbl_clint[Country])</f>
        <v/>
      </c>
      <c r="K550">
        <f>_xlfn.XLOOKUP(tbl_subscription[[#This Row],[Customer_ID]],tbl_clint[[#This Row],[Customer_ID]],tbl_clint[[#This Row],[Industry]])</f>
        <v/>
      </c>
      <c r="L550">
        <f>_xlfn.XLOOKUP(tbl_subscription[[#This Row],[Customer_ID]],tbl_clint[[#This Row],[Customer_ID]],tbl_clint[[#This Row],[Company_Size]])</f>
        <v/>
      </c>
      <c r="M550">
        <f>YEAR(tbl_subscription[[#This Row],[Start_Date]])</f>
        <v/>
      </c>
    </row>
    <row r="551">
      <c r="A551" t="inlineStr">
        <is>
          <t>C0550</t>
        </is>
      </c>
      <c r="B551" t="inlineStr">
        <is>
          <t>Standard</t>
        </is>
      </c>
      <c r="C551" s="4" t="n">
        <v>44020</v>
      </c>
      <c r="D551" s="4" t="n">
        <v>45657</v>
      </c>
      <c r="E551" t="n">
        <v>25</v>
      </c>
      <c r="F551" t="inlineStr">
        <is>
          <t>Active</t>
        </is>
      </c>
      <c r="G551" t="inlineStr">
        <is>
          <t>LinkedIn</t>
        </is>
      </c>
      <c r="H551">
        <f>TEXT(C551,"mmm-yyyy")</f>
        <v/>
      </c>
      <c r="I551">
        <f>TEXT(D551,"mmm-yyyy")</f>
        <v/>
      </c>
      <c r="J551">
        <f>_xlfn.XLOOKUP(tbl_subscription[[#This Row],[Customer_ID]],tbl_clint[Customer_ID],tbl_clint[Country])</f>
        <v/>
      </c>
      <c r="K551">
        <f>_xlfn.XLOOKUP(tbl_subscription[[#This Row],[Customer_ID]],tbl_clint[[#This Row],[Customer_ID]],tbl_clint[[#This Row],[Industry]])</f>
        <v/>
      </c>
      <c r="L551">
        <f>_xlfn.XLOOKUP(tbl_subscription[[#This Row],[Customer_ID]],tbl_clint[[#This Row],[Customer_ID]],tbl_clint[[#This Row],[Company_Size]])</f>
        <v/>
      </c>
      <c r="M551">
        <f>YEAR(tbl_subscription[[#This Row],[Start_Date]])</f>
        <v/>
      </c>
    </row>
    <row r="552">
      <c r="A552" t="inlineStr">
        <is>
          <t>C0551</t>
        </is>
      </c>
      <c r="B552" t="inlineStr">
        <is>
          <t>Basic</t>
        </is>
      </c>
      <c r="C552" s="4" t="n">
        <v>44049</v>
      </c>
      <c r="D552" s="4" t="n">
        <v>45657</v>
      </c>
      <c r="E552" t="n">
        <v>15</v>
      </c>
      <c r="F552" t="inlineStr">
        <is>
          <t>Active</t>
        </is>
      </c>
      <c r="G552" t="inlineStr">
        <is>
          <t>Facebook</t>
        </is>
      </c>
      <c r="H552">
        <f>TEXT(C552,"mmm-yyyy")</f>
        <v/>
      </c>
      <c r="I552">
        <f>TEXT(D552,"mmm-yyyy")</f>
        <v/>
      </c>
      <c r="J552">
        <f>_xlfn.XLOOKUP(tbl_subscription[[#This Row],[Customer_ID]],tbl_clint[Customer_ID],tbl_clint[Country])</f>
        <v/>
      </c>
      <c r="K552">
        <f>_xlfn.XLOOKUP(tbl_subscription[[#This Row],[Customer_ID]],tbl_clint[[#This Row],[Customer_ID]],tbl_clint[[#This Row],[Industry]])</f>
        <v/>
      </c>
      <c r="L552">
        <f>_xlfn.XLOOKUP(tbl_subscription[[#This Row],[Customer_ID]],tbl_clint[[#This Row],[Customer_ID]],tbl_clint[[#This Row],[Company_Size]])</f>
        <v/>
      </c>
      <c r="M552">
        <f>YEAR(tbl_subscription[[#This Row],[Start_Date]])</f>
        <v/>
      </c>
    </row>
    <row r="553">
      <c r="A553" t="inlineStr">
        <is>
          <t>C0552</t>
        </is>
      </c>
      <c r="B553" t="inlineStr">
        <is>
          <t>Premium</t>
        </is>
      </c>
      <c r="C553" s="4" t="n">
        <v>45081</v>
      </c>
      <c r="D553" s="4" t="n">
        <v>45657</v>
      </c>
      <c r="E553" t="n">
        <v>40</v>
      </c>
      <c r="F553" t="inlineStr">
        <is>
          <t>Active</t>
        </is>
      </c>
      <c r="G553" t="inlineStr">
        <is>
          <t>Facebook</t>
        </is>
      </c>
      <c r="H553">
        <f>TEXT(C553,"mmm-yyyy")</f>
        <v/>
      </c>
      <c r="I553">
        <f>TEXT(D553,"mmm-yyyy")</f>
        <v/>
      </c>
      <c r="J553">
        <f>_xlfn.XLOOKUP(tbl_subscription[[#This Row],[Customer_ID]],tbl_clint[Customer_ID],tbl_clint[Country])</f>
        <v/>
      </c>
      <c r="K553">
        <f>_xlfn.XLOOKUP(tbl_subscription[[#This Row],[Customer_ID]],tbl_clint[[#This Row],[Customer_ID]],tbl_clint[[#This Row],[Industry]])</f>
        <v/>
      </c>
      <c r="L553">
        <f>_xlfn.XLOOKUP(tbl_subscription[[#This Row],[Customer_ID]],tbl_clint[[#This Row],[Customer_ID]],tbl_clint[[#This Row],[Company_Size]])</f>
        <v/>
      </c>
      <c r="M553">
        <f>YEAR(tbl_subscription[[#This Row],[Start_Date]])</f>
        <v/>
      </c>
    </row>
    <row r="554">
      <c r="A554" t="inlineStr">
        <is>
          <t>C0553</t>
        </is>
      </c>
      <c r="B554" t="inlineStr">
        <is>
          <t>Standard</t>
        </is>
      </c>
      <c r="C554" s="4" t="n">
        <v>45433</v>
      </c>
      <c r="D554" s="4" t="n">
        <v>45657</v>
      </c>
      <c r="E554" t="n">
        <v>25</v>
      </c>
      <c r="F554" t="inlineStr">
        <is>
          <t>Active</t>
        </is>
      </c>
      <c r="G554" t="inlineStr">
        <is>
          <t>Referral</t>
        </is>
      </c>
      <c r="H554">
        <f>TEXT(C554,"mmm-yyyy")</f>
        <v/>
      </c>
      <c r="I554">
        <f>TEXT(D554,"mmm-yyyy")</f>
        <v/>
      </c>
      <c r="J554">
        <f>_xlfn.XLOOKUP(tbl_subscription[[#This Row],[Customer_ID]],tbl_clint[Customer_ID],tbl_clint[Country])</f>
        <v/>
      </c>
      <c r="K554">
        <f>_xlfn.XLOOKUP(tbl_subscription[[#This Row],[Customer_ID]],tbl_clint[[#This Row],[Customer_ID]],tbl_clint[[#This Row],[Industry]])</f>
        <v/>
      </c>
      <c r="L554">
        <f>_xlfn.XLOOKUP(tbl_subscription[[#This Row],[Customer_ID]],tbl_clint[[#This Row],[Customer_ID]],tbl_clint[[#This Row],[Company_Size]])</f>
        <v/>
      </c>
      <c r="M554">
        <f>YEAR(tbl_subscription[[#This Row],[Start_Date]])</f>
        <v/>
      </c>
    </row>
    <row r="555">
      <c r="A555" t="inlineStr">
        <is>
          <t>C0554</t>
        </is>
      </c>
      <c r="B555" t="inlineStr">
        <is>
          <t>Standard</t>
        </is>
      </c>
      <c r="C555" s="4" t="n">
        <v>45224</v>
      </c>
      <c r="D555" s="4" t="n">
        <v>45657</v>
      </c>
      <c r="E555" t="n">
        <v>25</v>
      </c>
      <c r="F555" t="inlineStr">
        <is>
          <t>Active</t>
        </is>
      </c>
      <c r="G555" t="inlineStr">
        <is>
          <t>Instagram</t>
        </is>
      </c>
      <c r="H555">
        <f>TEXT(C555,"mmm-yyyy")</f>
        <v/>
      </c>
      <c r="I555">
        <f>TEXT(D555,"mmm-yyyy")</f>
        <v/>
      </c>
      <c r="J555">
        <f>_xlfn.XLOOKUP(tbl_subscription[[#This Row],[Customer_ID]],tbl_clint[Customer_ID],tbl_clint[Country])</f>
        <v/>
      </c>
      <c r="K555">
        <f>_xlfn.XLOOKUP(tbl_subscription[[#This Row],[Customer_ID]],tbl_clint[[#This Row],[Customer_ID]],tbl_clint[[#This Row],[Industry]])</f>
        <v/>
      </c>
      <c r="L555">
        <f>_xlfn.XLOOKUP(tbl_subscription[[#This Row],[Customer_ID]],tbl_clint[[#This Row],[Customer_ID]],tbl_clint[[#This Row],[Company_Size]])</f>
        <v/>
      </c>
      <c r="M555">
        <f>YEAR(tbl_subscription[[#This Row],[Start_Date]])</f>
        <v/>
      </c>
    </row>
    <row r="556">
      <c r="A556" t="inlineStr">
        <is>
          <t>C0555</t>
        </is>
      </c>
      <c r="B556" t="inlineStr">
        <is>
          <t>Premium</t>
        </is>
      </c>
      <c r="C556" s="4" t="n">
        <v>44745</v>
      </c>
      <c r="D556" s="4" t="n">
        <v>45116</v>
      </c>
      <c r="E556" t="n">
        <v>40</v>
      </c>
      <c r="F556" t="inlineStr">
        <is>
          <t>Churned</t>
        </is>
      </c>
      <c r="G556" t="inlineStr">
        <is>
          <t>Instagram</t>
        </is>
      </c>
      <c r="H556">
        <f>TEXT(C556,"mmm-yyyy")</f>
        <v/>
      </c>
      <c r="I556">
        <f>TEXT(D556,"mmm-yyyy")</f>
        <v/>
      </c>
      <c r="J556">
        <f>_xlfn.XLOOKUP(tbl_subscription[[#This Row],[Customer_ID]],tbl_clint[Customer_ID],tbl_clint[Country])</f>
        <v/>
      </c>
      <c r="K556">
        <f>_xlfn.XLOOKUP(tbl_subscription[[#This Row],[Customer_ID]],tbl_clint[[#This Row],[Customer_ID]],tbl_clint[[#This Row],[Industry]])</f>
        <v/>
      </c>
      <c r="L556">
        <f>_xlfn.XLOOKUP(tbl_subscription[[#This Row],[Customer_ID]],tbl_clint[[#This Row],[Customer_ID]],tbl_clint[[#This Row],[Company_Size]])</f>
        <v/>
      </c>
      <c r="M556">
        <f>YEAR(tbl_subscription[[#This Row],[Start_Date]])</f>
        <v/>
      </c>
    </row>
    <row r="557">
      <c r="A557" t="inlineStr">
        <is>
          <t>C0556</t>
        </is>
      </c>
      <c r="B557" t="inlineStr">
        <is>
          <t>Premium</t>
        </is>
      </c>
      <c r="C557" s="4" t="n">
        <v>44736</v>
      </c>
      <c r="D557" s="4" t="n">
        <v>45527</v>
      </c>
      <c r="E557" t="n">
        <v>40</v>
      </c>
      <c r="F557" t="inlineStr">
        <is>
          <t>Churned</t>
        </is>
      </c>
      <c r="G557" t="inlineStr">
        <is>
          <t>Referral</t>
        </is>
      </c>
      <c r="H557">
        <f>TEXT(C557,"mmm-yyyy")</f>
        <v/>
      </c>
      <c r="I557">
        <f>TEXT(D557,"mmm-yyyy")</f>
        <v/>
      </c>
      <c r="J557">
        <f>_xlfn.XLOOKUP(tbl_subscription[[#This Row],[Customer_ID]],tbl_clint[Customer_ID],tbl_clint[Country])</f>
        <v/>
      </c>
      <c r="K557">
        <f>_xlfn.XLOOKUP(tbl_subscription[[#This Row],[Customer_ID]],tbl_clint[[#This Row],[Customer_ID]],tbl_clint[[#This Row],[Industry]])</f>
        <v/>
      </c>
      <c r="L557">
        <f>_xlfn.XLOOKUP(tbl_subscription[[#This Row],[Customer_ID]],tbl_clint[[#This Row],[Customer_ID]],tbl_clint[[#This Row],[Company_Size]])</f>
        <v/>
      </c>
      <c r="M557">
        <f>YEAR(tbl_subscription[[#This Row],[Start_Date]])</f>
        <v/>
      </c>
    </row>
    <row r="558">
      <c r="A558" t="inlineStr">
        <is>
          <t>C0557</t>
        </is>
      </c>
      <c r="B558" t="inlineStr">
        <is>
          <t>Basic</t>
        </is>
      </c>
      <c r="C558" s="4" t="n">
        <v>44566</v>
      </c>
      <c r="D558" s="4" t="n">
        <v>44837</v>
      </c>
      <c r="E558" t="n">
        <v>15</v>
      </c>
      <c r="F558" t="inlineStr">
        <is>
          <t>Churned</t>
        </is>
      </c>
      <c r="G558" t="inlineStr">
        <is>
          <t>Google</t>
        </is>
      </c>
      <c r="H558">
        <f>TEXT(C558,"mmm-yyyy")</f>
        <v/>
      </c>
      <c r="I558">
        <f>TEXT(D558,"mmm-yyyy")</f>
        <v/>
      </c>
      <c r="J558">
        <f>_xlfn.XLOOKUP(tbl_subscription[[#This Row],[Customer_ID]],tbl_clint[Customer_ID],tbl_clint[Country])</f>
        <v/>
      </c>
      <c r="K558">
        <f>_xlfn.XLOOKUP(tbl_subscription[[#This Row],[Customer_ID]],tbl_clint[[#This Row],[Customer_ID]],tbl_clint[[#This Row],[Industry]])</f>
        <v/>
      </c>
      <c r="L558">
        <f>_xlfn.XLOOKUP(tbl_subscription[[#This Row],[Customer_ID]],tbl_clint[[#This Row],[Customer_ID]],tbl_clint[[#This Row],[Company_Size]])</f>
        <v/>
      </c>
      <c r="M558">
        <f>YEAR(tbl_subscription[[#This Row],[Start_Date]])</f>
        <v/>
      </c>
    </row>
    <row r="559">
      <c r="A559" t="inlineStr">
        <is>
          <t>C0558</t>
        </is>
      </c>
      <c r="B559" t="inlineStr">
        <is>
          <t>Premium</t>
        </is>
      </c>
      <c r="C559" s="4" t="n">
        <v>45049</v>
      </c>
      <c r="D559" s="4" t="n">
        <v>45657</v>
      </c>
      <c r="E559" t="n">
        <v>40</v>
      </c>
      <c r="F559" t="inlineStr">
        <is>
          <t>Churned</t>
        </is>
      </c>
      <c r="G559" t="inlineStr">
        <is>
          <t>Google</t>
        </is>
      </c>
      <c r="H559">
        <f>TEXT(C559,"mmm-yyyy")</f>
        <v/>
      </c>
      <c r="I559">
        <f>TEXT(D559,"mmm-yyyy")</f>
        <v/>
      </c>
      <c r="J559">
        <f>_xlfn.XLOOKUP(tbl_subscription[[#This Row],[Customer_ID]],tbl_clint[Customer_ID],tbl_clint[Country])</f>
        <v/>
      </c>
      <c r="K559">
        <f>_xlfn.XLOOKUP(tbl_subscription[[#This Row],[Customer_ID]],tbl_clint[[#This Row],[Customer_ID]],tbl_clint[[#This Row],[Industry]])</f>
        <v/>
      </c>
      <c r="L559">
        <f>_xlfn.XLOOKUP(tbl_subscription[[#This Row],[Customer_ID]],tbl_clint[[#This Row],[Customer_ID]],tbl_clint[[#This Row],[Company_Size]])</f>
        <v/>
      </c>
      <c r="M559">
        <f>YEAR(tbl_subscription[[#This Row],[Start_Date]])</f>
        <v/>
      </c>
    </row>
    <row r="560">
      <c r="A560" t="inlineStr">
        <is>
          <t>C0559</t>
        </is>
      </c>
      <c r="B560" t="inlineStr">
        <is>
          <t>Premium</t>
        </is>
      </c>
      <c r="C560" s="4" t="n">
        <v>45267</v>
      </c>
      <c r="D560" s="4" t="n">
        <v>45657</v>
      </c>
      <c r="E560" t="n">
        <v>40</v>
      </c>
      <c r="F560" t="inlineStr">
        <is>
          <t>Active</t>
        </is>
      </c>
      <c r="G560" t="inlineStr">
        <is>
          <t>Google</t>
        </is>
      </c>
      <c r="H560">
        <f>TEXT(C560,"mmm-yyyy")</f>
        <v/>
      </c>
      <c r="I560">
        <f>TEXT(D560,"mmm-yyyy")</f>
        <v/>
      </c>
      <c r="J560">
        <f>_xlfn.XLOOKUP(tbl_subscription[[#This Row],[Customer_ID]],tbl_clint[Customer_ID],tbl_clint[Country])</f>
        <v/>
      </c>
      <c r="K560">
        <f>_xlfn.XLOOKUP(tbl_subscription[[#This Row],[Customer_ID]],tbl_clint[[#This Row],[Customer_ID]],tbl_clint[[#This Row],[Industry]])</f>
        <v/>
      </c>
      <c r="L560">
        <f>_xlfn.XLOOKUP(tbl_subscription[[#This Row],[Customer_ID]],tbl_clint[[#This Row],[Customer_ID]],tbl_clint[[#This Row],[Company_Size]])</f>
        <v/>
      </c>
      <c r="M560">
        <f>YEAR(tbl_subscription[[#This Row],[Start_Date]])</f>
        <v/>
      </c>
    </row>
    <row r="561">
      <c r="A561" t="inlineStr">
        <is>
          <t>C0560</t>
        </is>
      </c>
      <c r="B561" t="inlineStr">
        <is>
          <t>Basic</t>
        </is>
      </c>
      <c r="C561" s="4" t="n">
        <v>45472</v>
      </c>
      <c r="D561" s="4" t="n">
        <v>45657</v>
      </c>
      <c r="E561" t="n">
        <v>15</v>
      </c>
      <c r="F561" t="inlineStr">
        <is>
          <t>Active</t>
        </is>
      </c>
      <c r="G561" t="inlineStr">
        <is>
          <t>Google</t>
        </is>
      </c>
      <c r="H561">
        <f>TEXT(C561,"mmm-yyyy")</f>
        <v/>
      </c>
      <c r="I561">
        <f>TEXT(D561,"mmm-yyyy")</f>
        <v/>
      </c>
      <c r="J561">
        <f>_xlfn.XLOOKUP(tbl_subscription[[#This Row],[Customer_ID]],tbl_clint[Customer_ID],tbl_clint[Country])</f>
        <v/>
      </c>
      <c r="K561">
        <f>_xlfn.XLOOKUP(tbl_subscription[[#This Row],[Customer_ID]],tbl_clint[[#This Row],[Customer_ID]],tbl_clint[[#This Row],[Industry]])</f>
        <v/>
      </c>
      <c r="L561">
        <f>_xlfn.XLOOKUP(tbl_subscription[[#This Row],[Customer_ID]],tbl_clint[[#This Row],[Customer_ID]],tbl_clint[[#This Row],[Company_Size]])</f>
        <v/>
      </c>
      <c r="M561">
        <f>YEAR(tbl_subscription[[#This Row],[Start_Date]])</f>
        <v/>
      </c>
    </row>
    <row r="562">
      <c r="A562" t="inlineStr">
        <is>
          <t>C0561</t>
        </is>
      </c>
      <c r="B562" t="inlineStr">
        <is>
          <t>Premium</t>
        </is>
      </c>
      <c r="C562" s="4" t="n">
        <v>44398</v>
      </c>
      <c r="D562" s="4" t="n">
        <v>45657</v>
      </c>
      <c r="E562" t="n">
        <v>40</v>
      </c>
      <c r="F562" t="inlineStr">
        <is>
          <t>Active</t>
        </is>
      </c>
      <c r="G562" t="inlineStr">
        <is>
          <t>Facebook</t>
        </is>
      </c>
      <c r="H562">
        <f>TEXT(C562,"mmm-yyyy")</f>
        <v/>
      </c>
      <c r="I562">
        <f>TEXT(D562,"mmm-yyyy")</f>
        <v/>
      </c>
      <c r="J562">
        <f>_xlfn.XLOOKUP(tbl_subscription[[#This Row],[Customer_ID]],tbl_clint[Customer_ID],tbl_clint[Country])</f>
        <v/>
      </c>
      <c r="K562">
        <f>_xlfn.XLOOKUP(tbl_subscription[[#This Row],[Customer_ID]],tbl_clint[[#This Row],[Customer_ID]],tbl_clint[[#This Row],[Industry]])</f>
        <v/>
      </c>
      <c r="L562">
        <f>_xlfn.XLOOKUP(tbl_subscription[[#This Row],[Customer_ID]],tbl_clint[[#This Row],[Customer_ID]],tbl_clint[[#This Row],[Company_Size]])</f>
        <v/>
      </c>
      <c r="M562">
        <f>YEAR(tbl_subscription[[#This Row],[Start_Date]])</f>
        <v/>
      </c>
    </row>
    <row r="563">
      <c r="A563" t="inlineStr">
        <is>
          <t>C0562</t>
        </is>
      </c>
      <c r="B563" t="inlineStr">
        <is>
          <t>Premium</t>
        </is>
      </c>
      <c r="C563" s="4" t="n">
        <v>43941</v>
      </c>
      <c r="D563" s="4" t="n">
        <v>44670</v>
      </c>
      <c r="E563" t="n">
        <v>40</v>
      </c>
      <c r="F563" t="inlineStr">
        <is>
          <t>Churned</t>
        </is>
      </c>
      <c r="G563" t="inlineStr">
        <is>
          <t>Facebook</t>
        </is>
      </c>
      <c r="H563">
        <f>TEXT(C563,"mmm-yyyy")</f>
        <v/>
      </c>
      <c r="I563">
        <f>TEXT(D563,"mmm-yyyy")</f>
        <v/>
      </c>
      <c r="J563">
        <f>_xlfn.XLOOKUP(tbl_subscription[[#This Row],[Customer_ID]],tbl_clint[Customer_ID],tbl_clint[Country])</f>
        <v/>
      </c>
      <c r="K563">
        <f>_xlfn.XLOOKUP(tbl_subscription[[#This Row],[Customer_ID]],tbl_clint[[#This Row],[Customer_ID]],tbl_clint[[#This Row],[Industry]])</f>
        <v/>
      </c>
      <c r="L563">
        <f>_xlfn.XLOOKUP(tbl_subscription[[#This Row],[Customer_ID]],tbl_clint[[#This Row],[Customer_ID]],tbl_clint[[#This Row],[Company_Size]])</f>
        <v/>
      </c>
      <c r="M563">
        <f>YEAR(tbl_subscription[[#This Row],[Start_Date]])</f>
        <v/>
      </c>
    </row>
    <row r="564">
      <c r="A564" t="inlineStr">
        <is>
          <t>C0563</t>
        </is>
      </c>
      <c r="B564" t="inlineStr">
        <is>
          <t>Premium</t>
        </is>
      </c>
      <c r="C564" s="4" t="n">
        <v>44000</v>
      </c>
      <c r="D564" s="4" t="n">
        <v>45657</v>
      </c>
      <c r="E564" t="n">
        <v>40</v>
      </c>
      <c r="F564" t="inlineStr">
        <is>
          <t>Active</t>
        </is>
      </c>
      <c r="G564" t="inlineStr">
        <is>
          <t>LinkedIn</t>
        </is>
      </c>
      <c r="H564">
        <f>TEXT(C564,"mmm-yyyy")</f>
        <v/>
      </c>
      <c r="I564">
        <f>TEXT(D564,"mmm-yyyy")</f>
        <v/>
      </c>
      <c r="J564">
        <f>_xlfn.XLOOKUP(tbl_subscription[[#This Row],[Customer_ID]],tbl_clint[Customer_ID],tbl_clint[Country])</f>
        <v/>
      </c>
      <c r="K564">
        <f>_xlfn.XLOOKUP(tbl_subscription[[#This Row],[Customer_ID]],tbl_clint[[#This Row],[Customer_ID]],tbl_clint[[#This Row],[Industry]])</f>
        <v/>
      </c>
      <c r="L564">
        <f>_xlfn.XLOOKUP(tbl_subscription[[#This Row],[Customer_ID]],tbl_clint[[#This Row],[Customer_ID]],tbl_clint[[#This Row],[Company_Size]])</f>
        <v/>
      </c>
      <c r="M564">
        <f>YEAR(tbl_subscription[[#This Row],[Start_Date]])</f>
        <v/>
      </c>
    </row>
    <row r="565">
      <c r="A565" t="inlineStr">
        <is>
          <t>C0564</t>
        </is>
      </c>
      <c r="B565" t="inlineStr">
        <is>
          <t>Basic</t>
        </is>
      </c>
      <c r="C565" s="4" t="n">
        <v>44426</v>
      </c>
      <c r="D565" s="4" t="n">
        <v>45168</v>
      </c>
      <c r="E565" t="n">
        <v>15</v>
      </c>
      <c r="F565" t="inlineStr">
        <is>
          <t>Churned</t>
        </is>
      </c>
      <c r="G565" t="inlineStr">
        <is>
          <t>LinkedIn</t>
        </is>
      </c>
      <c r="H565">
        <f>TEXT(C565,"mmm-yyyy")</f>
        <v/>
      </c>
      <c r="I565">
        <f>TEXT(D565,"mmm-yyyy")</f>
        <v/>
      </c>
      <c r="J565">
        <f>_xlfn.XLOOKUP(tbl_subscription[[#This Row],[Customer_ID]],tbl_clint[Customer_ID],tbl_clint[Country])</f>
        <v/>
      </c>
      <c r="K565">
        <f>_xlfn.XLOOKUP(tbl_subscription[[#This Row],[Customer_ID]],tbl_clint[[#This Row],[Customer_ID]],tbl_clint[[#This Row],[Industry]])</f>
        <v/>
      </c>
      <c r="L565">
        <f>_xlfn.XLOOKUP(tbl_subscription[[#This Row],[Customer_ID]],tbl_clint[[#This Row],[Customer_ID]],tbl_clint[[#This Row],[Company_Size]])</f>
        <v/>
      </c>
      <c r="M565">
        <f>YEAR(tbl_subscription[[#This Row],[Start_Date]])</f>
        <v/>
      </c>
    </row>
    <row r="566">
      <c r="A566" t="inlineStr">
        <is>
          <t>C0565</t>
        </is>
      </c>
      <c r="B566" t="inlineStr">
        <is>
          <t>Standard</t>
        </is>
      </c>
      <c r="C566" s="4" t="n">
        <v>45107</v>
      </c>
      <c r="D566" s="4" t="n">
        <v>45657</v>
      </c>
      <c r="E566" t="n">
        <v>25</v>
      </c>
      <c r="F566" t="inlineStr">
        <is>
          <t>Churned</t>
        </is>
      </c>
      <c r="G566" t="inlineStr">
        <is>
          <t>LinkedIn</t>
        </is>
      </c>
      <c r="H566">
        <f>TEXT(C566,"mmm-yyyy")</f>
        <v/>
      </c>
      <c r="I566">
        <f>TEXT(D566,"mmm-yyyy")</f>
        <v/>
      </c>
      <c r="J566">
        <f>_xlfn.XLOOKUP(tbl_subscription[[#This Row],[Customer_ID]],tbl_clint[Customer_ID],tbl_clint[Country])</f>
        <v/>
      </c>
      <c r="K566">
        <f>_xlfn.XLOOKUP(tbl_subscription[[#This Row],[Customer_ID]],tbl_clint[[#This Row],[Customer_ID]],tbl_clint[[#This Row],[Industry]])</f>
        <v/>
      </c>
      <c r="L566">
        <f>_xlfn.XLOOKUP(tbl_subscription[[#This Row],[Customer_ID]],tbl_clint[[#This Row],[Customer_ID]],tbl_clint[[#This Row],[Company_Size]])</f>
        <v/>
      </c>
      <c r="M566">
        <f>YEAR(tbl_subscription[[#This Row],[Start_Date]])</f>
        <v/>
      </c>
    </row>
    <row r="567">
      <c r="A567" t="inlineStr">
        <is>
          <t>C0566</t>
        </is>
      </c>
      <c r="B567" t="inlineStr">
        <is>
          <t>Premium</t>
        </is>
      </c>
      <c r="C567" s="4" t="n">
        <v>45079</v>
      </c>
      <c r="D567" s="4" t="n">
        <v>45657</v>
      </c>
      <c r="E567" t="n">
        <v>40</v>
      </c>
      <c r="F567" t="inlineStr">
        <is>
          <t>Active</t>
        </is>
      </c>
      <c r="G567" t="inlineStr">
        <is>
          <t>LinkedIn</t>
        </is>
      </c>
      <c r="H567">
        <f>TEXT(C567,"mmm-yyyy")</f>
        <v/>
      </c>
      <c r="I567">
        <f>TEXT(D567,"mmm-yyyy")</f>
        <v/>
      </c>
      <c r="J567">
        <f>_xlfn.XLOOKUP(tbl_subscription[[#This Row],[Customer_ID]],tbl_clint[Customer_ID],tbl_clint[Country])</f>
        <v/>
      </c>
      <c r="K567">
        <f>_xlfn.XLOOKUP(tbl_subscription[[#This Row],[Customer_ID]],tbl_clint[[#This Row],[Customer_ID]],tbl_clint[[#This Row],[Industry]])</f>
        <v/>
      </c>
      <c r="L567">
        <f>_xlfn.XLOOKUP(tbl_subscription[[#This Row],[Customer_ID]],tbl_clint[[#This Row],[Customer_ID]],tbl_clint[[#This Row],[Company_Size]])</f>
        <v/>
      </c>
      <c r="M567">
        <f>YEAR(tbl_subscription[[#This Row],[Start_Date]])</f>
        <v/>
      </c>
    </row>
    <row r="568">
      <c r="A568" t="inlineStr">
        <is>
          <t>C0567</t>
        </is>
      </c>
      <c r="B568" t="inlineStr">
        <is>
          <t>Premium</t>
        </is>
      </c>
      <c r="C568" s="4" t="n">
        <v>44433</v>
      </c>
      <c r="D568" s="4" t="n">
        <v>44909</v>
      </c>
      <c r="E568" t="n">
        <v>40</v>
      </c>
      <c r="F568" t="inlineStr">
        <is>
          <t>Churned</t>
        </is>
      </c>
      <c r="G568" t="inlineStr">
        <is>
          <t>Instagram</t>
        </is>
      </c>
      <c r="H568">
        <f>TEXT(C568,"mmm-yyyy")</f>
        <v/>
      </c>
      <c r="I568">
        <f>TEXT(D568,"mmm-yyyy")</f>
        <v/>
      </c>
      <c r="J568">
        <f>_xlfn.XLOOKUP(tbl_subscription[[#This Row],[Customer_ID]],tbl_clint[Customer_ID],tbl_clint[Country])</f>
        <v/>
      </c>
      <c r="K568">
        <f>_xlfn.XLOOKUP(tbl_subscription[[#This Row],[Customer_ID]],tbl_clint[[#This Row],[Customer_ID]],tbl_clint[[#This Row],[Industry]])</f>
        <v/>
      </c>
      <c r="L568">
        <f>_xlfn.XLOOKUP(tbl_subscription[[#This Row],[Customer_ID]],tbl_clint[[#This Row],[Customer_ID]],tbl_clint[[#This Row],[Company_Size]])</f>
        <v/>
      </c>
      <c r="M568">
        <f>YEAR(tbl_subscription[[#This Row],[Start_Date]])</f>
        <v/>
      </c>
    </row>
    <row r="569">
      <c r="A569" t="inlineStr">
        <is>
          <t>C0568</t>
        </is>
      </c>
      <c r="B569" t="inlineStr">
        <is>
          <t>Premium</t>
        </is>
      </c>
      <c r="C569" s="4" t="n">
        <v>45393</v>
      </c>
      <c r="D569" s="4" t="n">
        <v>45657</v>
      </c>
      <c r="E569" t="n">
        <v>40</v>
      </c>
      <c r="F569" t="inlineStr">
        <is>
          <t>Active</t>
        </is>
      </c>
      <c r="G569" t="inlineStr">
        <is>
          <t>LinkedIn</t>
        </is>
      </c>
      <c r="H569">
        <f>TEXT(C569,"mmm-yyyy")</f>
        <v/>
      </c>
      <c r="I569">
        <f>TEXT(D569,"mmm-yyyy")</f>
        <v/>
      </c>
      <c r="J569">
        <f>_xlfn.XLOOKUP(tbl_subscription[[#This Row],[Customer_ID]],tbl_clint[Customer_ID],tbl_clint[Country])</f>
        <v/>
      </c>
      <c r="K569">
        <f>_xlfn.XLOOKUP(tbl_subscription[[#This Row],[Customer_ID]],tbl_clint[[#This Row],[Customer_ID]],tbl_clint[[#This Row],[Industry]])</f>
        <v/>
      </c>
      <c r="L569">
        <f>_xlfn.XLOOKUP(tbl_subscription[[#This Row],[Customer_ID]],tbl_clint[[#This Row],[Customer_ID]],tbl_clint[[#This Row],[Company_Size]])</f>
        <v/>
      </c>
      <c r="M569">
        <f>YEAR(tbl_subscription[[#This Row],[Start_Date]])</f>
        <v/>
      </c>
    </row>
    <row r="570">
      <c r="A570" t="inlineStr">
        <is>
          <t>C0569</t>
        </is>
      </c>
      <c r="B570" t="inlineStr">
        <is>
          <t>Premium</t>
        </is>
      </c>
      <c r="C570" s="4" t="n">
        <v>44608</v>
      </c>
      <c r="D570" s="4" t="n">
        <v>45416</v>
      </c>
      <c r="E570" t="n">
        <v>40</v>
      </c>
      <c r="F570" t="inlineStr">
        <is>
          <t>Churned</t>
        </is>
      </c>
      <c r="G570" t="inlineStr">
        <is>
          <t>Facebook</t>
        </is>
      </c>
      <c r="H570">
        <f>TEXT(C570,"mmm-yyyy")</f>
        <v/>
      </c>
      <c r="I570">
        <f>TEXT(D570,"mmm-yyyy")</f>
        <v/>
      </c>
      <c r="J570">
        <f>_xlfn.XLOOKUP(tbl_subscription[[#This Row],[Customer_ID]],tbl_clint[Customer_ID],tbl_clint[Country])</f>
        <v/>
      </c>
      <c r="K570">
        <f>_xlfn.XLOOKUP(tbl_subscription[[#This Row],[Customer_ID]],tbl_clint[[#This Row],[Customer_ID]],tbl_clint[[#This Row],[Industry]])</f>
        <v/>
      </c>
      <c r="L570">
        <f>_xlfn.XLOOKUP(tbl_subscription[[#This Row],[Customer_ID]],tbl_clint[[#This Row],[Customer_ID]],tbl_clint[[#This Row],[Company_Size]])</f>
        <v/>
      </c>
      <c r="M570">
        <f>YEAR(tbl_subscription[[#This Row],[Start_Date]])</f>
        <v/>
      </c>
    </row>
    <row r="571">
      <c r="A571" t="inlineStr">
        <is>
          <t>C0570</t>
        </is>
      </c>
      <c r="B571" t="inlineStr">
        <is>
          <t>Basic</t>
        </is>
      </c>
      <c r="C571" s="4" t="n">
        <v>44510</v>
      </c>
      <c r="D571" s="4" t="n">
        <v>44937</v>
      </c>
      <c r="E571" t="n">
        <v>15</v>
      </c>
      <c r="F571" t="inlineStr">
        <is>
          <t>Churned</t>
        </is>
      </c>
      <c r="G571" t="inlineStr">
        <is>
          <t>Instagram</t>
        </is>
      </c>
      <c r="H571">
        <f>TEXT(C571,"mmm-yyyy")</f>
        <v/>
      </c>
      <c r="I571">
        <f>TEXT(D571,"mmm-yyyy")</f>
        <v/>
      </c>
      <c r="J571">
        <f>_xlfn.XLOOKUP(tbl_subscription[[#This Row],[Customer_ID]],tbl_clint[Customer_ID],tbl_clint[Country])</f>
        <v/>
      </c>
      <c r="K571">
        <f>_xlfn.XLOOKUP(tbl_subscription[[#This Row],[Customer_ID]],tbl_clint[[#This Row],[Customer_ID]],tbl_clint[[#This Row],[Industry]])</f>
        <v/>
      </c>
      <c r="L571">
        <f>_xlfn.XLOOKUP(tbl_subscription[[#This Row],[Customer_ID]],tbl_clint[[#This Row],[Customer_ID]],tbl_clint[[#This Row],[Company_Size]])</f>
        <v/>
      </c>
      <c r="M571">
        <f>YEAR(tbl_subscription[[#This Row],[Start_Date]])</f>
        <v/>
      </c>
    </row>
    <row r="572">
      <c r="A572" t="inlineStr">
        <is>
          <t>C0571</t>
        </is>
      </c>
      <c r="B572" t="inlineStr">
        <is>
          <t>Premium</t>
        </is>
      </c>
      <c r="C572" s="4" t="n">
        <v>44205</v>
      </c>
      <c r="D572" s="4" t="n">
        <v>44311</v>
      </c>
      <c r="E572" t="n">
        <v>40</v>
      </c>
      <c r="F572" t="inlineStr">
        <is>
          <t>Churned</t>
        </is>
      </c>
      <c r="G572" t="inlineStr">
        <is>
          <t>Google</t>
        </is>
      </c>
      <c r="H572">
        <f>TEXT(C572,"mmm-yyyy")</f>
        <v/>
      </c>
      <c r="I572">
        <f>TEXT(D572,"mmm-yyyy")</f>
        <v/>
      </c>
      <c r="J572">
        <f>_xlfn.XLOOKUP(tbl_subscription[[#This Row],[Customer_ID]],tbl_clint[Customer_ID],tbl_clint[Country])</f>
        <v/>
      </c>
      <c r="K572">
        <f>_xlfn.XLOOKUP(tbl_subscription[[#This Row],[Customer_ID]],tbl_clint[[#This Row],[Customer_ID]],tbl_clint[[#This Row],[Industry]])</f>
        <v/>
      </c>
      <c r="L572">
        <f>_xlfn.XLOOKUP(tbl_subscription[[#This Row],[Customer_ID]],tbl_clint[[#This Row],[Customer_ID]],tbl_clint[[#This Row],[Company_Size]])</f>
        <v/>
      </c>
      <c r="M572">
        <f>YEAR(tbl_subscription[[#This Row],[Start_Date]])</f>
        <v/>
      </c>
    </row>
    <row r="573">
      <c r="A573" t="inlineStr">
        <is>
          <t>C0572</t>
        </is>
      </c>
      <c r="B573" t="inlineStr">
        <is>
          <t>Basic</t>
        </is>
      </c>
      <c r="C573" s="4" t="n">
        <v>44068</v>
      </c>
      <c r="D573" s="4" t="n">
        <v>45657</v>
      </c>
      <c r="E573" t="n">
        <v>15</v>
      </c>
      <c r="F573" t="inlineStr">
        <is>
          <t>Active</t>
        </is>
      </c>
      <c r="G573" t="inlineStr">
        <is>
          <t>LinkedIn</t>
        </is>
      </c>
      <c r="H573">
        <f>TEXT(C573,"mmm-yyyy")</f>
        <v/>
      </c>
      <c r="I573">
        <f>TEXT(D573,"mmm-yyyy")</f>
        <v/>
      </c>
      <c r="J573">
        <f>_xlfn.XLOOKUP(tbl_subscription[[#This Row],[Customer_ID]],tbl_clint[Customer_ID],tbl_clint[Country])</f>
        <v/>
      </c>
      <c r="K573">
        <f>_xlfn.XLOOKUP(tbl_subscription[[#This Row],[Customer_ID]],tbl_clint[[#This Row],[Customer_ID]],tbl_clint[[#This Row],[Industry]])</f>
        <v/>
      </c>
      <c r="L573">
        <f>_xlfn.XLOOKUP(tbl_subscription[[#This Row],[Customer_ID]],tbl_clint[[#This Row],[Customer_ID]],tbl_clint[[#This Row],[Company_Size]])</f>
        <v/>
      </c>
      <c r="M573">
        <f>YEAR(tbl_subscription[[#This Row],[Start_Date]])</f>
        <v/>
      </c>
    </row>
    <row r="574">
      <c r="A574" t="inlineStr">
        <is>
          <t>C0573</t>
        </is>
      </c>
      <c r="B574" t="inlineStr">
        <is>
          <t>Basic</t>
        </is>
      </c>
      <c r="C574" s="4" t="n">
        <v>44098</v>
      </c>
      <c r="D574" s="4" t="n">
        <v>45657</v>
      </c>
      <c r="E574" t="n">
        <v>15</v>
      </c>
      <c r="F574" t="inlineStr">
        <is>
          <t>Active</t>
        </is>
      </c>
      <c r="G574" t="inlineStr">
        <is>
          <t>Facebook</t>
        </is>
      </c>
      <c r="H574">
        <f>TEXT(C574,"mmm-yyyy")</f>
        <v/>
      </c>
      <c r="I574">
        <f>TEXT(D574,"mmm-yyyy")</f>
        <v/>
      </c>
      <c r="J574">
        <f>_xlfn.XLOOKUP(tbl_subscription[[#This Row],[Customer_ID]],tbl_clint[Customer_ID],tbl_clint[Country])</f>
        <v/>
      </c>
      <c r="K574">
        <f>_xlfn.XLOOKUP(tbl_subscription[[#This Row],[Customer_ID]],tbl_clint[[#This Row],[Customer_ID]],tbl_clint[[#This Row],[Industry]])</f>
        <v/>
      </c>
      <c r="L574">
        <f>_xlfn.XLOOKUP(tbl_subscription[[#This Row],[Customer_ID]],tbl_clint[[#This Row],[Customer_ID]],tbl_clint[[#This Row],[Company_Size]])</f>
        <v/>
      </c>
      <c r="M574">
        <f>YEAR(tbl_subscription[[#This Row],[Start_Date]])</f>
        <v/>
      </c>
    </row>
    <row r="575">
      <c r="A575" t="inlineStr">
        <is>
          <t>C0574</t>
        </is>
      </c>
      <c r="B575" t="inlineStr">
        <is>
          <t>Premium</t>
        </is>
      </c>
      <c r="C575" s="4" t="n">
        <v>44195</v>
      </c>
      <c r="D575" s="4" t="n">
        <v>44751</v>
      </c>
      <c r="E575" t="n">
        <v>40</v>
      </c>
      <c r="F575" t="inlineStr">
        <is>
          <t>Churned</t>
        </is>
      </c>
      <c r="G575" t="inlineStr">
        <is>
          <t>Google</t>
        </is>
      </c>
      <c r="H575">
        <f>TEXT(C575,"mmm-yyyy")</f>
        <v/>
      </c>
      <c r="I575">
        <f>TEXT(D575,"mmm-yyyy")</f>
        <v/>
      </c>
      <c r="J575">
        <f>_xlfn.XLOOKUP(tbl_subscription[[#This Row],[Customer_ID]],tbl_clint[Customer_ID],tbl_clint[Country])</f>
        <v/>
      </c>
      <c r="K575">
        <f>_xlfn.XLOOKUP(tbl_subscription[[#This Row],[Customer_ID]],tbl_clint[[#This Row],[Customer_ID]],tbl_clint[[#This Row],[Industry]])</f>
        <v/>
      </c>
      <c r="L575">
        <f>_xlfn.XLOOKUP(tbl_subscription[[#This Row],[Customer_ID]],tbl_clint[[#This Row],[Customer_ID]],tbl_clint[[#This Row],[Company_Size]])</f>
        <v/>
      </c>
      <c r="M575">
        <f>YEAR(tbl_subscription[[#This Row],[Start_Date]])</f>
        <v/>
      </c>
    </row>
    <row r="576">
      <c r="A576" t="inlineStr">
        <is>
          <t>C0575</t>
        </is>
      </c>
      <c r="B576" t="inlineStr">
        <is>
          <t>Standard</t>
        </is>
      </c>
      <c r="C576" s="4" t="n">
        <v>44791</v>
      </c>
      <c r="D576" s="4" t="n">
        <v>45657</v>
      </c>
      <c r="E576" t="n">
        <v>25</v>
      </c>
      <c r="F576" t="inlineStr">
        <is>
          <t>Active</t>
        </is>
      </c>
      <c r="G576" t="inlineStr">
        <is>
          <t>Google</t>
        </is>
      </c>
      <c r="H576">
        <f>TEXT(C576,"mmm-yyyy")</f>
        <v/>
      </c>
      <c r="I576">
        <f>TEXT(D576,"mmm-yyyy")</f>
        <v/>
      </c>
      <c r="J576">
        <f>_xlfn.XLOOKUP(tbl_subscription[[#This Row],[Customer_ID]],tbl_clint[Customer_ID],tbl_clint[Country])</f>
        <v/>
      </c>
      <c r="K576">
        <f>_xlfn.XLOOKUP(tbl_subscription[[#This Row],[Customer_ID]],tbl_clint[[#This Row],[Customer_ID]],tbl_clint[[#This Row],[Industry]])</f>
        <v/>
      </c>
      <c r="L576">
        <f>_xlfn.XLOOKUP(tbl_subscription[[#This Row],[Customer_ID]],tbl_clint[[#This Row],[Customer_ID]],tbl_clint[[#This Row],[Company_Size]])</f>
        <v/>
      </c>
      <c r="M576">
        <f>YEAR(tbl_subscription[[#This Row],[Start_Date]])</f>
        <v/>
      </c>
    </row>
    <row r="577">
      <c r="A577" t="inlineStr">
        <is>
          <t>C0576</t>
        </is>
      </c>
      <c r="B577" t="inlineStr">
        <is>
          <t>Premium</t>
        </is>
      </c>
      <c r="C577" s="4" t="n">
        <v>44456</v>
      </c>
      <c r="D577" s="4" t="n">
        <v>45657</v>
      </c>
      <c r="E577" t="n">
        <v>40</v>
      </c>
      <c r="F577" t="inlineStr">
        <is>
          <t>Active</t>
        </is>
      </c>
      <c r="G577" t="inlineStr">
        <is>
          <t>Instagram</t>
        </is>
      </c>
      <c r="H577">
        <f>TEXT(C577,"mmm-yyyy")</f>
        <v/>
      </c>
      <c r="I577">
        <f>TEXT(D577,"mmm-yyyy")</f>
        <v/>
      </c>
      <c r="J577">
        <f>_xlfn.XLOOKUP(tbl_subscription[[#This Row],[Customer_ID]],tbl_clint[Customer_ID],tbl_clint[Country])</f>
        <v/>
      </c>
      <c r="K577">
        <f>_xlfn.XLOOKUP(tbl_subscription[[#This Row],[Customer_ID]],tbl_clint[[#This Row],[Customer_ID]],tbl_clint[[#This Row],[Industry]])</f>
        <v/>
      </c>
      <c r="L577">
        <f>_xlfn.XLOOKUP(tbl_subscription[[#This Row],[Customer_ID]],tbl_clint[[#This Row],[Customer_ID]],tbl_clint[[#This Row],[Company_Size]])</f>
        <v/>
      </c>
      <c r="M577">
        <f>YEAR(tbl_subscription[[#This Row],[Start_Date]])</f>
        <v/>
      </c>
    </row>
    <row r="578">
      <c r="A578" t="inlineStr">
        <is>
          <t>C0577</t>
        </is>
      </c>
      <c r="B578" t="inlineStr">
        <is>
          <t>Standard</t>
        </is>
      </c>
      <c r="C578" s="4" t="n">
        <v>45338</v>
      </c>
      <c r="D578" s="4" t="n">
        <v>45657</v>
      </c>
      <c r="E578" t="n">
        <v>25</v>
      </c>
      <c r="F578" t="inlineStr">
        <is>
          <t>Churned</t>
        </is>
      </c>
      <c r="G578" t="inlineStr">
        <is>
          <t>LinkedIn</t>
        </is>
      </c>
      <c r="H578">
        <f>TEXT(C578,"mmm-yyyy")</f>
        <v/>
      </c>
      <c r="I578">
        <f>TEXT(D578,"mmm-yyyy")</f>
        <v/>
      </c>
      <c r="J578">
        <f>_xlfn.XLOOKUP(tbl_subscription[[#This Row],[Customer_ID]],tbl_clint[Customer_ID],tbl_clint[Country])</f>
        <v/>
      </c>
      <c r="K578">
        <f>_xlfn.XLOOKUP(tbl_subscription[[#This Row],[Customer_ID]],tbl_clint[[#This Row],[Customer_ID]],tbl_clint[[#This Row],[Industry]])</f>
        <v/>
      </c>
      <c r="L578">
        <f>_xlfn.XLOOKUP(tbl_subscription[[#This Row],[Customer_ID]],tbl_clint[[#This Row],[Customer_ID]],tbl_clint[[#This Row],[Company_Size]])</f>
        <v/>
      </c>
      <c r="M578">
        <f>YEAR(tbl_subscription[[#This Row],[Start_Date]])</f>
        <v/>
      </c>
    </row>
    <row r="579">
      <c r="A579" t="inlineStr">
        <is>
          <t>C0578</t>
        </is>
      </c>
      <c r="B579" t="inlineStr">
        <is>
          <t>Premium</t>
        </is>
      </c>
      <c r="C579" s="4" t="n">
        <v>44300</v>
      </c>
      <c r="D579" s="4" t="n">
        <v>45072</v>
      </c>
      <c r="E579" t="n">
        <v>40</v>
      </c>
      <c r="F579" t="inlineStr">
        <is>
          <t>Churned</t>
        </is>
      </c>
      <c r="G579" t="inlineStr">
        <is>
          <t>Facebook</t>
        </is>
      </c>
      <c r="H579">
        <f>TEXT(C579,"mmm-yyyy")</f>
        <v/>
      </c>
      <c r="I579">
        <f>TEXT(D579,"mmm-yyyy")</f>
        <v/>
      </c>
      <c r="J579">
        <f>_xlfn.XLOOKUP(tbl_subscription[[#This Row],[Customer_ID]],tbl_clint[Customer_ID],tbl_clint[Country])</f>
        <v/>
      </c>
      <c r="K579">
        <f>_xlfn.XLOOKUP(tbl_subscription[[#This Row],[Customer_ID]],tbl_clint[[#This Row],[Customer_ID]],tbl_clint[[#This Row],[Industry]])</f>
        <v/>
      </c>
      <c r="L579">
        <f>_xlfn.XLOOKUP(tbl_subscription[[#This Row],[Customer_ID]],tbl_clint[[#This Row],[Customer_ID]],tbl_clint[[#This Row],[Company_Size]])</f>
        <v/>
      </c>
      <c r="M579">
        <f>YEAR(tbl_subscription[[#This Row],[Start_Date]])</f>
        <v/>
      </c>
    </row>
    <row r="580">
      <c r="A580" t="inlineStr">
        <is>
          <t>C0579</t>
        </is>
      </c>
      <c r="B580" t="inlineStr">
        <is>
          <t>Basic</t>
        </is>
      </c>
      <c r="C580" s="4" t="n">
        <v>44892</v>
      </c>
      <c r="D580" s="4" t="n">
        <v>45657</v>
      </c>
      <c r="E580" t="n">
        <v>15</v>
      </c>
      <c r="F580" t="inlineStr">
        <is>
          <t>Active</t>
        </is>
      </c>
      <c r="G580" t="inlineStr">
        <is>
          <t>LinkedIn</t>
        </is>
      </c>
      <c r="H580">
        <f>TEXT(C580,"mmm-yyyy")</f>
        <v/>
      </c>
      <c r="I580">
        <f>TEXT(D580,"mmm-yyyy")</f>
        <v/>
      </c>
      <c r="J580">
        <f>_xlfn.XLOOKUP(tbl_subscription[[#This Row],[Customer_ID]],tbl_clint[Customer_ID],tbl_clint[Country])</f>
        <v/>
      </c>
      <c r="K580">
        <f>_xlfn.XLOOKUP(tbl_subscription[[#This Row],[Customer_ID]],tbl_clint[[#This Row],[Customer_ID]],tbl_clint[[#This Row],[Industry]])</f>
        <v/>
      </c>
      <c r="L580">
        <f>_xlfn.XLOOKUP(tbl_subscription[[#This Row],[Customer_ID]],tbl_clint[[#This Row],[Customer_ID]],tbl_clint[[#This Row],[Company_Size]])</f>
        <v/>
      </c>
      <c r="M580">
        <f>YEAR(tbl_subscription[[#This Row],[Start_Date]])</f>
        <v/>
      </c>
    </row>
    <row r="581">
      <c r="A581" t="inlineStr">
        <is>
          <t>C0580</t>
        </is>
      </c>
      <c r="B581" t="inlineStr">
        <is>
          <t>Premium</t>
        </is>
      </c>
      <c r="C581" s="4" t="n">
        <v>44892</v>
      </c>
      <c r="D581" s="4" t="n">
        <v>45657</v>
      </c>
      <c r="E581" t="n">
        <v>40</v>
      </c>
      <c r="F581" t="inlineStr">
        <is>
          <t>Active</t>
        </is>
      </c>
      <c r="G581" t="inlineStr">
        <is>
          <t>LinkedIn</t>
        </is>
      </c>
      <c r="H581">
        <f>TEXT(C581,"mmm-yyyy")</f>
        <v/>
      </c>
      <c r="I581">
        <f>TEXT(D581,"mmm-yyyy")</f>
        <v/>
      </c>
      <c r="J581">
        <f>_xlfn.XLOOKUP(tbl_subscription[[#This Row],[Customer_ID]],tbl_clint[Customer_ID],tbl_clint[Country])</f>
        <v/>
      </c>
      <c r="K581">
        <f>_xlfn.XLOOKUP(tbl_subscription[[#This Row],[Customer_ID]],tbl_clint[[#This Row],[Customer_ID]],tbl_clint[[#This Row],[Industry]])</f>
        <v/>
      </c>
      <c r="L581">
        <f>_xlfn.XLOOKUP(tbl_subscription[[#This Row],[Customer_ID]],tbl_clint[[#This Row],[Customer_ID]],tbl_clint[[#This Row],[Company_Size]])</f>
        <v/>
      </c>
      <c r="M581">
        <f>YEAR(tbl_subscription[[#This Row],[Start_Date]])</f>
        <v/>
      </c>
    </row>
    <row r="582">
      <c r="A582" t="inlineStr">
        <is>
          <t>C0581</t>
        </is>
      </c>
      <c r="B582" t="inlineStr">
        <is>
          <t>Premium</t>
        </is>
      </c>
      <c r="C582" s="4" t="n">
        <v>45145</v>
      </c>
      <c r="D582" s="4" t="n">
        <v>45657</v>
      </c>
      <c r="E582" t="n">
        <v>40</v>
      </c>
      <c r="F582" t="inlineStr">
        <is>
          <t>Active</t>
        </is>
      </c>
      <c r="G582" t="inlineStr">
        <is>
          <t>Instagram</t>
        </is>
      </c>
      <c r="H582">
        <f>TEXT(C582,"mmm-yyyy")</f>
        <v/>
      </c>
      <c r="I582">
        <f>TEXT(D582,"mmm-yyyy")</f>
        <v/>
      </c>
      <c r="J582">
        <f>_xlfn.XLOOKUP(tbl_subscription[[#This Row],[Customer_ID]],tbl_clint[Customer_ID],tbl_clint[Country])</f>
        <v/>
      </c>
      <c r="K582">
        <f>_xlfn.XLOOKUP(tbl_subscription[[#This Row],[Customer_ID]],tbl_clint[[#This Row],[Customer_ID]],tbl_clint[[#This Row],[Industry]])</f>
        <v/>
      </c>
      <c r="L582">
        <f>_xlfn.XLOOKUP(tbl_subscription[[#This Row],[Customer_ID]],tbl_clint[[#This Row],[Customer_ID]],tbl_clint[[#This Row],[Company_Size]])</f>
        <v/>
      </c>
      <c r="M582">
        <f>YEAR(tbl_subscription[[#This Row],[Start_Date]])</f>
        <v/>
      </c>
    </row>
    <row r="583">
      <c r="A583" t="inlineStr">
        <is>
          <t>C0582</t>
        </is>
      </c>
      <c r="B583" t="inlineStr">
        <is>
          <t>Basic</t>
        </is>
      </c>
      <c r="C583" s="4" t="n">
        <v>45287</v>
      </c>
      <c r="D583" s="4" t="n">
        <v>45657</v>
      </c>
      <c r="E583" t="n">
        <v>15</v>
      </c>
      <c r="F583" t="inlineStr">
        <is>
          <t>Active</t>
        </is>
      </c>
      <c r="G583" t="inlineStr">
        <is>
          <t>LinkedIn</t>
        </is>
      </c>
      <c r="H583">
        <f>TEXT(C583,"mmm-yyyy")</f>
        <v/>
      </c>
      <c r="I583">
        <f>TEXT(D583,"mmm-yyyy")</f>
        <v/>
      </c>
      <c r="J583">
        <f>_xlfn.XLOOKUP(tbl_subscription[[#This Row],[Customer_ID]],tbl_clint[Customer_ID],tbl_clint[Country])</f>
        <v/>
      </c>
      <c r="K583">
        <f>_xlfn.XLOOKUP(tbl_subscription[[#This Row],[Customer_ID]],tbl_clint[[#This Row],[Customer_ID]],tbl_clint[[#This Row],[Industry]])</f>
        <v/>
      </c>
      <c r="L583">
        <f>_xlfn.XLOOKUP(tbl_subscription[[#This Row],[Customer_ID]],tbl_clint[[#This Row],[Customer_ID]],tbl_clint[[#This Row],[Company_Size]])</f>
        <v/>
      </c>
      <c r="M583">
        <f>YEAR(tbl_subscription[[#This Row],[Start_Date]])</f>
        <v/>
      </c>
    </row>
    <row r="584">
      <c r="A584" t="inlineStr">
        <is>
          <t>C0583</t>
        </is>
      </c>
      <c r="B584" t="inlineStr">
        <is>
          <t>Standard</t>
        </is>
      </c>
      <c r="C584" s="4" t="n">
        <v>44003</v>
      </c>
      <c r="D584" s="4" t="n">
        <v>45657</v>
      </c>
      <c r="E584" t="n">
        <v>25</v>
      </c>
      <c r="F584" t="inlineStr">
        <is>
          <t>Active</t>
        </is>
      </c>
      <c r="G584" t="inlineStr">
        <is>
          <t>Google</t>
        </is>
      </c>
      <c r="H584">
        <f>TEXT(C584,"mmm-yyyy")</f>
        <v/>
      </c>
      <c r="I584">
        <f>TEXT(D584,"mmm-yyyy")</f>
        <v/>
      </c>
      <c r="J584">
        <f>_xlfn.XLOOKUP(tbl_subscription[[#This Row],[Customer_ID]],tbl_clint[Customer_ID],tbl_clint[Country])</f>
        <v/>
      </c>
      <c r="K584">
        <f>_xlfn.XLOOKUP(tbl_subscription[[#This Row],[Customer_ID]],tbl_clint[[#This Row],[Customer_ID]],tbl_clint[[#This Row],[Industry]])</f>
        <v/>
      </c>
      <c r="L584">
        <f>_xlfn.XLOOKUP(tbl_subscription[[#This Row],[Customer_ID]],tbl_clint[[#This Row],[Customer_ID]],tbl_clint[[#This Row],[Company_Size]])</f>
        <v/>
      </c>
      <c r="M584">
        <f>YEAR(tbl_subscription[[#This Row],[Start_Date]])</f>
        <v/>
      </c>
    </row>
    <row r="585">
      <c r="A585" t="inlineStr">
        <is>
          <t>C0584</t>
        </is>
      </c>
      <c r="B585" t="inlineStr">
        <is>
          <t>Basic</t>
        </is>
      </c>
      <c r="C585" s="4" t="n">
        <v>43931</v>
      </c>
      <c r="D585" s="4" t="n">
        <v>45657</v>
      </c>
      <c r="E585" t="n">
        <v>15</v>
      </c>
      <c r="F585" t="inlineStr">
        <is>
          <t>Active</t>
        </is>
      </c>
      <c r="G585" t="inlineStr">
        <is>
          <t>Google</t>
        </is>
      </c>
      <c r="H585">
        <f>TEXT(C585,"mmm-yyyy")</f>
        <v/>
      </c>
      <c r="I585">
        <f>TEXT(D585,"mmm-yyyy")</f>
        <v/>
      </c>
      <c r="J585">
        <f>_xlfn.XLOOKUP(tbl_subscription[[#This Row],[Customer_ID]],tbl_clint[Customer_ID],tbl_clint[Country])</f>
        <v/>
      </c>
      <c r="K585">
        <f>_xlfn.XLOOKUP(tbl_subscription[[#This Row],[Customer_ID]],tbl_clint[[#This Row],[Customer_ID]],tbl_clint[[#This Row],[Industry]])</f>
        <v/>
      </c>
      <c r="L585">
        <f>_xlfn.XLOOKUP(tbl_subscription[[#This Row],[Customer_ID]],tbl_clint[[#This Row],[Customer_ID]],tbl_clint[[#This Row],[Company_Size]])</f>
        <v/>
      </c>
      <c r="M585">
        <f>YEAR(tbl_subscription[[#This Row],[Start_Date]])</f>
        <v/>
      </c>
    </row>
    <row r="586">
      <c r="A586" t="inlineStr">
        <is>
          <t>C0585</t>
        </is>
      </c>
      <c r="B586" t="inlineStr">
        <is>
          <t>Basic</t>
        </is>
      </c>
      <c r="C586" s="4" t="n">
        <v>43863</v>
      </c>
      <c r="D586" s="4" t="n">
        <v>45657</v>
      </c>
      <c r="E586" t="n">
        <v>15</v>
      </c>
      <c r="F586" t="inlineStr">
        <is>
          <t>Active</t>
        </is>
      </c>
      <c r="G586" t="inlineStr">
        <is>
          <t>LinkedIn</t>
        </is>
      </c>
      <c r="H586">
        <f>TEXT(C586,"mmm-yyyy")</f>
        <v/>
      </c>
      <c r="I586">
        <f>TEXT(D586,"mmm-yyyy")</f>
        <v/>
      </c>
      <c r="J586">
        <f>_xlfn.XLOOKUP(tbl_subscription[[#This Row],[Customer_ID]],tbl_clint[Customer_ID],tbl_clint[Country])</f>
        <v/>
      </c>
      <c r="K586">
        <f>_xlfn.XLOOKUP(tbl_subscription[[#This Row],[Customer_ID]],tbl_clint[[#This Row],[Customer_ID]],tbl_clint[[#This Row],[Industry]])</f>
        <v/>
      </c>
      <c r="L586">
        <f>_xlfn.XLOOKUP(tbl_subscription[[#This Row],[Customer_ID]],tbl_clint[[#This Row],[Customer_ID]],tbl_clint[[#This Row],[Company_Size]])</f>
        <v/>
      </c>
      <c r="M586">
        <f>YEAR(tbl_subscription[[#This Row],[Start_Date]])</f>
        <v/>
      </c>
    </row>
    <row r="587">
      <c r="A587" t="inlineStr">
        <is>
          <t>C0586</t>
        </is>
      </c>
      <c r="B587" t="inlineStr">
        <is>
          <t>Basic</t>
        </is>
      </c>
      <c r="C587" s="4" t="n">
        <v>45175</v>
      </c>
      <c r="D587" s="4" t="n">
        <v>45313</v>
      </c>
      <c r="E587" t="n">
        <v>15</v>
      </c>
      <c r="F587" t="inlineStr">
        <is>
          <t>Churned</t>
        </is>
      </c>
      <c r="G587" t="inlineStr">
        <is>
          <t>Instagram</t>
        </is>
      </c>
      <c r="H587">
        <f>TEXT(C587,"mmm-yyyy")</f>
        <v/>
      </c>
      <c r="I587">
        <f>TEXT(D587,"mmm-yyyy")</f>
        <v/>
      </c>
      <c r="J587">
        <f>_xlfn.XLOOKUP(tbl_subscription[[#This Row],[Customer_ID]],tbl_clint[Customer_ID],tbl_clint[Country])</f>
        <v/>
      </c>
      <c r="K587">
        <f>_xlfn.XLOOKUP(tbl_subscription[[#This Row],[Customer_ID]],tbl_clint[[#This Row],[Customer_ID]],tbl_clint[[#This Row],[Industry]])</f>
        <v/>
      </c>
      <c r="L587">
        <f>_xlfn.XLOOKUP(tbl_subscription[[#This Row],[Customer_ID]],tbl_clint[[#This Row],[Customer_ID]],tbl_clint[[#This Row],[Company_Size]])</f>
        <v/>
      </c>
      <c r="M587">
        <f>YEAR(tbl_subscription[[#This Row],[Start_Date]])</f>
        <v/>
      </c>
    </row>
    <row r="588">
      <c r="A588" t="inlineStr">
        <is>
          <t>C0587</t>
        </is>
      </c>
      <c r="B588" t="inlineStr">
        <is>
          <t>Basic</t>
        </is>
      </c>
      <c r="C588" s="4" t="n">
        <v>44223</v>
      </c>
      <c r="D588" s="4" t="n">
        <v>44953</v>
      </c>
      <c r="E588" t="n">
        <v>15</v>
      </c>
      <c r="F588" t="inlineStr">
        <is>
          <t>Churned</t>
        </is>
      </c>
      <c r="G588" t="inlineStr">
        <is>
          <t>Google</t>
        </is>
      </c>
      <c r="H588">
        <f>TEXT(C588,"mmm-yyyy")</f>
        <v/>
      </c>
      <c r="I588">
        <f>TEXT(D588,"mmm-yyyy")</f>
        <v/>
      </c>
      <c r="J588">
        <f>_xlfn.XLOOKUP(tbl_subscription[[#This Row],[Customer_ID]],tbl_clint[Customer_ID],tbl_clint[Country])</f>
        <v/>
      </c>
      <c r="K588">
        <f>_xlfn.XLOOKUP(tbl_subscription[[#This Row],[Customer_ID]],tbl_clint[[#This Row],[Customer_ID]],tbl_clint[[#This Row],[Industry]])</f>
        <v/>
      </c>
      <c r="L588">
        <f>_xlfn.XLOOKUP(tbl_subscription[[#This Row],[Customer_ID]],tbl_clint[[#This Row],[Customer_ID]],tbl_clint[[#This Row],[Company_Size]])</f>
        <v/>
      </c>
      <c r="M588">
        <f>YEAR(tbl_subscription[[#This Row],[Start_Date]])</f>
        <v/>
      </c>
    </row>
    <row r="589">
      <c r="A589" t="inlineStr">
        <is>
          <t>C0588</t>
        </is>
      </c>
      <c r="B589" t="inlineStr">
        <is>
          <t>Premium</t>
        </is>
      </c>
      <c r="C589" s="4" t="n">
        <v>44481</v>
      </c>
      <c r="D589" s="4" t="n">
        <v>44866</v>
      </c>
      <c r="E589" t="n">
        <v>40</v>
      </c>
      <c r="F589" t="inlineStr">
        <is>
          <t>Churned</t>
        </is>
      </c>
      <c r="G589" t="inlineStr">
        <is>
          <t>Facebook</t>
        </is>
      </c>
      <c r="H589">
        <f>TEXT(C589,"mmm-yyyy")</f>
        <v/>
      </c>
      <c r="I589">
        <f>TEXT(D589,"mmm-yyyy")</f>
        <v/>
      </c>
      <c r="J589">
        <f>_xlfn.XLOOKUP(tbl_subscription[[#This Row],[Customer_ID]],tbl_clint[Customer_ID],tbl_clint[Country])</f>
        <v/>
      </c>
      <c r="K589">
        <f>_xlfn.XLOOKUP(tbl_subscription[[#This Row],[Customer_ID]],tbl_clint[[#This Row],[Customer_ID]],tbl_clint[[#This Row],[Industry]])</f>
        <v/>
      </c>
      <c r="L589">
        <f>_xlfn.XLOOKUP(tbl_subscription[[#This Row],[Customer_ID]],tbl_clint[[#This Row],[Customer_ID]],tbl_clint[[#This Row],[Company_Size]])</f>
        <v/>
      </c>
      <c r="M589">
        <f>YEAR(tbl_subscription[[#This Row],[Start_Date]])</f>
        <v/>
      </c>
    </row>
    <row r="590">
      <c r="A590" t="inlineStr">
        <is>
          <t>C0589</t>
        </is>
      </c>
      <c r="B590" t="inlineStr">
        <is>
          <t>Standard</t>
        </is>
      </c>
      <c r="C590" s="4" t="n">
        <v>44442</v>
      </c>
      <c r="D590" s="4" t="n">
        <v>45657</v>
      </c>
      <c r="E590" t="n">
        <v>25</v>
      </c>
      <c r="F590" t="inlineStr">
        <is>
          <t>Active</t>
        </is>
      </c>
      <c r="G590" t="inlineStr">
        <is>
          <t>LinkedIn</t>
        </is>
      </c>
      <c r="H590">
        <f>TEXT(C590,"mmm-yyyy")</f>
        <v/>
      </c>
      <c r="I590">
        <f>TEXT(D590,"mmm-yyyy")</f>
        <v/>
      </c>
      <c r="J590">
        <f>_xlfn.XLOOKUP(tbl_subscription[[#This Row],[Customer_ID]],tbl_clint[Customer_ID],tbl_clint[Country])</f>
        <v/>
      </c>
      <c r="K590">
        <f>_xlfn.XLOOKUP(tbl_subscription[[#This Row],[Customer_ID]],tbl_clint[[#This Row],[Customer_ID]],tbl_clint[[#This Row],[Industry]])</f>
        <v/>
      </c>
      <c r="L590">
        <f>_xlfn.XLOOKUP(tbl_subscription[[#This Row],[Customer_ID]],tbl_clint[[#This Row],[Customer_ID]],tbl_clint[[#This Row],[Company_Size]])</f>
        <v/>
      </c>
      <c r="M590">
        <f>YEAR(tbl_subscription[[#This Row],[Start_Date]])</f>
        <v/>
      </c>
    </row>
    <row r="591">
      <c r="A591" t="inlineStr">
        <is>
          <t>C0590</t>
        </is>
      </c>
      <c r="B591" t="inlineStr">
        <is>
          <t>Basic</t>
        </is>
      </c>
      <c r="C591" s="4" t="n">
        <v>44371</v>
      </c>
      <c r="D591" s="4" t="n">
        <v>45657</v>
      </c>
      <c r="E591" t="n">
        <v>15</v>
      </c>
      <c r="F591" t="inlineStr">
        <is>
          <t>Active</t>
        </is>
      </c>
      <c r="G591" t="inlineStr">
        <is>
          <t>Google</t>
        </is>
      </c>
      <c r="H591">
        <f>TEXT(C591,"mmm-yyyy")</f>
        <v/>
      </c>
      <c r="I591">
        <f>TEXT(D591,"mmm-yyyy")</f>
        <v/>
      </c>
      <c r="J591">
        <f>_xlfn.XLOOKUP(tbl_subscription[[#This Row],[Customer_ID]],tbl_clint[Customer_ID],tbl_clint[Country])</f>
        <v/>
      </c>
      <c r="K591">
        <f>_xlfn.XLOOKUP(tbl_subscription[[#This Row],[Customer_ID]],tbl_clint[[#This Row],[Customer_ID]],tbl_clint[[#This Row],[Industry]])</f>
        <v/>
      </c>
      <c r="L591">
        <f>_xlfn.XLOOKUP(tbl_subscription[[#This Row],[Customer_ID]],tbl_clint[[#This Row],[Customer_ID]],tbl_clint[[#This Row],[Company_Size]])</f>
        <v/>
      </c>
      <c r="M591">
        <f>YEAR(tbl_subscription[[#This Row],[Start_Date]])</f>
        <v/>
      </c>
    </row>
    <row r="592">
      <c r="A592" t="inlineStr">
        <is>
          <t>C0591</t>
        </is>
      </c>
      <c r="B592" t="inlineStr">
        <is>
          <t>Standard</t>
        </is>
      </c>
      <c r="C592" s="4" t="n">
        <v>45427</v>
      </c>
      <c r="D592" s="4" t="n">
        <v>45657</v>
      </c>
      <c r="E592" t="n">
        <v>25</v>
      </c>
      <c r="F592" t="inlineStr">
        <is>
          <t>Active</t>
        </is>
      </c>
      <c r="G592" t="inlineStr">
        <is>
          <t>Referral</t>
        </is>
      </c>
      <c r="H592">
        <f>TEXT(C592,"mmm-yyyy")</f>
        <v/>
      </c>
      <c r="I592">
        <f>TEXT(D592,"mmm-yyyy")</f>
        <v/>
      </c>
      <c r="J592">
        <f>_xlfn.XLOOKUP(tbl_subscription[[#This Row],[Customer_ID]],tbl_clint[Customer_ID],tbl_clint[Country])</f>
        <v/>
      </c>
      <c r="K592">
        <f>_xlfn.XLOOKUP(tbl_subscription[[#This Row],[Customer_ID]],tbl_clint[[#This Row],[Customer_ID]],tbl_clint[[#This Row],[Industry]])</f>
        <v/>
      </c>
      <c r="L592">
        <f>_xlfn.XLOOKUP(tbl_subscription[[#This Row],[Customer_ID]],tbl_clint[[#This Row],[Customer_ID]],tbl_clint[[#This Row],[Company_Size]])</f>
        <v/>
      </c>
      <c r="M592">
        <f>YEAR(tbl_subscription[[#This Row],[Start_Date]])</f>
        <v/>
      </c>
    </row>
    <row r="593">
      <c r="A593" t="inlineStr">
        <is>
          <t>C0592</t>
        </is>
      </c>
      <c r="B593" t="inlineStr">
        <is>
          <t>Standard</t>
        </is>
      </c>
      <c r="C593" s="4" t="n">
        <v>44000</v>
      </c>
      <c r="D593" s="4" t="n">
        <v>44672</v>
      </c>
      <c r="E593" t="n">
        <v>25</v>
      </c>
      <c r="F593" t="inlineStr">
        <is>
          <t>Churned</t>
        </is>
      </c>
      <c r="G593" t="inlineStr">
        <is>
          <t>LinkedIn</t>
        </is>
      </c>
      <c r="H593">
        <f>TEXT(C593,"mmm-yyyy")</f>
        <v/>
      </c>
      <c r="I593">
        <f>TEXT(D593,"mmm-yyyy")</f>
        <v/>
      </c>
      <c r="J593">
        <f>_xlfn.XLOOKUP(tbl_subscription[[#This Row],[Customer_ID]],tbl_clint[Customer_ID],tbl_clint[Country])</f>
        <v/>
      </c>
      <c r="K593">
        <f>_xlfn.XLOOKUP(tbl_subscription[[#This Row],[Customer_ID]],tbl_clint[[#This Row],[Customer_ID]],tbl_clint[[#This Row],[Industry]])</f>
        <v/>
      </c>
      <c r="L593">
        <f>_xlfn.XLOOKUP(tbl_subscription[[#This Row],[Customer_ID]],tbl_clint[[#This Row],[Customer_ID]],tbl_clint[[#This Row],[Company_Size]])</f>
        <v/>
      </c>
      <c r="M593">
        <f>YEAR(tbl_subscription[[#This Row],[Start_Date]])</f>
        <v/>
      </c>
    </row>
    <row r="594">
      <c r="A594" t="inlineStr">
        <is>
          <t>C0593</t>
        </is>
      </c>
      <c r="B594" t="inlineStr">
        <is>
          <t>Premium</t>
        </is>
      </c>
      <c r="C594" s="4" t="n">
        <v>45058</v>
      </c>
      <c r="D594" s="4" t="n">
        <v>45657</v>
      </c>
      <c r="E594" t="n">
        <v>40</v>
      </c>
      <c r="F594" t="inlineStr">
        <is>
          <t>Active</t>
        </is>
      </c>
      <c r="G594" t="inlineStr">
        <is>
          <t>LinkedIn</t>
        </is>
      </c>
      <c r="H594">
        <f>TEXT(C594,"mmm-yyyy")</f>
        <v/>
      </c>
      <c r="I594">
        <f>TEXT(D594,"mmm-yyyy")</f>
        <v/>
      </c>
      <c r="J594">
        <f>_xlfn.XLOOKUP(tbl_subscription[[#This Row],[Customer_ID]],tbl_clint[Customer_ID],tbl_clint[Country])</f>
        <v/>
      </c>
      <c r="K594">
        <f>_xlfn.XLOOKUP(tbl_subscription[[#This Row],[Customer_ID]],tbl_clint[[#This Row],[Customer_ID]],tbl_clint[[#This Row],[Industry]])</f>
        <v/>
      </c>
      <c r="L594">
        <f>_xlfn.XLOOKUP(tbl_subscription[[#This Row],[Customer_ID]],tbl_clint[[#This Row],[Customer_ID]],tbl_clint[[#This Row],[Company_Size]])</f>
        <v/>
      </c>
      <c r="M594">
        <f>YEAR(tbl_subscription[[#This Row],[Start_Date]])</f>
        <v/>
      </c>
    </row>
    <row r="595">
      <c r="A595" t="inlineStr">
        <is>
          <t>C0594</t>
        </is>
      </c>
      <c r="B595" t="inlineStr">
        <is>
          <t>Premium</t>
        </is>
      </c>
      <c r="C595" s="4" t="n">
        <v>45037</v>
      </c>
      <c r="D595" s="4" t="n">
        <v>45657</v>
      </c>
      <c r="E595" t="n">
        <v>40</v>
      </c>
      <c r="F595" t="inlineStr">
        <is>
          <t>Active</t>
        </is>
      </c>
      <c r="G595" t="inlineStr">
        <is>
          <t>LinkedIn</t>
        </is>
      </c>
      <c r="H595">
        <f>TEXT(C595,"mmm-yyyy")</f>
        <v/>
      </c>
      <c r="I595">
        <f>TEXT(D595,"mmm-yyyy")</f>
        <v/>
      </c>
      <c r="J595">
        <f>_xlfn.XLOOKUP(tbl_subscription[[#This Row],[Customer_ID]],tbl_clint[Customer_ID],tbl_clint[Country])</f>
        <v/>
      </c>
      <c r="K595">
        <f>_xlfn.XLOOKUP(tbl_subscription[[#This Row],[Customer_ID]],tbl_clint[[#This Row],[Customer_ID]],tbl_clint[[#This Row],[Industry]])</f>
        <v/>
      </c>
      <c r="L595">
        <f>_xlfn.XLOOKUP(tbl_subscription[[#This Row],[Customer_ID]],tbl_clint[[#This Row],[Customer_ID]],tbl_clint[[#This Row],[Company_Size]])</f>
        <v/>
      </c>
      <c r="M595">
        <f>YEAR(tbl_subscription[[#This Row],[Start_Date]])</f>
        <v/>
      </c>
    </row>
    <row r="596">
      <c r="A596" t="inlineStr">
        <is>
          <t>C0595</t>
        </is>
      </c>
      <c r="B596" t="inlineStr">
        <is>
          <t>Standard</t>
        </is>
      </c>
      <c r="C596" s="4" t="n">
        <v>44615</v>
      </c>
      <c r="D596" s="4" t="n">
        <v>45657</v>
      </c>
      <c r="E596" t="n">
        <v>25</v>
      </c>
      <c r="F596" t="inlineStr">
        <is>
          <t>Active</t>
        </is>
      </c>
      <c r="G596" t="inlineStr">
        <is>
          <t>Instagram</t>
        </is>
      </c>
      <c r="H596">
        <f>TEXT(C596,"mmm-yyyy")</f>
        <v/>
      </c>
      <c r="I596">
        <f>TEXT(D596,"mmm-yyyy")</f>
        <v/>
      </c>
      <c r="J596">
        <f>_xlfn.XLOOKUP(tbl_subscription[[#This Row],[Customer_ID]],tbl_clint[Customer_ID],tbl_clint[Country])</f>
        <v/>
      </c>
      <c r="K596">
        <f>_xlfn.XLOOKUP(tbl_subscription[[#This Row],[Customer_ID]],tbl_clint[[#This Row],[Customer_ID]],tbl_clint[[#This Row],[Industry]])</f>
        <v/>
      </c>
      <c r="L596">
        <f>_xlfn.XLOOKUP(tbl_subscription[[#This Row],[Customer_ID]],tbl_clint[[#This Row],[Customer_ID]],tbl_clint[[#This Row],[Company_Size]])</f>
        <v/>
      </c>
      <c r="M596">
        <f>YEAR(tbl_subscription[[#This Row],[Start_Date]])</f>
        <v/>
      </c>
    </row>
    <row r="597">
      <c r="A597" t="inlineStr">
        <is>
          <t>C0596</t>
        </is>
      </c>
      <c r="B597" t="inlineStr">
        <is>
          <t>Standard</t>
        </is>
      </c>
      <c r="C597" s="4" t="n">
        <v>45411</v>
      </c>
      <c r="D597" s="4" t="n">
        <v>45657</v>
      </c>
      <c r="E597" t="n">
        <v>25</v>
      </c>
      <c r="F597" t="inlineStr">
        <is>
          <t>Active</t>
        </is>
      </c>
      <c r="G597" t="inlineStr">
        <is>
          <t>Referral</t>
        </is>
      </c>
      <c r="H597">
        <f>TEXT(C597,"mmm-yyyy")</f>
        <v/>
      </c>
      <c r="I597">
        <f>TEXT(D597,"mmm-yyyy")</f>
        <v/>
      </c>
      <c r="J597">
        <f>_xlfn.XLOOKUP(tbl_subscription[[#This Row],[Customer_ID]],tbl_clint[Customer_ID],tbl_clint[Country])</f>
        <v/>
      </c>
      <c r="K597">
        <f>_xlfn.XLOOKUP(tbl_subscription[[#This Row],[Customer_ID]],tbl_clint[[#This Row],[Customer_ID]],tbl_clint[[#This Row],[Industry]])</f>
        <v/>
      </c>
      <c r="L597">
        <f>_xlfn.XLOOKUP(tbl_subscription[[#This Row],[Customer_ID]],tbl_clint[[#This Row],[Customer_ID]],tbl_clint[[#This Row],[Company_Size]])</f>
        <v/>
      </c>
      <c r="M597">
        <f>YEAR(tbl_subscription[[#This Row],[Start_Date]])</f>
        <v/>
      </c>
    </row>
    <row r="598">
      <c r="A598" t="inlineStr">
        <is>
          <t>C0597</t>
        </is>
      </c>
      <c r="B598" t="inlineStr">
        <is>
          <t>Premium</t>
        </is>
      </c>
      <c r="C598" s="4" t="n">
        <v>44163</v>
      </c>
      <c r="D598" s="4" t="n">
        <v>45657</v>
      </c>
      <c r="E598" t="n">
        <v>40</v>
      </c>
      <c r="F598" t="inlineStr">
        <is>
          <t>Active</t>
        </is>
      </c>
      <c r="G598" t="inlineStr">
        <is>
          <t>Google</t>
        </is>
      </c>
      <c r="H598">
        <f>TEXT(C598,"mmm-yyyy")</f>
        <v/>
      </c>
      <c r="I598">
        <f>TEXT(D598,"mmm-yyyy")</f>
        <v/>
      </c>
      <c r="J598">
        <f>_xlfn.XLOOKUP(tbl_subscription[[#This Row],[Customer_ID]],tbl_clint[Customer_ID],tbl_clint[Country])</f>
        <v/>
      </c>
      <c r="K598">
        <f>_xlfn.XLOOKUP(tbl_subscription[[#This Row],[Customer_ID]],tbl_clint[[#This Row],[Customer_ID]],tbl_clint[[#This Row],[Industry]])</f>
        <v/>
      </c>
      <c r="L598">
        <f>_xlfn.XLOOKUP(tbl_subscription[[#This Row],[Customer_ID]],tbl_clint[[#This Row],[Customer_ID]],tbl_clint[[#This Row],[Company_Size]])</f>
        <v/>
      </c>
      <c r="M598">
        <f>YEAR(tbl_subscription[[#This Row],[Start_Date]])</f>
        <v/>
      </c>
    </row>
    <row r="599">
      <c r="A599" t="inlineStr">
        <is>
          <t>C0598</t>
        </is>
      </c>
      <c r="B599" t="inlineStr">
        <is>
          <t>Standard</t>
        </is>
      </c>
      <c r="C599" s="4" t="n">
        <v>45204</v>
      </c>
      <c r="D599" s="4" t="n">
        <v>45657</v>
      </c>
      <c r="E599" t="n">
        <v>25</v>
      </c>
      <c r="F599" t="inlineStr">
        <is>
          <t>Active</t>
        </is>
      </c>
      <c r="G599" t="inlineStr">
        <is>
          <t>Facebook</t>
        </is>
      </c>
      <c r="H599">
        <f>TEXT(C599,"mmm-yyyy")</f>
        <v/>
      </c>
      <c r="I599">
        <f>TEXT(D599,"mmm-yyyy")</f>
        <v/>
      </c>
      <c r="J599">
        <f>_xlfn.XLOOKUP(tbl_subscription[[#This Row],[Customer_ID]],tbl_clint[Customer_ID],tbl_clint[Country])</f>
        <v/>
      </c>
      <c r="K599">
        <f>_xlfn.XLOOKUP(tbl_subscription[[#This Row],[Customer_ID]],tbl_clint[[#This Row],[Customer_ID]],tbl_clint[[#This Row],[Industry]])</f>
        <v/>
      </c>
      <c r="L599">
        <f>_xlfn.XLOOKUP(tbl_subscription[[#This Row],[Customer_ID]],tbl_clint[[#This Row],[Customer_ID]],tbl_clint[[#This Row],[Company_Size]])</f>
        <v/>
      </c>
      <c r="M599">
        <f>YEAR(tbl_subscription[[#This Row],[Start_Date]])</f>
        <v/>
      </c>
    </row>
    <row r="600">
      <c r="A600" t="inlineStr">
        <is>
          <t>C0599</t>
        </is>
      </c>
      <c r="B600" t="inlineStr">
        <is>
          <t>Premium</t>
        </is>
      </c>
      <c r="C600" s="4" t="n">
        <v>44858</v>
      </c>
      <c r="D600" s="4" t="n">
        <v>45334</v>
      </c>
      <c r="E600" t="n">
        <v>40</v>
      </c>
      <c r="F600" t="inlineStr">
        <is>
          <t>Churned</t>
        </is>
      </c>
      <c r="G600" t="inlineStr">
        <is>
          <t>Facebook</t>
        </is>
      </c>
      <c r="H600">
        <f>TEXT(C600,"mmm-yyyy")</f>
        <v/>
      </c>
      <c r="I600">
        <f>TEXT(D600,"mmm-yyyy")</f>
        <v/>
      </c>
      <c r="J600">
        <f>_xlfn.XLOOKUP(tbl_subscription[[#This Row],[Customer_ID]],tbl_clint[Customer_ID],tbl_clint[Country])</f>
        <v/>
      </c>
      <c r="K600">
        <f>_xlfn.XLOOKUP(tbl_subscription[[#This Row],[Customer_ID]],tbl_clint[[#This Row],[Customer_ID]],tbl_clint[[#This Row],[Industry]])</f>
        <v/>
      </c>
      <c r="L600">
        <f>_xlfn.XLOOKUP(tbl_subscription[[#This Row],[Customer_ID]],tbl_clint[[#This Row],[Customer_ID]],tbl_clint[[#This Row],[Company_Size]])</f>
        <v/>
      </c>
      <c r="M600">
        <f>YEAR(tbl_subscription[[#This Row],[Start_Date]])</f>
        <v/>
      </c>
    </row>
    <row r="601">
      <c r="A601" t="inlineStr">
        <is>
          <t>C0600</t>
        </is>
      </c>
      <c r="B601" t="inlineStr">
        <is>
          <t>Premium</t>
        </is>
      </c>
      <c r="C601" s="4" t="n">
        <v>44160</v>
      </c>
      <c r="D601" s="4" t="n">
        <v>45657</v>
      </c>
      <c r="E601" t="n">
        <v>40</v>
      </c>
      <c r="F601" t="inlineStr">
        <is>
          <t>Active</t>
        </is>
      </c>
      <c r="G601" t="inlineStr">
        <is>
          <t>Facebook</t>
        </is>
      </c>
      <c r="H601">
        <f>TEXT(C601,"mmm-yyyy")</f>
        <v/>
      </c>
      <c r="I601">
        <f>TEXT(D601,"mmm-yyyy")</f>
        <v/>
      </c>
      <c r="J601">
        <f>_xlfn.XLOOKUP(tbl_subscription[[#This Row],[Customer_ID]],tbl_clint[Customer_ID],tbl_clint[Country])</f>
        <v/>
      </c>
      <c r="K601">
        <f>_xlfn.XLOOKUP(tbl_subscription[[#This Row],[Customer_ID]],tbl_clint[[#This Row],[Customer_ID]],tbl_clint[[#This Row],[Industry]])</f>
        <v/>
      </c>
      <c r="L601">
        <f>_xlfn.XLOOKUP(tbl_subscription[[#This Row],[Customer_ID]],tbl_clint[[#This Row],[Customer_ID]],tbl_clint[[#This Row],[Company_Size]])</f>
        <v/>
      </c>
      <c r="M601">
        <f>YEAR(tbl_subscription[[#This Row],[Start_Date]])</f>
        <v/>
      </c>
    </row>
    <row r="602">
      <c r="A602" t="inlineStr">
        <is>
          <t>C0601</t>
        </is>
      </c>
      <c r="B602" t="inlineStr">
        <is>
          <t>Basic</t>
        </is>
      </c>
      <c r="C602" s="4" t="n">
        <v>44586</v>
      </c>
      <c r="D602" s="4" t="n">
        <v>45657</v>
      </c>
      <c r="E602" t="n">
        <v>15</v>
      </c>
      <c r="F602" t="inlineStr">
        <is>
          <t>Active</t>
        </is>
      </c>
      <c r="G602" t="inlineStr">
        <is>
          <t>LinkedIn</t>
        </is>
      </c>
      <c r="H602">
        <f>TEXT(C602,"mmm-yyyy")</f>
        <v/>
      </c>
      <c r="I602">
        <f>TEXT(D602,"mmm-yyyy")</f>
        <v/>
      </c>
      <c r="J602">
        <f>_xlfn.XLOOKUP(tbl_subscription[[#This Row],[Customer_ID]],tbl_clint[Customer_ID],tbl_clint[Country])</f>
        <v/>
      </c>
      <c r="K602">
        <f>_xlfn.XLOOKUP(tbl_subscription[[#This Row],[Customer_ID]],tbl_clint[[#This Row],[Customer_ID]],tbl_clint[[#This Row],[Industry]])</f>
        <v/>
      </c>
      <c r="L602">
        <f>_xlfn.XLOOKUP(tbl_subscription[[#This Row],[Customer_ID]],tbl_clint[[#This Row],[Customer_ID]],tbl_clint[[#This Row],[Company_Size]])</f>
        <v/>
      </c>
      <c r="M602">
        <f>YEAR(tbl_subscription[[#This Row],[Start_Date]])</f>
        <v/>
      </c>
    </row>
    <row r="603">
      <c r="A603" t="inlineStr">
        <is>
          <t>C0602</t>
        </is>
      </c>
      <c r="B603" t="inlineStr">
        <is>
          <t>Standard</t>
        </is>
      </c>
      <c r="C603" s="4" t="n">
        <v>44472</v>
      </c>
      <c r="D603" s="4" t="n">
        <v>44536</v>
      </c>
      <c r="E603" t="n">
        <v>25</v>
      </c>
      <c r="F603" t="inlineStr">
        <is>
          <t>Churned</t>
        </is>
      </c>
      <c r="G603" t="inlineStr">
        <is>
          <t>Referral</t>
        </is>
      </c>
      <c r="H603">
        <f>TEXT(C603,"mmm-yyyy")</f>
        <v/>
      </c>
      <c r="I603">
        <f>TEXT(D603,"mmm-yyyy")</f>
        <v/>
      </c>
      <c r="J603">
        <f>_xlfn.XLOOKUP(tbl_subscription[[#This Row],[Customer_ID]],tbl_clint[Customer_ID],tbl_clint[Country])</f>
        <v/>
      </c>
      <c r="K603">
        <f>_xlfn.XLOOKUP(tbl_subscription[[#This Row],[Customer_ID]],tbl_clint[[#This Row],[Customer_ID]],tbl_clint[[#This Row],[Industry]])</f>
        <v/>
      </c>
      <c r="L603">
        <f>_xlfn.XLOOKUP(tbl_subscription[[#This Row],[Customer_ID]],tbl_clint[[#This Row],[Customer_ID]],tbl_clint[[#This Row],[Company_Size]])</f>
        <v/>
      </c>
      <c r="M603">
        <f>YEAR(tbl_subscription[[#This Row],[Start_Date]])</f>
        <v/>
      </c>
    </row>
    <row r="604">
      <c r="A604" t="inlineStr">
        <is>
          <t>C0603</t>
        </is>
      </c>
      <c r="B604" t="inlineStr">
        <is>
          <t>Basic</t>
        </is>
      </c>
      <c r="C604" s="4" t="n">
        <v>44136</v>
      </c>
      <c r="D604" s="4" t="n">
        <v>45657</v>
      </c>
      <c r="E604" t="n">
        <v>15</v>
      </c>
      <c r="F604" t="inlineStr">
        <is>
          <t>Active</t>
        </is>
      </c>
      <c r="G604" t="inlineStr">
        <is>
          <t>Facebook</t>
        </is>
      </c>
      <c r="H604">
        <f>TEXT(C604,"mmm-yyyy")</f>
        <v/>
      </c>
      <c r="I604">
        <f>TEXT(D604,"mmm-yyyy")</f>
        <v/>
      </c>
      <c r="J604">
        <f>_xlfn.XLOOKUP(tbl_subscription[[#This Row],[Customer_ID]],tbl_clint[Customer_ID],tbl_clint[Country])</f>
        <v/>
      </c>
      <c r="K604">
        <f>_xlfn.XLOOKUP(tbl_subscription[[#This Row],[Customer_ID]],tbl_clint[[#This Row],[Customer_ID]],tbl_clint[[#This Row],[Industry]])</f>
        <v/>
      </c>
      <c r="L604">
        <f>_xlfn.XLOOKUP(tbl_subscription[[#This Row],[Customer_ID]],tbl_clint[[#This Row],[Customer_ID]],tbl_clint[[#This Row],[Company_Size]])</f>
        <v/>
      </c>
      <c r="M604">
        <f>YEAR(tbl_subscription[[#This Row],[Start_Date]])</f>
        <v/>
      </c>
    </row>
    <row r="605">
      <c r="A605" t="inlineStr">
        <is>
          <t>C0604</t>
        </is>
      </c>
      <c r="B605" t="inlineStr">
        <is>
          <t>Basic</t>
        </is>
      </c>
      <c r="C605" s="4" t="n">
        <v>44119</v>
      </c>
      <c r="D605" s="4" t="n">
        <v>44546</v>
      </c>
      <c r="E605" t="n">
        <v>15</v>
      </c>
      <c r="F605" t="inlineStr">
        <is>
          <t>Churned</t>
        </is>
      </c>
      <c r="G605" t="inlineStr">
        <is>
          <t>Facebook</t>
        </is>
      </c>
      <c r="H605">
        <f>TEXT(C605,"mmm-yyyy")</f>
        <v/>
      </c>
      <c r="I605">
        <f>TEXT(D605,"mmm-yyyy")</f>
        <v/>
      </c>
      <c r="J605">
        <f>_xlfn.XLOOKUP(tbl_subscription[[#This Row],[Customer_ID]],tbl_clint[Customer_ID],tbl_clint[Country])</f>
        <v/>
      </c>
      <c r="K605">
        <f>_xlfn.XLOOKUP(tbl_subscription[[#This Row],[Customer_ID]],tbl_clint[[#This Row],[Customer_ID]],tbl_clint[[#This Row],[Industry]])</f>
        <v/>
      </c>
      <c r="L605">
        <f>_xlfn.XLOOKUP(tbl_subscription[[#This Row],[Customer_ID]],tbl_clint[[#This Row],[Customer_ID]],tbl_clint[[#This Row],[Company_Size]])</f>
        <v/>
      </c>
      <c r="M605">
        <f>YEAR(tbl_subscription[[#This Row],[Start_Date]])</f>
        <v/>
      </c>
    </row>
    <row r="606">
      <c r="A606" t="inlineStr">
        <is>
          <t>C0605</t>
        </is>
      </c>
      <c r="B606" t="inlineStr">
        <is>
          <t>Premium</t>
        </is>
      </c>
      <c r="C606" s="4" t="n">
        <v>44815</v>
      </c>
      <c r="D606" s="4" t="n">
        <v>45657</v>
      </c>
      <c r="E606" t="n">
        <v>40</v>
      </c>
      <c r="F606" t="inlineStr">
        <is>
          <t>Active</t>
        </is>
      </c>
      <c r="G606" t="inlineStr">
        <is>
          <t>Referral</t>
        </is>
      </c>
      <c r="H606">
        <f>TEXT(C606,"mmm-yyyy")</f>
        <v/>
      </c>
      <c r="I606">
        <f>TEXT(D606,"mmm-yyyy")</f>
        <v/>
      </c>
      <c r="J606">
        <f>_xlfn.XLOOKUP(tbl_subscription[[#This Row],[Customer_ID]],tbl_clint[Customer_ID],tbl_clint[Country])</f>
        <v/>
      </c>
      <c r="K606">
        <f>_xlfn.XLOOKUP(tbl_subscription[[#This Row],[Customer_ID]],tbl_clint[[#This Row],[Customer_ID]],tbl_clint[[#This Row],[Industry]])</f>
        <v/>
      </c>
      <c r="L606">
        <f>_xlfn.XLOOKUP(tbl_subscription[[#This Row],[Customer_ID]],tbl_clint[[#This Row],[Customer_ID]],tbl_clint[[#This Row],[Company_Size]])</f>
        <v/>
      </c>
      <c r="M606">
        <f>YEAR(tbl_subscription[[#This Row],[Start_Date]])</f>
        <v/>
      </c>
    </row>
    <row r="607">
      <c r="A607" t="inlineStr">
        <is>
          <t>C0606</t>
        </is>
      </c>
      <c r="B607" t="inlineStr">
        <is>
          <t>Standard</t>
        </is>
      </c>
      <c r="C607" s="4" t="n">
        <v>44468</v>
      </c>
      <c r="D607" s="4" t="n">
        <v>45031</v>
      </c>
      <c r="E607" t="n">
        <v>25</v>
      </c>
      <c r="F607" t="inlineStr">
        <is>
          <t>Churned</t>
        </is>
      </c>
      <c r="G607" t="inlineStr">
        <is>
          <t>Instagram</t>
        </is>
      </c>
      <c r="H607">
        <f>TEXT(C607,"mmm-yyyy")</f>
        <v/>
      </c>
      <c r="I607">
        <f>TEXT(D607,"mmm-yyyy")</f>
        <v/>
      </c>
      <c r="J607">
        <f>_xlfn.XLOOKUP(tbl_subscription[[#This Row],[Customer_ID]],tbl_clint[Customer_ID],tbl_clint[Country])</f>
        <v/>
      </c>
      <c r="K607">
        <f>_xlfn.XLOOKUP(tbl_subscription[[#This Row],[Customer_ID]],tbl_clint[[#This Row],[Customer_ID]],tbl_clint[[#This Row],[Industry]])</f>
        <v/>
      </c>
      <c r="L607">
        <f>_xlfn.XLOOKUP(tbl_subscription[[#This Row],[Customer_ID]],tbl_clint[[#This Row],[Customer_ID]],tbl_clint[[#This Row],[Company_Size]])</f>
        <v/>
      </c>
      <c r="M607">
        <f>YEAR(tbl_subscription[[#This Row],[Start_Date]])</f>
        <v/>
      </c>
    </row>
    <row r="608">
      <c r="A608" t="inlineStr">
        <is>
          <t>C0607</t>
        </is>
      </c>
      <c r="B608" t="inlineStr">
        <is>
          <t>Premium</t>
        </is>
      </c>
      <c r="C608" s="4" t="n">
        <v>45085</v>
      </c>
      <c r="D608" s="4" t="n">
        <v>45657</v>
      </c>
      <c r="E608" t="n">
        <v>40</v>
      </c>
      <c r="F608" t="inlineStr">
        <is>
          <t>Active</t>
        </is>
      </c>
      <c r="G608" t="inlineStr">
        <is>
          <t>Google</t>
        </is>
      </c>
      <c r="H608">
        <f>TEXT(C608,"mmm-yyyy")</f>
        <v/>
      </c>
      <c r="I608">
        <f>TEXT(D608,"mmm-yyyy")</f>
        <v/>
      </c>
      <c r="J608">
        <f>_xlfn.XLOOKUP(tbl_subscription[[#This Row],[Customer_ID]],tbl_clint[Customer_ID],tbl_clint[Country])</f>
        <v/>
      </c>
      <c r="K608">
        <f>_xlfn.XLOOKUP(tbl_subscription[[#This Row],[Customer_ID]],tbl_clint[[#This Row],[Customer_ID]],tbl_clint[[#This Row],[Industry]])</f>
        <v/>
      </c>
      <c r="L608">
        <f>_xlfn.XLOOKUP(tbl_subscription[[#This Row],[Customer_ID]],tbl_clint[[#This Row],[Customer_ID]],tbl_clint[[#This Row],[Company_Size]])</f>
        <v/>
      </c>
      <c r="M608">
        <f>YEAR(tbl_subscription[[#This Row],[Start_Date]])</f>
        <v/>
      </c>
    </row>
    <row r="609">
      <c r="A609" t="inlineStr">
        <is>
          <t>C0608</t>
        </is>
      </c>
      <c r="B609" t="inlineStr">
        <is>
          <t>Premium</t>
        </is>
      </c>
      <c r="C609" s="4" t="n">
        <v>44403</v>
      </c>
      <c r="D609" s="4" t="n">
        <v>45174</v>
      </c>
      <c r="E609" t="n">
        <v>40</v>
      </c>
      <c r="F609" t="inlineStr">
        <is>
          <t>Churned</t>
        </is>
      </c>
      <c r="G609" t="inlineStr">
        <is>
          <t>Facebook</t>
        </is>
      </c>
      <c r="H609">
        <f>TEXT(C609,"mmm-yyyy")</f>
        <v/>
      </c>
      <c r="I609">
        <f>TEXT(D609,"mmm-yyyy")</f>
        <v/>
      </c>
      <c r="J609">
        <f>_xlfn.XLOOKUP(tbl_subscription[[#This Row],[Customer_ID]],tbl_clint[Customer_ID],tbl_clint[Country])</f>
        <v/>
      </c>
      <c r="K609">
        <f>_xlfn.XLOOKUP(tbl_subscription[[#This Row],[Customer_ID]],tbl_clint[[#This Row],[Customer_ID]],tbl_clint[[#This Row],[Industry]])</f>
        <v/>
      </c>
      <c r="L609">
        <f>_xlfn.XLOOKUP(tbl_subscription[[#This Row],[Customer_ID]],tbl_clint[[#This Row],[Customer_ID]],tbl_clint[[#This Row],[Company_Size]])</f>
        <v/>
      </c>
      <c r="M609">
        <f>YEAR(tbl_subscription[[#This Row],[Start_Date]])</f>
        <v/>
      </c>
    </row>
    <row r="610">
      <c r="A610" t="inlineStr">
        <is>
          <t>C0609</t>
        </is>
      </c>
      <c r="B610" t="inlineStr">
        <is>
          <t>Standard</t>
        </is>
      </c>
      <c r="C610" s="4" t="n">
        <v>45452</v>
      </c>
      <c r="D610" s="4" t="n">
        <v>45657</v>
      </c>
      <c r="E610" t="n">
        <v>25</v>
      </c>
      <c r="F610" t="inlineStr">
        <is>
          <t>Active</t>
        </is>
      </c>
      <c r="G610" t="inlineStr">
        <is>
          <t>Facebook</t>
        </is>
      </c>
      <c r="H610">
        <f>TEXT(C610,"mmm-yyyy")</f>
        <v/>
      </c>
      <c r="I610">
        <f>TEXT(D610,"mmm-yyyy")</f>
        <v/>
      </c>
      <c r="J610">
        <f>_xlfn.XLOOKUP(tbl_subscription[[#This Row],[Customer_ID]],tbl_clint[Customer_ID],tbl_clint[Country])</f>
        <v/>
      </c>
      <c r="K610">
        <f>_xlfn.XLOOKUP(tbl_subscription[[#This Row],[Customer_ID]],tbl_clint[[#This Row],[Customer_ID]],tbl_clint[[#This Row],[Industry]])</f>
        <v/>
      </c>
      <c r="L610">
        <f>_xlfn.XLOOKUP(tbl_subscription[[#This Row],[Customer_ID]],tbl_clint[[#This Row],[Customer_ID]],tbl_clint[[#This Row],[Company_Size]])</f>
        <v/>
      </c>
      <c r="M610">
        <f>YEAR(tbl_subscription[[#This Row],[Start_Date]])</f>
        <v/>
      </c>
    </row>
    <row r="611">
      <c r="A611" t="inlineStr">
        <is>
          <t>C0610</t>
        </is>
      </c>
      <c r="B611" t="inlineStr">
        <is>
          <t>Standard</t>
        </is>
      </c>
      <c r="C611" s="4" t="n">
        <v>44753</v>
      </c>
      <c r="D611" s="4" t="n">
        <v>45657</v>
      </c>
      <c r="E611" t="n">
        <v>25</v>
      </c>
      <c r="F611" t="inlineStr">
        <is>
          <t>Active</t>
        </is>
      </c>
      <c r="G611" t="inlineStr">
        <is>
          <t>Facebook</t>
        </is>
      </c>
      <c r="H611">
        <f>TEXT(C611,"mmm-yyyy")</f>
        <v/>
      </c>
      <c r="I611">
        <f>TEXT(D611,"mmm-yyyy")</f>
        <v/>
      </c>
      <c r="J611">
        <f>_xlfn.XLOOKUP(tbl_subscription[[#This Row],[Customer_ID]],tbl_clint[Customer_ID],tbl_clint[Country])</f>
        <v/>
      </c>
      <c r="K611">
        <f>_xlfn.XLOOKUP(tbl_subscription[[#This Row],[Customer_ID]],tbl_clint[[#This Row],[Customer_ID]],tbl_clint[[#This Row],[Industry]])</f>
        <v/>
      </c>
      <c r="L611">
        <f>_xlfn.XLOOKUP(tbl_subscription[[#This Row],[Customer_ID]],tbl_clint[[#This Row],[Customer_ID]],tbl_clint[[#This Row],[Company_Size]])</f>
        <v/>
      </c>
      <c r="M611">
        <f>YEAR(tbl_subscription[[#This Row],[Start_Date]])</f>
        <v/>
      </c>
    </row>
    <row r="612">
      <c r="A612" t="inlineStr">
        <is>
          <t>C0611</t>
        </is>
      </c>
      <c r="B612" t="inlineStr">
        <is>
          <t>Premium</t>
        </is>
      </c>
      <c r="C612" s="4" t="n">
        <v>44704</v>
      </c>
      <c r="D612" s="4" t="n">
        <v>44852</v>
      </c>
      <c r="E612" t="n">
        <v>40</v>
      </c>
      <c r="F612" t="inlineStr">
        <is>
          <t>Churned</t>
        </is>
      </c>
      <c r="G612" t="inlineStr">
        <is>
          <t>Google</t>
        </is>
      </c>
      <c r="H612">
        <f>TEXT(C612,"mmm-yyyy")</f>
        <v/>
      </c>
      <c r="I612">
        <f>TEXT(D612,"mmm-yyyy")</f>
        <v/>
      </c>
      <c r="J612">
        <f>_xlfn.XLOOKUP(tbl_subscription[[#This Row],[Customer_ID]],tbl_clint[Customer_ID],tbl_clint[Country])</f>
        <v/>
      </c>
      <c r="K612">
        <f>_xlfn.XLOOKUP(tbl_subscription[[#This Row],[Customer_ID]],tbl_clint[[#This Row],[Customer_ID]],tbl_clint[[#This Row],[Industry]])</f>
        <v/>
      </c>
      <c r="L612">
        <f>_xlfn.XLOOKUP(tbl_subscription[[#This Row],[Customer_ID]],tbl_clint[[#This Row],[Customer_ID]],tbl_clint[[#This Row],[Company_Size]])</f>
        <v/>
      </c>
      <c r="M612">
        <f>YEAR(tbl_subscription[[#This Row],[Start_Date]])</f>
        <v/>
      </c>
    </row>
    <row r="613">
      <c r="A613" t="inlineStr">
        <is>
          <t>C0612</t>
        </is>
      </c>
      <c r="B613" t="inlineStr">
        <is>
          <t>Standard</t>
        </is>
      </c>
      <c r="C613" s="4" t="n">
        <v>44624</v>
      </c>
      <c r="D613" s="4" t="n">
        <v>45657</v>
      </c>
      <c r="E613" t="n">
        <v>25</v>
      </c>
      <c r="F613" t="inlineStr">
        <is>
          <t>Active</t>
        </is>
      </c>
      <c r="G613" t="inlineStr">
        <is>
          <t>LinkedIn</t>
        </is>
      </c>
      <c r="H613">
        <f>TEXT(C613,"mmm-yyyy")</f>
        <v/>
      </c>
      <c r="I613">
        <f>TEXT(D613,"mmm-yyyy")</f>
        <v/>
      </c>
      <c r="J613">
        <f>_xlfn.XLOOKUP(tbl_subscription[[#This Row],[Customer_ID]],tbl_clint[Customer_ID],tbl_clint[Country])</f>
        <v/>
      </c>
      <c r="K613">
        <f>_xlfn.XLOOKUP(tbl_subscription[[#This Row],[Customer_ID]],tbl_clint[[#This Row],[Customer_ID]],tbl_clint[[#This Row],[Industry]])</f>
        <v/>
      </c>
      <c r="L613">
        <f>_xlfn.XLOOKUP(tbl_subscription[[#This Row],[Customer_ID]],tbl_clint[[#This Row],[Customer_ID]],tbl_clint[[#This Row],[Company_Size]])</f>
        <v/>
      </c>
      <c r="M613">
        <f>YEAR(tbl_subscription[[#This Row],[Start_Date]])</f>
        <v/>
      </c>
    </row>
    <row r="614">
      <c r="A614" t="inlineStr">
        <is>
          <t>C0613</t>
        </is>
      </c>
      <c r="B614" t="inlineStr">
        <is>
          <t>Premium</t>
        </is>
      </c>
      <c r="C614" s="4" t="n">
        <v>45126</v>
      </c>
      <c r="D614" s="4" t="n">
        <v>45657</v>
      </c>
      <c r="E614" t="n">
        <v>40</v>
      </c>
      <c r="F614" t="inlineStr">
        <is>
          <t>Active</t>
        </is>
      </c>
      <c r="G614" t="inlineStr">
        <is>
          <t>Facebook</t>
        </is>
      </c>
      <c r="H614">
        <f>TEXT(C614,"mmm-yyyy")</f>
        <v/>
      </c>
      <c r="I614">
        <f>TEXT(D614,"mmm-yyyy")</f>
        <v/>
      </c>
      <c r="J614">
        <f>_xlfn.XLOOKUP(tbl_subscription[[#This Row],[Customer_ID]],tbl_clint[Customer_ID],tbl_clint[Country])</f>
        <v/>
      </c>
      <c r="K614">
        <f>_xlfn.XLOOKUP(tbl_subscription[[#This Row],[Customer_ID]],tbl_clint[[#This Row],[Customer_ID]],tbl_clint[[#This Row],[Industry]])</f>
        <v/>
      </c>
      <c r="L614">
        <f>_xlfn.XLOOKUP(tbl_subscription[[#This Row],[Customer_ID]],tbl_clint[[#This Row],[Customer_ID]],tbl_clint[[#This Row],[Company_Size]])</f>
        <v/>
      </c>
      <c r="M614">
        <f>YEAR(tbl_subscription[[#This Row],[Start_Date]])</f>
        <v/>
      </c>
    </row>
    <row r="615">
      <c r="A615" t="inlineStr">
        <is>
          <t>C0614</t>
        </is>
      </c>
      <c r="B615" t="inlineStr">
        <is>
          <t>Standard</t>
        </is>
      </c>
      <c r="C615" s="4" t="n">
        <v>44776</v>
      </c>
      <c r="D615" s="4" t="n">
        <v>45657</v>
      </c>
      <c r="E615" t="n">
        <v>25</v>
      </c>
      <c r="F615" t="inlineStr">
        <is>
          <t>Active</t>
        </is>
      </c>
      <c r="G615" t="inlineStr">
        <is>
          <t>Facebook</t>
        </is>
      </c>
      <c r="H615">
        <f>TEXT(C615,"mmm-yyyy")</f>
        <v/>
      </c>
      <c r="I615">
        <f>TEXT(D615,"mmm-yyyy")</f>
        <v/>
      </c>
      <c r="J615">
        <f>_xlfn.XLOOKUP(tbl_subscription[[#This Row],[Customer_ID]],tbl_clint[Customer_ID],tbl_clint[Country])</f>
        <v/>
      </c>
      <c r="K615">
        <f>_xlfn.XLOOKUP(tbl_subscription[[#This Row],[Customer_ID]],tbl_clint[[#This Row],[Customer_ID]],tbl_clint[[#This Row],[Industry]])</f>
        <v/>
      </c>
      <c r="L615">
        <f>_xlfn.XLOOKUP(tbl_subscription[[#This Row],[Customer_ID]],tbl_clint[[#This Row],[Customer_ID]],tbl_clint[[#This Row],[Company_Size]])</f>
        <v/>
      </c>
      <c r="M615">
        <f>YEAR(tbl_subscription[[#This Row],[Start_Date]])</f>
        <v/>
      </c>
    </row>
    <row r="616">
      <c r="A616" t="inlineStr">
        <is>
          <t>C0615</t>
        </is>
      </c>
      <c r="B616" t="inlineStr">
        <is>
          <t>Basic</t>
        </is>
      </c>
      <c r="C616" s="4" t="n">
        <v>45181</v>
      </c>
      <c r="D616" s="4" t="n">
        <v>45401</v>
      </c>
      <c r="E616" t="n">
        <v>15</v>
      </c>
      <c r="F616" t="inlineStr">
        <is>
          <t>Churned</t>
        </is>
      </c>
      <c r="G616" t="inlineStr">
        <is>
          <t>Instagram</t>
        </is>
      </c>
      <c r="H616">
        <f>TEXT(C616,"mmm-yyyy")</f>
        <v/>
      </c>
      <c r="I616">
        <f>TEXT(D616,"mmm-yyyy")</f>
        <v/>
      </c>
      <c r="J616">
        <f>_xlfn.XLOOKUP(tbl_subscription[[#This Row],[Customer_ID]],tbl_clint[Customer_ID],tbl_clint[Country])</f>
        <v/>
      </c>
      <c r="K616">
        <f>_xlfn.XLOOKUP(tbl_subscription[[#This Row],[Customer_ID]],tbl_clint[[#This Row],[Customer_ID]],tbl_clint[[#This Row],[Industry]])</f>
        <v/>
      </c>
      <c r="L616">
        <f>_xlfn.XLOOKUP(tbl_subscription[[#This Row],[Customer_ID]],tbl_clint[[#This Row],[Customer_ID]],tbl_clint[[#This Row],[Company_Size]])</f>
        <v/>
      </c>
      <c r="M616">
        <f>YEAR(tbl_subscription[[#This Row],[Start_Date]])</f>
        <v/>
      </c>
    </row>
    <row r="617">
      <c r="A617" t="inlineStr">
        <is>
          <t>C0616</t>
        </is>
      </c>
      <c r="B617" t="inlineStr">
        <is>
          <t>Premium</t>
        </is>
      </c>
      <c r="C617" s="4" t="n">
        <v>45435</v>
      </c>
      <c r="D617" s="4" t="n">
        <v>45657</v>
      </c>
      <c r="E617" t="n">
        <v>40</v>
      </c>
      <c r="F617" t="inlineStr">
        <is>
          <t>Active</t>
        </is>
      </c>
      <c r="G617" t="inlineStr">
        <is>
          <t>Referral</t>
        </is>
      </c>
      <c r="H617">
        <f>TEXT(C617,"mmm-yyyy")</f>
        <v/>
      </c>
      <c r="I617">
        <f>TEXT(D617,"mmm-yyyy")</f>
        <v/>
      </c>
      <c r="J617">
        <f>_xlfn.XLOOKUP(tbl_subscription[[#This Row],[Customer_ID]],tbl_clint[Customer_ID],tbl_clint[Country])</f>
        <v/>
      </c>
      <c r="K617">
        <f>_xlfn.XLOOKUP(tbl_subscription[[#This Row],[Customer_ID]],tbl_clint[[#This Row],[Customer_ID]],tbl_clint[[#This Row],[Industry]])</f>
        <v/>
      </c>
      <c r="L617">
        <f>_xlfn.XLOOKUP(tbl_subscription[[#This Row],[Customer_ID]],tbl_clint[[#This Row],[Customer_ID]],tbl_clint[[#This Row],[Company_Size]])</f>
        <v/>
      </c>
      <c r="M617">
        <f>YEAR(tbl_subscription[[#This Row],[Start_Date]])</f>
        <v/>
      </c>
    </row>
    <row r="618">
      <c r="A618" t="inlineStr">
        <is>
          <t>C0617</t>
        </is>
      </c>
      <c r="B618" t="inlineStr">
        <is>
          <t>Basic</t>
        </is>
      </c>
      <c r="C618" s="4" t="n">
        <v>45245</v>
      </c>
      <c r="D618" s="4" t="n">
        <v>45317</v>
      </c>
      <c r="E618" t="n">
        <v>15</v>
      </c>
      <c r="F618" t="inlineStr">
        <is>
          <t>Churned</t>
        </is>
      </c>
      <c r="G618" t="inlineStr">
        <is>
          <t>Facebook</t>
        </is>
      </c>
      <c r="H618">
        <f>TEXT(C618,"mmm-yyyy")</f>
        <v/>
      </c>
      <c r="I618">
        <f>TEXT(D618,"mmm-yyyy")</f>
        <v/>
      </c>
      <c r="J618">
        <f>_xlfn.XLOOKUP(tbl_subscription[[#This Row],[Customer_ID]],tbl_clint[Customer_ID],tbl_clint[Country])</f>
        <v/>
      </c>
      <c r="K618">
        <f>_xlfn.XLOOKUP(tbl_subscription[[#This Row],[Customer_ID]],tbl_clint[[#This Row],[Customer_ID]],tbl_clint[[#This Row],[Industry]])</f>
        <v/>
      </c>
      <c r="L618">
        <f>_xlfn.XLOOKUP(tbl_subscription[[#This Row],[Customer_ID]],tbl_clint[[#This Row],[Customer_ID]],tbl_clint[[#This Row],[Company_Size]])</f>
        <v/>
      </c>
      <c r="M618">
        <f>YEAR(tbl_subscription[[#This Row],[Start_Date]])</f>
        <v/>
      </c>
    </row>
    <row r="619">
      <c r="A619" t="inlineStr">
        <is>
          <t>C0618</t>
        </is>
      </c>
      <c r="B619" t="inlineStr">
        <is>
          <t>Premium</t>
        </is>
      </c>
      <c r="C619" s="4" t="n">
        <v>43909</v>
      </c>
      <c r="D619" s="4" t="n">
        <v>44702</v>
      </c>
      <c r="E619" t="n">
        <v>40</v>
      </c>
      <c r="F619" t="inlineStr">
        <is>
          <t>Churned</t>
        </is>
      </c>
      <c r="G619" t="inlineStr">
        <is>
          <t>Google</t>
        </is>
      </c>
      <c r="H619">
        <f>TEXT(C619,"mmm-yyyy")</f>
        <v/>
      </c>
      <c r="I619">
        <f>TEXT(D619,"mmm-yyyy")</f>
        <v/>
      </c>
      <c r="J619">
        <f>_xlfn.XLOOKUP(tbl_subscription[[#This Row],[Customer_ID]],tbl_clint[Customer_ID],tbl_clint[Country])</f>
        <v/>
      </c>
      <c r="K619">
        <f>_xlfn.XLOOKUP(tbl_subscription[[#This Row],[Customer_ID]],tbl_clint[[#This Row],[Customer_ID]],tbl_clint[[#This Row],[Industry]])</f>
        <v/>
      </c>
      <c r="L619">
        <f>_xlfn.XLOOKUP(tbl_subscription[[#This Row],[Customer_ID]],tbl_clint[[#This Row],[Customer_ID]],tbl_clint[[#This Row],[Company_Size]])</f>
        <v/>
      </c>
      <c r="M619">
        <f>YEAR(tbl_subscription[[#This Row],[Start_Date]])</f>
        <v/>
      </c>
    </row>
    <row r="620">
      <c r="A620" t="inlineStr">
        <is>
          <t>C0619</t>
        </is>
      </c>
      <c r="B620" t="inlineStr">
        <is>
          <t>Standard</t>
        </is>
      </c>
      <c r="C620" s="4" t="n">
        <v>44083</v>
      </c>
      <c r="D620" s="4" t="n">
        <v>45657</v>
      </c>
      <c r="E620" t="n">
        <v>25</v>
      </c>
      <c r="F620" t="inlineStr">
        <is>
          <t>Active</t>
        </is>
      </c>
      <c r="G620" t="inlineStr">
        <is>
          <t>Facebook</t>
        </is>
      </c>
      <c r="H620">
        <f>TEXT(C620,"mmm-yyyy")</f>
        <v/>
      </c>
      <c r="I620">
        <f>TEXT(D620,"mmm-yyyy")</f>
        <v/>
      </c>
      <c r="J620">
        <f>_xlfn.XLOOKUP(tbl_subscription[[#This Row],[Customer_ID]],tbl_clint[Customer_ID],tbl_clint[Country])</f>
        <v/>
      </c>
      <c r="K620">
        <f>_xlfn.XLOOKUP(tbl_subscription[[#This Row],[Customer_ID]],tbl_clint[[#This Row],[Customer_ID]],tbl_clint[[#This Row],[Industry]])</f>
        <v/>
      </c>
      <c r="L620">
        <f>_xlfn.XLOOKUP(tbl_subscription[[#This Row],[Customer_ID]],tbl_clint[[#This Row],[Customer_ID]],tbl_clint[[#This Row],[Company_Size]])</f>
        <v/>
      </c>
      <c r="M620">
        <f>YEAR(tbl_subscription[[#This Row],[Start_Date]])</f>
        <v/>
      </c>
    </row>
    <row r="621">
      <c r="A621" t="inlineStr">
        <is>
          <t>C0620</t>
        </is>
      </c>
      <c r="B621" t="inlineStr">
        <is>
          <t>Basic</t>
        </is>
      </c>
      <c r="C621" s="4" t="n">
        <v>44020</v>
      </c>
      <c r="D621" s="4" t="n">
        <v>45657</v>
      </c>
      <c r="E621" t="n">
        <v>15</v>
      </c>
      <c r="F621" t="inlineStr">
        <is>
          <t>Active</t>
        </is>
      </c>
      <c r="G621" t="inlineStr">
        <is>
          <t>Facebook</t>
        </is>
      </c>
      <c r="H621">
        <f>TEXT(C621,"mmm-yyyy")</f>
        <v/>
      </c>
      <c r="I621">
        <f>TEXT(D621,"mmm-yyyy")</f>
        <v/>
      </c>
      <c r="J621">
        <f>_xlfn.XLOOKUP(tbl_subscription[[#This Row],[Customer_ID]],tbl_clint[Customer_ID],tbl_clint[Country])</f>
        <v/>
      </c>
      <c r="K621">
        <f>_xlfn.XLOOKUP(tbl_subscription[[#This Row],[Customer_ID]],tbl_clint[[#This Row],[Customer_ID]],tbl_clint[[#This Row],[Industry]])</f>
        <v/>
      </c>
      <c r="L621">
        <f>_xlfn.XLOOKUP(tbl_subscription[[#This Row],[Customer_ID]],tbl_clint[[#This Row],[Customer_ID]],tbl_clint[[#This Row],[Company_Size]])</f>
        <v/>
      </c>
      <c r="M621">
        <f>YEAR(tbl_subscription[[#This Row],[Start_Date]])</f>
        <v/>
      </c>
    </row>
    <row r="622">
      <c r="A622" t="inlineStr">
        <is>
          <t>C0621</t>
        </is>
      </c>
      <c r="B622" t="inlineStr">
        <is>
          <t>Premium</t>
        </is>
      </c>
      <c r="C622" s="4" t="n">
        <v>44539</v>
      </c>
      <c r="D622" s="4" t="n">
        <v>45657</v>
      </c>
      <c r="E622" t="n">
        <v>40</v>
      </c>
      <c r="F622" t="inlineStr">
        <is>
          <t>Active</t>
        </is>
      </c>
      <c r="G622" t="inlineStr">
        <is>
          <t>Referral</t>
        </is>
      </c>
      <c r="H622">
        <f>TEXT(C622,"mmm-yyyy")</f>
        <v/>
      </c>
      <c r="I622">
        <f>TEXT(D622,"mmm-yyyy")</f>
        <v/>
      </c>
      <c r="J622">
        <f>_xlfn.XLOOKUP(tbl_subscription[[#This Row],[Customer_ID]],tbl_clint[Customer_ID],tbl_clint[Country])</f>
        <v/>
      </c>
      <c r="K622">
        <f>_xlfn.XLOOKUP(tbl_subscription[[#This Row],[Customer_ID]],tbl_clint[[#This Row],[Customer_ID]],tbl_clint[[#This Row],[Industry]])</f>
        <v/>
      </c>
      <c r="L622">
        <f>_xlfn.XLOOKUP(tbl_subscription[[#This Row],[Customer_ID]],tbl_clint[[#This Row],[Customer_ID]],tbl_clint[[#This Row],[Company_Size]])</f>
        <v/>
      </c>
      <c r="M622">
        <f>YEAR(tbl_subscription[[#This Row],[Start_Date]])</f>
        <v/>
      </c>
    </row>
    <row r="623">
      <c r="A623" t="inlineStr">
        <is>
          <t>C0622</t>
        </is>
      </c>
      <c r="B623" t="inlineStr">
        <is>
          <t>Basic</t>
        </is>
      </c>
      <c r="C623" s="4" t="n">
        <v>44722</v>
      </c>
      <c r="D623" s="4" t="n">
        <v>45657</v>
      </c>
      <c r="E623" t="n">
        <v>15</v>
      </c>
      <c r="F623" t="inlineStr">
        <is>
          <t>Active</t>
        </is>
      </c>
      <c r="G623" t="inlineStr">
        <is>
          <t>Referral</t>
        </is>
      </c>
      <c r="H623">
        <f>TEXT(C623,"mmm-yyyy")</f>
        <v/>
      </c>
      <c r="I623">
        <f>TEXT(D623,"mmm-yyyy")</f>
        <v/>
      </c>
      <c r="J623">
        <f>_xlfn.XLOOKUP(tbl_subscription[[#This Row],[Customer_ID]],tbl_clint[Customer_ID],tbl_clint[Country])</f>
        <v/>
      </c>
      <c r="K623">
        <f>_xlfn.XLOOKUP(tbl_subscription[[#This Row],[Customer_ID]],tbl_clint[[#This Row],[Customer_ID]],tbl_clint[[#This Row],[Industry]])</f>
        <v/>
      </c>
      <c r="L623">
        <f>_xlfn.XLOOKUP(tbl_subscription[[#This Row],[Customer_ID]],tbl_clint[[#This Row],[Customer_ID]],tbl_clint[[#This Row],[Company_Size]])</f>
        <v/>
      </c>
      <c r="M623">
        <f>YEAR(tbl_subscription[[#This Row],[Start_Date]])</f>
        <v/>
      </c>
    </row>
    <row r="624">
      <c r="A624" t="inlineStr">
        <is>
          <t>C0623</t>
        </is>
      </c>
      <c r="B624" t="inlineStr">
        <is>
          <t>Basic</t>
        </is>
      </c>
      <c r="C624" s="4" t="n">
        <v>44078</v>
      </c>
      <c r="D624" s="4" t="n">
        <v>45657</v>
      </c>
      <c r="E624" t="n">
        <v>15</v>
      </c>
      <c r="F624" t="inlineStr">
        <is>
          <t>Active</t>
        </is>
      </c>
      <c r="G624" t="inlineStr">
        <is>
          <t>Google</t>
        </is>
      </c>
      <c r="H624">
        <f>TEXT(C624,"mmm-yyyy")</f>
        <v/>
      </c>
      <c r="I624">
        <f>TEXT(D624,"mmm-yyyy")</f>
        <v/>
      </c>
      <c r="J624">
        <f>_xlfn.XLOOKUP(tbl_subscription[[#This Row],[Customer_ID]],tbl_clint[Customer_ID],tbl_clint[Country])</f>
        <v/>
      </c>
      <c r="K624">
        <f>_xlfn.XLOOKUP(tbl_subscription[[#This Row],[Customer_ID]],tbl_clint[[#This Row],[Customer_ID]],tbl_clint[[#This Row],[Industry]])</f>
        <v/>
      </c>
      <c r="L624">
        <f>_xlfn.XLOOKUP(tbl_subscription[[#This Row],[Customer_ID]],tbl_clint[[#This Row],[Customer_ID]],tbl_clint[[#This Row],[Company_Size]])</f>
        <v/>
      </c>
      <c r="M624">
        <f>YEAR(tbl_subscription[[#This Row],[Start_Date]])</f>
        <v/>
      </c>
    </row>
    <row r="625">
      <c r="A625" t="inlineStr">
        <is>
          <t>C0624</t>
        </is>
      </c>
      <c r="B625" t="inlineStr">
        <is>
          <t>Standard</t>
        </is>
      </c>
      <c r="C625" s="4" t="n">
        <v>44807</v>
      </c>
      <c r="D625" s="4" t="n">
        <v>45584</v>
      </c>
      <c r="E625" t="n">
        <v>25</v>
      </c>
      <c r="F625" t="inlineStr">
        <is>
          <t>Churned</t>
        </is>
      </c>
      <c r="G625" t="inlineStr">
        <is>
          <t>Instagram</t>
        </is>
      </c>
      <c r="H625">
        <f>TEXT(C625,"mmm-yyyy")</f>
        <v/>
      </c>
      <c r="I625">
        <f>TEXT(D625,"mmm-yyyy")</f>
        <v/>
      </c>
      <c r="J625">
        <f>_xlfn.XLOOKUP(tbl_subscription[[#This Row],[Customer_ID]],tbl_clint[Customer_ID],tbl_clint[Country])</f>
        <v/>
      </c>
      <c r="K625">
        <f>_xlfn.XLOOKUP(tbl_subscription[[#This Row],[Customer_ID]],tbl_clint[[#This Row],[Customer_ID]],tbl_clint[[#This Row],[Industry]])</f>
        <v/>
      </c>
      <c r="L625">
        <f>_xlfn.XLOOKUP(tbl_subscription[[#This Row],[Customer_ID]],tbl_clint[[#This Row],[Customer_ID]],tbl_clint[[#This Row],[Company_Size]])</f>
        <v/>
      </c>
      <c r="M625">
        <f>YEAR(tbl_subscription[[#This Row],[Start_Date]])</f>
        <v/>
      </c>
    </row>
    <row r="626">
      <c r="A626" t="inlineStr">
        <is>
          <t>C0625</t>
        </is>
      </c>
      <c r="B626" t="inlineStr">
        <is>
          <t>Basic</t>
        </is>
      </c>
      <c r="C626" s="4" t="n">
        <v>44585</v>
      </c>
      <c r="D626" s="4" t="n">
        <v>44714</v>
      </c>
      <c r="E626" t="n">
        <v>15</v>
      </c>
      <c r="F626" t="inlineStr">
        <is>
          <t>Churned</t>
        </is>
      </c>
      <c r="G626" t="inlineStr">
        <is>
          <t>Referral</t>
        </is>
      </c>
      <c r="H626">
        <f>TEXT(C626,"mmm-yyyy")</f>
        <v/>
      </c>
      <c r="I626">
        <f>TEXT(D626,"mmm-yyyy")</f>
        <v/>
      </c>
      <c r="J626">
        <f>_xlfn.XLOOKUP(tbl_subscription[[#This Row],[Customer_ID]],tbl_clint[Customer_ID],tbl_clint[Country])</f>
        <v/>
      </c>
      <c r="K626">
        <f>_xlfn.XLOOKUP(tbl_subscription[[#This Row],[Customer_ID]],tbl_clint[[#This Row],[Customer_ID]],tbl_clint[[#This Row],[Industry]])</f>
        <v/>
      </c>
      <c r="L626">
        <f>_xlfn.XLOOKUP(tbl_subscription[[#This Row],[Customer_ID]],tbl_clint[[#This Row],[Customer_ID]],tbl_clint[[#This Row],[Company_Size]])</f>
        <v/>
      </c>
      <c r="M626">
        <f>YEAR(tbl_subscription[[#This Row],[Start_Date]])</f>
        <v/>
      </c>
    </row>
    <row r="627">
      <c r="A627" t="inlineStr">
        <is>
          <t>C0626</t>
        </is>
      </c>
      <c r="B627" t="inlineStr">
        <is>
          <t>Premium</t>
        </is>
      </c>
      <c r="C627" s="4" t="n">
        <v>45150</v>
      </c>
      <c r="D627" s="4" t="n">
        <v>45657</v>
      </c>
      <c r="E627" t="n">
        <v>40</v>
      </c>
      <c r="F627" t="inlineStr">
        <is>
          <t>Active</t>
        </is>
      </c>
      <c r="G627" t="inlineStr">
        <is>
          <t>Facebook</t>
        </is>
      </c>
      <c r="H627">
        <f>TEXT(C627,"mmm-yyyy")</f>
        <v/>
      </c>
      <c r="I627">
        <f>TEXT(D627,"mmm-yyyy")</f>
        <v/>
      </c>
      <c r="J627">
        <f>_xlfn.XLOOKUP(tbl_subscription[[#This Row],[Customer_ID]],tbl_clint[Customer_ID],tbl_clint[Country])</f>
        <v/>
      </c>
      <c r="K627">
        <f>_xlfn.XLOOKUP(tbl_subscription[[#This Row],[Customer_ID]],tbl_clint[[#This Row],[Customer_ID]],tbl_clint[[#This Row],[Industry]])</f>
        <v/>
      </c>
      <c r="L627">
        <f>_xlfn.XLOOKUP(tbl_subscription[[#This Row],[Customer_ID]],tbl_clint[[#This Row],[Customer_ID]],tbl_clint[[#This Row],[Company_Size]])</f>
        <v/>
      </c>
      <c r="M627">
        <f>YEAR(tbl_subscription[[#This Row],[Start_Date]])</f>
        <v/>
      </c>
    </row>
    <row r="628">
      <c r="A628" t="inlineStr">
        <is>
          <t>C0627</t>
        </is>
      </c>
      <c r="B628" t="inlineStr">
        <is>
          <t>Premium</t>
        </is>
      </c>
      <c r="C628" s="4" t="n">
        <v>45383</v>
      </c>
      <c r="D628" s="4" t="n">
        <v>45657</v>
      </c>
      <c r="E628" t="n">
        <v>40</v>
      </c>
      <c r="F628" t="inlineStr">
        <is>
          <t>Active</t>
        </is>
      </c>
      <c r="G628" t="inlineStr">
        <is>
          <t>LinkedIn</t>
        </is>
      </c>
      <c r="H628">
        <f>TEXT(C628,"mmm-yyyy")</f>
        <v/>
      </c>
      <c r="I628">
        <f>TEXT(D628,"mmm-yyyy")</f>
        <v/>
      </c>
      <c r="J628">
        <f>_xlfn.XLOOKUP(tbl_subscription[[#This Row],[Customer_ID]],tbl_clint[Customer_ID],tbl_clint[Country])</f>
        <v/>
      </c>
      <c r="K628">
        <f>_xlfn.XLOOKUP(tbl_subscription[[#This Row],[Customer_ID]],tbl_clint[[#This Row],[Customer_ID]],tbl_clint[[#This Row],[Industry]])</f>
        <v/>
      </c>
      <c r="L628">
        <f>_xlfn.XLOOKUP(tbl_subscription[[#This Row],[Customer_ID]],tbl_clint[[#This Row],[Customer_ID]],tbl_clint[[#This Row],[Company_Size]])</f>
        <v/>
      </c>
      <c r="M628">
        <f>YEAR(tbl_subscription[[#This Row],[Start_Date]])</f>
        <v/>
      </c>
    </row>
    <row r="629">
      <c r="A629" t="inlineStr">
        <is>
          <t>C0628</t>
        </is>
      </c>
      <c r="B629" t="inlineStr">
        <is>
          <t>Premium</t>
        </is>
      </c>
      <c r="C629" s="4" t="n">
        <v>44277</v>
      </c>
      <c r="D629" s="4" t="n">
        <v>45657</v>
      </c>
      <c r="E629" t="n">
        <v>40</v>
      </c>
      <c r="F629" t="inlineStr">
        <is>
          <t>Active</t>
        </is>
      </c>
      <c r="G629" t="inlineStr">
        <is>
          <t>LinkedIn</t>
        </is>
      </c>
      <c r="H629">
        <f>TEXT(C629,"mmm-yyyy")</f>
        <v/>
      </c>
      <c r="I629">
        <f>TEXT(D629,"mmm-yyyy")</f>
        <v/>
      </c>
      <c r="J629">
        <f>_xlfn.XLOOKUP(tbl_subscription[[#This Row],[Customer_ID]],tbl_clint[Customer_ID],tbl_clint[Country])</f>
        <v/>
      </c>
      <c r="K629">
        <f>_xlfn.XLOOKUP(tbl_subscription[[#This Row],[Customer_ID]],tbl_clint[[#This Row],[Customer_ID]],tbl_clint[[#This Row],[Industry]])</f>
        <v/>
      </c>
      <c r="L629">
        <f>_xlfn.XLOOKUP(tbl_subscription[[#This Row],[Customer_ID]],tbl_clint[[#This Row],[Customer_ID]],tbl_clint[[#This Row],[Company_Size]])</f>
        <v/>
      </c>
      <c r="M629">
        <f>YEAR(tbl_subscription[[#This Row],[Start_Date]])</f>
        <v/>
      </c>
    </row>
    <row r="630">
      <c r="A630" t="inlineStr">
        <is>
          <t>C0629</t>
        </is>
      </c>
      <c r="B630" t="inlineStr">
        <is>
          <t>Basic</t>
        </is>
      </c>
      <c r="C630" s="4" t="n">
        <v>45116</v>
      </c>
      <c r="D630" s="4" t="n">
        <v>45657</v>
      </c>
      <c r="E630" t="n">
        <v>15</v>
      </c>
      <c r="F630" t="inlineStr">
        <is>
          <t>Active</t>
        </is>
      </c>
      <c r="G630" t="inlineStr">
        <is>
          <t>Referral</t>
        </is>
      </c>
      <c r="H630">
        <f>TEXT(C630,"mmm-yyyy")</f>
        <v/>
      </c>
      <c r="I630">
        <f>TEXT(D630,"mmm-yyyy")</f>
        <v/>
      </c>
      <c r="J630">
        <f>_xlfn.XLOOKUP(tbl_subscription[[#This Row],[Customer_ID]],tbl_clint[Customer_ID],tbl_clint[Country])</f>
        <v/>
      </c>
      <c r="K630">
        <f>_xlfn.XLOOKUP(tbl_subscription[[#This Row],[Customer_ID]],tbl_clint[[#This Row],[Customer_ID]],tbl_clint[[#This Row],[Industry]])</f>
        <v/>
      </c>
      <c r="L630">
        <f>_xlfn.XLOOKUP(tbl_subscription[[#This Row],[Customer_ID]],tbl_clint[[#This Row],[Customer_ID]],tbl_clint[[#This Row],[Company_Size]])</f>
        <v/>
      </c>
      <c r="M630">
        <f>YEAR(tbl_subscription[[#This Row],[Start_Date]])</f>
        <v/>
      </c>
    </row>
    <row r="631">
      <c r="A631" t="inlineStr">
        <is>
          <t>C0630</t>
        </is>
      </c>
      <c r="B631" t="inlineStr">
        <is>
          <t>Standard</t>
        </is>
      </c>
      <c r="C631" s="4" t="n">
        <v>44977</v>
      </c>
      <c r="D631" s="4" t="n">
        <v>45657</v>
      </c>
      <c r="E631" t="n">
        <v>25</v>
      </c>
      <c r="F631" t="inlineStr">
        <is>
          <t>Active</t>
        </is>
      </c>
      <c r="G631" t="inlineStr">
        <is>
          <t>Facebook</t>
        </is>
      </c>
      <c r="H631">
        <f>TEXT(C631,"mmm-yyyy")</f>
        <v/>
      </c>
      <c r="I631">
        <f>TEXT(D631,"mmm-yyyy")</f>
        <v/>
      </c>
      <c r="J631">
        <f>_xlfn.XLOOKUP(tbl_subscription[[#This Row],[Customer_ID]],tbl_clint[Customer_ID],tbl_clint[Country])</f>
        <v/>
      </c>
      <c r="K631">
        <f>_xlfn.XLOOKUP(tbl_subscription[[#This Row],[Customer_ID]],tbl_clint[[#This Row],[Customer_ID]],tbl_clint[[#This Row],[Industry]])</f>
        <v/>
      </c>
      <c r="L631">
        <f>_xlfn.XLOOKUP(tbl_subscription[[#This Row],[Customer_ID]],tbl_clint[[#This Row],[Customer_ID]],tbl_clint[[#This Row],[Company_Size]])</f>
        <v/>
      </c>
      <c r="M631">
        <f>YEAR(tbl_subscription[[#This Row],[Start_Date]])</f>
        <v/>
      </c>
    </row>
    <row r="632">
      <c r="A632" t="inlineStr">
        <is>
          <t>C0631</t>
        </is>
      </c>
      <c r="B632" t="inlineStr">
        <is>
          <t>Standard</t>
        </is>
      </c>
      <c r="C632" s="4" t="n">
        <v>45365</v>
      </c>
      <c r="D632" s="4" t="n">
        <v>45657</v>
      </c>
      <c r="E632" t="n">
        <v>25</v>
      </c>
      <c r="F632" t="inlineStr">
        <is>
          <t>Active</t>
        </is>
      </c>
      <c r="G632" t="inlineStr">
        <is>
          <t>Google</t>
        </is>
      </c>
      <c r="H632">
        <f>TEXT(C632,"mmm-yyyy")</f>
        <v/>
      </c>
      <c r="I632">
        <f>TEXT(D632,"mmm-yyyy")</f>
        <v/>
      </c>
      <c r="J632">
        <f>_xlfn.XLOOKUP(tbl_subscription[[#This Row],[Customer_ID]],tbl_clint[Customer_ID],tbl_clint[Country])</f>
        <v/>
      </c>
      <c r="K632">
        <f>_xlfn.XLOOKUP(tbl_subscription[[#This Row],[Customer_ID]],tbl_clint[[#This Row],[Customer_ID]],tbl_clint[[#This Row],[Industry]])</f>
        <v/>
      </c>
      <c r="L632">
        <f>_xlfn.XLOOKUP(tbl_subscription[[#This Row],[Customer_ID]],tbl_clint[[#This Row],[Customer_ID]],tbl_clint[[#This Row],[Company_Size]])</f>
        <v/>
      </c>
      <c r="M632">
        <f>YEAR(tbl_subscription[[#This Row],[Start_Date]])</f>
        <v/>
      </c>
    </row>
    <row r="633">
      <c r="A633" t="inlineStr">
        <is>
          <t>C0632</t>
        </is>
      </c>
      <c r="B633" t="inlineStr">
        <is>
          <t>Basic</t>
        </is>
      </c>
      <c r="C633" s="4" t="n">
        <v>45345</v>
      </c>
      <c r="D633" s="4" t="n">
        <v>45657</v>
      </c>
      <c r="E633" t="n">
        <v>15</v>
      </c>
      <c r="F633" t="inlineStr">
        <is>
          <t>Active</t>
        </is>
      </c>
      <c r="G633" t="inlineStr">
        <is>
          <t>Referral</t>
        </is>
      </c>
      <c r="H633">
        <f>TEXT(C633,"mmm-yyyy")</f>
        <v/>
      </c>
      <c r="I633">
        <f>TEXT(D633,"mmm-yyyy")</f>
        <v/>
      </c>
      <c r="J633">
        <f>_xlfn.XLOOKUP(tbl_subscription[[#This Row],[Customer_ID]],tbl_clint[Customer_ID],tbl_clint[Country])</f>
        <v/>
      </c>
      <c r="K633">
        <f>_xlfn.XLOOKUP(tbl_subscription[[#This Row],[Customer_ID]],tbl_clint[[#This Row],[Customer_ID]],tbl_clint[[#This Row],[Industry]])</f>
        <v/>
      </c>
      <c r="L633">
        <f>_xlfn.XLOOKUP(tbl_subscription[[#This Row],[Customer_ID]],tbl_clint[[#This Row],[Customer_ID]],tbl_clint[[#This Row],[Company_Size]])</f>
        <v/>
      </c>
      <c r="M633">
        <f>YEAR(tbl_subscription[[#This Row],[Start_Date]])</f>
        <v/>
      </c>
    </row>
    <row r="634">
      <c r="A634" t="inlineStr">
        <is>
          <t>C0633</t>
        </is>
      </c>
      <c r="B634" t="inlineStr">
        <is>
          <t>Standard</t>
        </is>
      </c>
      <c r="C634" s="4" t="n">
        <v>44698</v>
      </c>
      <c r="D634" s="4" t="n">
        <v>45657</v>
      </c>
      <c r="E634" t="n">
        <v>25</v>
      </c>
      <c r="F634" t="inlineStr">
        <is>
          <t>Active</t>
        </is>
      </c>
      <c r="G634" t="inlineStr">
        <is>
          <t>Google</t>
        </is>
      </c>
      <c r="H634">
        <f>TEXT(C634,"mmm-yyyy")</f>
        <v/>
      </c>
      <c r="I634">
        <f>TEXT(D634,"mmm-yyyy")</f>
        <v/>
      </c>
      <c r="J634">
        <f>_xlfn.XLOOKUP(tbl_subscription[[#This Row],[Customer_ID]],tbl_clint[Customer_ID],tbl_clint[Country])</f>
        <v/>
      </c>
      <c r="K634">
        <f>_xlfn.XLOOKUP(tbl_subscription[[#This Row],[Customer_ID]],tbl_clint[[#This Row],[Customer_ID]],tbl_clint[[#This Row],[Industry]])</f>
        <v/>
      </c>
      <c r="L634">
        <f>_xlfn.XLOOKUP(tbl_subscription[[#This Row],[Customer_ID]],tbl_clint[[#This Row],[Customer_ID]],tbl_clint[[#This Row],[Company_Size]])</f>
        <v/>
      </c>
      <c r="M634">
        <f>YEAR(tbl_subscription[[#This Row],[Start_Date]])</f>
        <v/>
      </c>
    </row>
    <row r="635">
      <c r="A635" t="inlineStr">
        <is>
          <t>C0634</t>
        </is>
      </c>
      <c r="B635" t="inlineStr">
        <is>
          <t>Premium</t>
        </is>
      </c>
      <c r="C635" s="4" t="n">
        <v>44547</v>
      </c>
      <c r="D635" s="4" t="n">
        <v>44700</v>
      </c>
      <c r="E635" t="n">
        <v>40</v>
      </c>
      <c r="F635" t="inlineStr">
        <is>
          <t>Churned</t>
        </is>
      </c>
      <c r="G635" t="inlineStr">
        <is>
          <t>Google</t>
        </is>
      </c>
      <c r="H635">
        <f>TEXT(C635,"mmm-yyyy")</f>
        <v/>
      </c>
      <c r="I635">
        <f>TEXT(D635,"mmm-yyyy")</f>
        <v/>
      </c>
      <c r="J635">
        <f>_xlfn.XLOOKUP(tbl_subscription[[#This Row],[Customer_ID]],tbl_clint[Customer_ID],tbl_clint[Country])</f>
        <v/>
      </c>
      <c r="K635">
        <f>_xlfn.XLOOKUP(tbl_subscription[[#This Row],[Customer_ID]],tbl_clint[[#This Row],[Customer_ID]],tbl_clint[[#This Row],[Industry]])</f>
        <v/>
      </c>
      <c r="L635">
        <f>_xlfn.XLOOKUP(tbl_subscription[[#This Row],[Customer_ID]],tbl_clint[[#This Row],[Customer_ID]],tbl_clint[[#This Row],[Company_Size]])</f>
        <v/>
      </c>
      <c r="M635">
        <f>YEAR(tbl_subscription[[#This Row],[Start_Date]])</f>
        <v/>
      </c>
    </row>
    <row r="636">
      <c r="A636" t="inlineStr">
        <is>
          <t>C0635</t>
        </is>
      </c>
      <c r="B636" t="inlineStr">
        <is>
          <t>Standard</t>
        </is>
      </c>
      <c r="C636" s="4" t="n">
        <v>45198</v>
      </c>
      <c r="D636" s="4" t="n">
        <v>45462</v>
      </c>
      <c r="E636" t="n">
        <v>25</v>
      </c>
      <c r="F636" t="inlineStr">
        <is>
          <t>Churned</t>
        </is>
      </c>
      <c r="G636" t="inlineStr">
        <is>
          <t>Facebook</t>
        </is>
      </c>
      <c r="H636">
        <f>TEXT(C636,"mmm-yyyy")</f>
        <v/>
      </c>
      <c r="I636">
        <f>TEXT(D636,"mmm-yyyy")</f>
        <v/>
      </c>
      <c r="J636">
        <f>_xlfn.XLOOKUP(tbl_subscription[[#This Row],[Customer_ID]],tbl_clint[Customer_ID],tbl_clint[Country])</f>
        <v/>
      </c>
      <c r="K636">
        <f>_xlfn.XLOOKUP(tbl_subscription[[#This Row],[Customer_ID]],tbl_clint[[#This Row],[Customer_ID]],tbl_clint[[#This Row],[Industry]])</f>
        <v/>
      </c>
      <c r="L636">
        <f>_xlfn.XLOOKUP(tbl_subscription[[#This Row],[Customer_ID]],tbl_clint[[#This Row],[Customer_ID]],tbl_clint[[#This Row],[Company_Size]])</f>
        <v/>
      </c>
      <c r="M636">
        <f>YEAR(tbl_subscription[[#This Row],[Start_Date]])</f>
        <v/>
      </c>
    </row>
    <row r="637">
      <c r="A637" t="inlineStr">
        <is>
          <t>C0636</t>
        </is>
      </c>
      <c r="B637" t="inlineStr">
        <is>
          <t>Premium</t>
        </is>
      </c>
      <c r="C637" s="4" t="n">
        <v>44662</v>
      </c>
      <c r="D637" s="4" t="n">
        <v>44766</v>
      </c>
      <c r="E637" t="n">
        <v>40</v>
      </c>
      <c r="F637" t="inlineStr">
        <is>
          <t>Churned</t>
        </is>
      </c>
      <c r="G637" t="inlineStr">
        <is>
          <t>Facebook</t>
        </is>
      </c>
      <c r="H637">
        <f>TEXT(C637,"mmm-yyyy")</f>
        <v/>
      </c>
      <c r="I637">
        <f>TEXT(D637,"mmm-yyyy")</f>
        <v/>
      </c>
      <c r="J637">
        <f>_xlfn.XLOOKUP(tbl_subscription[[#This Row],[Customer_ID]],tbl_clint[Customer_ID],tbl_clint[Country])</f>
        <v/>
      </c>
      <c r="K637">
        <f>_xlfn.XLOOKUP(tbl_subscription[[#This Row],[Customer_ID]],tbl_clint[[#This Row],[Customer_ID]],tbl_clint[[#This Row],[Industry]])</f>
        <v/>
      </c>
      <c r="L637">
        <f>_xlfn.XLOOKUP(tbl_subscription[[#This Row],[Customer_ID]],tbl_clint[[#This Row],[Customer_ID]],tbl_clint[[#This Row],[Company_Size]])</f>
        <v/>
      </c>
      <c r="M637">
        <f>YEAR(tbl_subscription[[#This Row],[Start_Date]])</f>
        <v/>
      </c>
    </row>
    <row r="638">
      <c r="A638" t="inlineStr">
        <is>
          <t>C0637</t>
        </is>
      </c>
      <c r="B638" t="inlineStr">
        <is>
          <t>Basic</t>
        </is>
      </c>
      <c r="C638" s="4" t="n">
        <v>44008</v>
      </c>
      <c r="D638" s="4" t="n">
        <v>45657</v>
      </c>
      <c r="E638" t="n">
        <v>15</v>
      </c>
      <c r="F638" t="inlineStr">
        <is>
          <t>Active</t>
        </is>
      </c>
      <c r="G638" t="inlineStr">
        <is>
          <t>Google</t>
        </is>
      </c>
      <c r="H638">
        <f>TEXT(C638,"mmm-yyyy")</f>
        <v/>
      </c>
      <c r="I638">
        <f>TEXT(D638,"mmm-yyyy")</f>
        <v/>
      </c>
      <c r="J638">
        <f>_xlfn.XLOOKUP(tbl_subscription[[#This Row],[Customer_ID]],tbl_clint[Customer_ID],tbl_clint[Country])</f>
        <v/>
      </c>
      <c r="K638">
        <f>_xlfn.XLOOKUP(tbl_subscription[[#This Row],[Customer_ID]],tbl_clint[[#This Row],[Customer_ID]],tbl_clint[[#This Row],[Industry]])</f>
        <v/>
      </c>
      <c r="L638">
        <f>_xlfn.XLOOKUP(tbl_subscription[[#This Row],[Customer_ID]],tbl_clint[[#This Row],[Customer_ID]],tbl_clint[[#This Row],[Company_Size]])</f>
        <v/>
      </c>
      <c r="M638">
        <f>YEAR(tbl_subscription[[#This Row],[Start_Date]])</f>
        <v/>
      </c>
    </row>
    <row r="639">
      <c r="A639" t="inlineStr">
        <is>
          <t>C0638</t>
        </is>
      </c>
      <c r="B639" t="inlineStr">
        <is>
          <t>Basic</t>
        </is>
      </c>
      <c r="C639" s="4" t="n">
        <v>44742</v>
      </c>
      <c r="D639" s="4" t="n">
        <v>45657</v>
      </c>
      <c r="E639" t="n">
        <v>15</v>
      </c>
      <c r="F639" t="inlineStr">
        <is>
          <t>Active</t>
        </is>
      </c>
      <c r="G639" t="inlineStr">
        <is>
          <t>Referral</t>
        </is>
      </c>
      <c r="H639">
        <f>TEXT(C639,"mmm-yyyy")</f>
        <v/>
      </c>
      <c r="I639">
        <f>TEXT(D639,"mmm-yyyy")</f>
        <v/>
      </c>
      <c r="J639">
        <f>_xlfn.XLOOKUP(tbl_subscription[[#This Row],[Customer_ID]],tbl_clint[Customer_ID],tbl_clint[Country])</f>
        <v/>
      </c>
      <c r="K639">
        <f>_xlfn.XLOOKUP(tbl_subscription[[#This Row],[Customer_ID]],tbl_clint[[#This Row],[Customer_ID]],tbl_clint[[#This Row],[Industry]])</f>
        <v/>
      </c>
      <c r="L639">
        <f>_xlfn.XLOOKUP(tbl_subscription[[#This Row],[Customer_ID]],tbl_clint[[#This Row],[Customer_ID]],tbl_clint[[#This Row],[Company_Size]])</f>
        <v/>
      </c>
      <c r="M639">
        <f>YEAR(tbl_subscription[[#This Row],[Start_Date]])</f>
        <v/>
      </c>
    </row>
    <row r="640">
      <c r="A640" t="inlineStr">
        <is>
          <t>C0639</t>
        </is>
      </c>
      <c r="B640" t="inlineStr">
        <is>
          <t>Premium</t>
        </is>
      </c>
      <c r="C640" s="4" t="n">
        <v>44531</v>
      </c>
      <c r="D640" s="4" t="n">
        <v>45657</v>
      </c>
      <c r="E640" t="n">
        <v>40</v>
      </c>
      <c r="F640" t="inlineStr">
        <is>
          <t>Active</t>
        </is>
      </c>
      <c r="G640" t="inlineStr">
        <is>
          <t>Google</t>
        </is>
      </c>
      <c r="H640">
        <f>TEXT(C640,"mmm-yyyy")</f>
        <v/>
      </c>
      <c r="I640">
        <f>TEXT(D640,"mmm-yyyy")</f>
        <v/>
      </c>
      <c r="J640">
        <f>_xlfn.XLOOKUP(tbl_subscription[[#This Row],[Customer_ID]],tbl_clint[Customer_ID],tbl_clint[Country])</f>
        <v/>
      </c>
      <c r="K640">
        <f>_xlfn.XLOOKUP(tbl_subscription[[#This Row],[Customer_ID]],tbl_clint[[#This Row],[Customer_ID]],tbl_clint[[#This Row],[Industry]])</f>
        <v/>
      </c>
      <c r="L640">
        <f>_xlfn.XLOOKUP(tbl_subscription[[#This Row],[Customer_ID]],tbl_clint[[#This Row],[Customer_ID]],tbl_clint[[#This Row],[Company_Size]])</f>
        <v/>
      </c>
      <c r="M640">
        <f>YEAR(tbl_subscription[[#This Row],[Start_Date]])</f>
        <v/>
      </c>
    </row>
    <row r="641">
      <c r="A641" t="inlineStr">
        <is>
          <t>C0640</t>
        </is>
      </c>
      <c r="B641" t="inlineStr">
        <is>
          <t>Premium</t>
        </is>
      </c>
      <c r="C641" s="4" t="n">
        <v>43832</v>
      </c>
      <c r="D641" s="4" t="n">
        <v>44679</v>
      </c>
      <c r="E641" t="n">
        <v>40</v>
      </c>
      <c r="F641" t="inlineStr">
        <is>
          <t>Churned</t>
        </is>
      </c>
      <c r="G641" t="inlineStr">
        <is>
          <t>Google</t>
        </is>
      </c>
      <c r="H641">
        <f>TEXT(C641,"mmm-yyyy")</f>
        <v/>
      </c>
      <c r="I641">
        <f>TEXT(D641,"mmm-yyyy")</f>
        <v/>
      </c>
      <c r="J641">
        <f>_xlfn.XLOOKUP(tbl_subscription[[#This Row],[Customer_ID]],tbl_clint[Customer_ID],tbl_clint[Country])</f>
        <v/>
      </c>
      <c r="K641">
        <f>_xlfn.XLOOKUP(tbl_subscription[[#This Row],[Customer_ID]],tbl_clint[[#This Row],[Customer_ID]],tbl_clint[[#This Row],[Industry]])</f>
        <v/>
      </c>
      <c r="L641">
        <f>_xlfn.XLOOKUP(tbl_subscription[[#This Row],[Customer_ID]],tbl_clint[[#This Row],[Customer_ID]],tbl_clint[[#This Row],[Company_Size]])</f>
        <v/>
      </c>
      <c r="M641">
        <f>YEAR(tbl_subscription[[#This Row],[Start_Date]])</f>
        <v/>
      </c>
    </row>
    <row r="642">
      <c r="A642" t="inlineStr">
        <is>
          <t>C0641</t>
        </is>
      </c>
      <c r="B642" t="inlineStr">
        <is>
          <t>Basic</t>
        </is>
      </c>
      <c r="C642" s="4" t="n">
        <v>45228</v>
      </c>
      <c r="D642" s="4" t="n">
        <v>45657</v>
      </c>
      <c r="E642" t="n">
        <v>15</v>
      </c>
      <c r="F642" t="inlineStr">
        <is>
          <t>Active</t>
        </is>
      </c>
      <c r="G642" t="inlineStr">
        <is>
          <t>LinkedIn</t>
        </is>
      </c>
      <c r="H642">
        <f>TEXT(C642,"mmm-yyyy")</f>
        <v/>
      </c>
      <c r="I642">
        <f>TEXT(D642,"mmm-yyyy")</f>
        <v/>
      </c>
      <c r="J642">
        <f>_xlfn.XLOOKUP(tbl_subscription[[#This Row],[Customer_ID]],tbl_clint[Customer_ID],tbl_clint[Country])</f>
        <v/>
      </c>
      <c r="K642">
        <f>_xlfn.XLOOKUP(tbl_subscription[[#This Row],[Customer_ID]],tbl_clint[[#This Row],[Customer_ID]],tbl_clint[[#This Row],[Industry]])</f>
        <v/>
      </c>
      <c r="L642">
        <f>_xlfn.XLOOKUP(tbl_subscription[[#This Row],[Customer_ID]],tbl_clint[[#This Row],[Customer_ID]],tbl_clint[[#This Row],[Company_Size]])</f>
        <v/>
      </c>
      <c r="M642">
        <f>YEAR(tbl_subscription[[#This Row],[Start_Date]])</f>
        <v/>
      </c>
    </row>
    <row r="643">
      <c r="A643" t="inlineStr">
        <is>
          <t>C0642</t>
        </is>
      </c>
      <c r="B643" t="inlineStr">
        <is>
          <t>Basic</t>
        </is>
      </c>
      <c r="C643" s="4" t="n">
        <v>45446</v>
      </c>
      <c r="D643" s="4" t="n">
        <v>45657</v>
      </c>
      <c r="E643" t="n">
        <v>15</v>
      </c>
      <c r="F643" t="inlineStr">
        <is>
          <t>Active</t>
        </is>
      </c>
      <c r="G643" t="inlineStr">
        <is>
          <t>LinkedIn</t>
        </is>
      </c>
      <c r="H643">
        <f>TEXT(C643,"mmm-yyyy")</f>
        <v/>
      </c>
      <c r="I643">
        <f>TEXT(D643,"mmm-yyyy")</f>
        <v/>
      </c>
      <c r="J643">
        <f>_xlfn.XLOOKUP(tbl_subscription[[#This Row],[Customer_ID]],tbl_clint[Customer_ID],tbl_clint[Country])</f>
        <v/>
      </c>
      <c r="K643">
        <f>_xlfn.XLOOKUP(tbl_subscription[[#This Row],[Customer_ID]],tbl_clint[[#This Row],[Customer_ID]],tbl_clint[[#This Row],[Industry]])</f>
        <v/>
      </c>
      <c r="L643">
        <f>_xlfn.XLOOKUP(tbl_subscription[[#This Row],[Customer_ID]],tbl_clint[[#This Row],[Customer_ID]],tbl_clint[[#This Row],[Company_Size]])</f>
        <v/>
      </c>
      <c r="M643">
        <f>YEAR(tbl_subscription[[#This Row],[Start_Date]])</f>
        <v/>
      </c>
    </row>
    <row r="644">
      <c r="A644" t="inlineStr">
        <is>
          <t>C0643</t>
        </is>
      </c>
      <c r="B644" t="inlineStr">
        <is>
          <t>Basic</t>
        </is>
      </c>
      <c r="C644" s="4" t="n">
        <v>45029</v>
      </c>
      <c r="D644" s="4" t="n">
        <v>45657</v>
      </c>
      <c r="E644" t="n">
        <v>15</v>
      </c>
      <c r="F644" t="inlineStr">
        <is>
          <t>Active</t>
        </is>
      </c>
      <c r="G644" t="inlineStr">
        <is>
          <t>Google</t>
        </is>
      </c>
      <c r="H644">
        <f>TEXT(C644,"mmm-yyyy")</f>
        <v/>
      </c>
      <c r="I644">
        <f>TEXT(D644,"mmm-yyyy")</f>
        <v/>
      </c>
      <c r="J644">
        <f>_xlfn.XLOOKUP(tbl_subscription[[#This Row],[Customer_ID]],tbl_clint[Customer_ID],tbl_clint[Country])</f>
        <v/>
      </c>
      <c r="K644">
        <f>_xlfn.XLOOKUP(tbl_subscription[[#This Row],[Customer_ID]],tbl_clint[[#This Row],[Customer_ID]],tbl_clint[[#This Row],[Industry]])</f>
        <v/>
      </c>
      <c r="L644">
        <f>_xlfn.XLOOKUP(tbl_subscription[[#This Row],[Customer_ID]],tbl_clint[[#This Row],[Customer_ID]],tbl_clint[[#This Row],[Company_Size]])</f>
        <v/>
      </c>
      <c r="M644">
        <f>YEAR(tbl_subscription[[#This Row],[Start_Date]])</f>
        <v/>
      </c>
    </row>
    <row r="645">
      <c r="A645" t="inlineStr">
        <is>
          <t>C0644</t>
        </is>
      </c>
      <c r="B645" t="inlineStr">
        <is>
          <t>Basic</t>
        </is>
      </c>
      <c r="C645" s="4" t="n">
        <v>45137</v>
      </c>
      <c r="D645" s="4" t="n">
        <v>45657</v>
      </c>
      <c r="E645" t="n">
        <v>15</v>
      </c>
      <c r="F645" t="inlineStr">
        <is>
          <t>Churned</t>
        </is>
      </c>
      <c r="G645" t="inlineStr">
        <is>
          <t>Google</t>
        </is>
      </c>
      <c r="H645">
        <f>TEXT(C645,"mmm-yyyy")</f>
        <v/>
      </c>
      <c r="I645">
        <f>TEXT(D645,"mmm-yyyy")</f>
        <v/>
      </c>
      <c r="J645">
        <f>_xlfn.XLOOKUP(tbl_subscription[[#This Row],[Customer_ID]],tbl_clint[Customer_ID],tbl_clint[Country])</f>
        <v/>
      </c>
      <c r="K645">
        <f>_xlfn.XLOOKUP(tbl_subscription[[#This Row],[Customer_ID]],tbl_clint[[#This Row],[Customer_ID]],tbl_clint[[#This Row],[Industry]])</f>
        <v/>
      </c>
      <c r="L645">
        <f>_xlfn.XLOOKUP(tbl_subscription[[#This Row],[Customer_ID]],tbl_clint[[#This Row],[Customer_ID]],tbl_clint[[#This Row],[Company_Size]])</f>
        <v/>
      </c>
      <c r="M645">
        <f>YEAR(tbl_subscription[[#This Row],[Start_Date]])</f>
        <v/>
      </c>
    </row>
    <row r="646">
      <c r="A646" t="inlineStr">
        <is>
          <t>C0645</t>
        </is>
      </c>
      <c r="B646" t="inlineStr">
        <is>
          <t>Standard</t>
        </is>
      </c>
      <c r="C646" s="4" t="n">
        <v>45398</v>
      </c>
      <c r="D646" s="4" t="n">
        <v>45657</v>
      </c>
      <c r="E646" t="n">
        <v>25</v>
      </c>
      <c r="F646" t="inlineStr">
        <is>
          <t>Churned</t>
        </is>
      </c>
      <c r="G646" t="inlineStr">
        <is>
          <t>Referral</t>
        </is>
      </c>
      <c r="H646">
        <f>TEXT(C646,"mmm-yyyy")</f>
        <v/>
      </c>
      <c r="I646">
        <f>TEXT(D646,"mmm-yyyy")</f>
        <v/>
      </c>
      <c r="J646">
        <f>_xlfn.XLOOKUP(tbl_subscription[[#This Row],[Customer_ID]],tbl_clint[Customer_ID],tbl_clint[Country])</f>
        <v/>
      </c>
      <c r="K646">
        <f>_xlfn.XLOOKUP(tbl_subscription[[#This Row],[Customer_ID]],tbl_clint[[#This Row],[Customer_ID]],tbl_clint[[#This Row],[Industry]])</f>
        <v/>
      </c>
      <c r="L646">
        <f>_xlfn.XLOOKUP(tbl_subscription[[#This Row],[Customer_ID]],tbl_clint[[#This Row],[Customer_ID]],tbl_clint[[#This Row],[Company_Size]])</f>
        <v/>
      </c>
      <c r="M646">
        <f>YEAR(tbl_subscription[[#This Row],[Start_Date]])</f>
        <v/>
      </c>
    </row>
    <row r="647">
      <c r="A647" t="inlineStr">
        <is>
          <t>C0646</t>
        </is>
      </c>
      <c r="B647" t="inlineStr">
        <is>
          <t>Basic</t>
        </is>
      </c>
      <c r="C647" s="4" t="n">
        <v>44032</v>
      </c>
      <c r="D647" s="4" t="n">
        <v>45657</v>
      </c>
      <c r="E647" t="n">
        <v>15</v>
      </c>
      <c r="F647" t="inlineStr">
        <is>
          <t>Active</t>
        </is>
      </c>
      <c r="G647" t="inlineStr">
        <is>
          <t>LinkedIn</t>
        </is>
      </c>
      <c r="H647">
        <f>TEXT(C647,"mmm-yyyy")</f>
        <v/>
      </c>
      <c r="I647">
        <f>TEXT(D647,"mmm-yyyy")</f>
        <v/>
      </c>
      <c r="J647">
        <f>_xlfn.XLOOKUP(tbl_subscription[[#This Row],[Customer_ID]],tbl_clint[Customer_ID],tbl_clint[Country])</f>
        <v/>
      </c>
      <c r="K647">
        <f>_xlfn.XLOOKUP(tbl_subscription[[#This Row],[Customer_ID]],tbl_clint[[#This Row],[Customer_ID]],tbl_clint[[#This Row],[Industry]])</f>
        <v/>
      </c>
      <c r="L647">
        <f>_xlfn.XLOOKUP(tbl_subscription[[#This Row],[Customer_ID]],tbl_clint[[#This Row],[Customer_ID]],tbl_clint[[#This Row],[Company_Size]])</f>
        <v/>
      </c>
      <c r="M647">
        <f>YEAR(tbl_subscription[[#This Row],[Start_Date]])</f>
        <v/>
      </c>
    </row>
    <row r="648">
      <c r="A648" t="inlineStr">
        <is>
          <t>C0647</t>
        </is>
      </c>
      <c r="B648" t="inlineStr">
        <is>
          <t>Basic</t>
        </is>
      </c>
      <c r="C648" s="4" t="n">
        <v>44675</v>
      </c>
      <c r="D648" s="4" t="n">
        <v>45657</v>
      </c>
      <c r="E648" t="n">
        <v>15</v>
      </c>
      <c r="F648" t="inlineStr">
        <is>
          <t>Active</t>
        </is>
      </c>
      <c r="G648" t="inlineStr">
        <is>
          <t>LinkedIn</t>
        </is>
      </c>
      <c r="H648">
        <f>TEXT(C648,"mmm-yyyy")</f>
        <v/>
      </c>
      <c r="I648">
        <f>TEXT(D648,"mmm-yyyy")</f>
        <v/>
      </c>
      <c r="J648">
        <f>_xlfn.XLOOKUP(tbl_subscription[[#This Row],[Customer_ID]],tbl_clint[Customer_ID],tbl_clint[Country])</f>
        <v/>
      </c>
      <c r="K648">
        <f>_xlfn.XLOOKUP(tbl_subscription[[#This Row],[Customer_ID]],tbl_clint[[#This Row],[Customer_ID]],tbl_clint[[#This Row],[Industry]])</f>
        <v/>
      </c>
      <c r="L648">
        <f>_xlfn.XLOOKUP(tbl_subscription[[#This Row],[Customer_ID]],tbl_clint[[#This Row],[Customer_ID]],tbl_clint[[#This Row],[Company_Size]])</f>
        <v/>
      </c>
      <c r="M648">
        <f>YEAR(tbl_subscription[[#This Row],[Start_Date]])</f>
        <v/>
      </c>
    </row>
    <row r="649">
      <c r="A649" t="inlineStr">
        <is>
          <t>C0648</t>
        </is>
      </c>
      <c r="B649" t="inlineStr">
        <is>
          <t>Premium</t>
        </is>
      </c>
      <c r="C649" s="4" t="n">
        <v>45255</v>
      </c>
      <c r="D649" s="4" t="n">
        <v>45590</v>
      </c>
      <c r="E649" t="n">
        <v>40</v>
      </c>
      <c r="F649" t="inlineStr">
        <is>
          <t>Churned</t>
        </is>
      </c>
      <c r="G649" t="inlineStr">
        <is>
          <t>LinkedIn</t>
        </is>
      </c>
      <c r="H649">
        <f>TEXT(C649,"mmm-yyyy")</f>
        <v/>
      </c>
      <c r="I649">
        <f>TEXT(D649,"mmm-yyyy")</f>
        <v/>
      </c>
      <c r="J649">
        <f>_xlfn.XLOOKUP(tbl_subscription[[#This Row],[Customer_ID]],tbl_clint[Customer_ID],tbl_clint[Country])</f>
        <v/>
      </c>
      <c r="K649">
        <f>_xlfn.XLOOKUP(tbl_subscription[[#This Row],[Customer_ID]],tbl_clint[[#This Row],[Customer_ID]],tbl_clint[[#This Row],[Industry]])</f>
        <v/>
      </c>
      <c r="L649">
        <f>_xlfn.XLOOKUP(tbl_subscription[[#This Row],[Customer_ID]],tbl_clint[[#This Row],[Customer_ID]],tbl_clint[[#This Row],[Company_Size]])</f>
        <v/>
      </c>
      <c r="M649">
        <f>YEAR(tbl_subscription[[#This Row],[Start_Date]])</f>
        <v/>
      </c>
    </row>
    <row r="650">
      <c r="A650" t="inlineStr">
        <is>
          <t>C0649</t>
        </is>
      </c>
      <c r="B650" t="inlineStr">
        <is>
          <t>Premium</t>
        </is>
      </c>
      <c r="C650" s="4" t="n">
        <v>44215</v>
      </c>
      <c r="D650" s="4" t="n">
        <v>45657</v>
      </c>
      <c r="E650" t="n">
        <v>40</v>
      </c>
      <c r="F650" t="inlineStr">
        <is>
          <t>Active</t>
        </is>
      </c>
      <c r="G650" t="inlineStr">
        <is>
          <t>Instagram</t>
        </is>
      </c>
      <c r="H650">
        <f>TEXT(C650,"mmm-yyyy")</f>
        <v/>
      </c>
      <c r="I650">
        <f>TEXT(D650,"mmm-yyyy")</f>
        <v/>
      </c>
      <c r="J650">
        <f>_xlfn.XLOOKUP(tbl_subscription[[#This Row],[Customer_ID]],tbl_clint[Customer_ID],tbl_clint[Country])</f>
        <v/>
      </c>
      <c r="K650">
        <f>_xlfn.XLOOKUP(tbl_subscription[[#This Row],[Customer_ID]],tbl_clint[[#This Row],[Customer_ID]],tbl_clint[[#This Row],[Industry]])</f>
        <v/>
      </c>
      <c r="L650">
        <f>_xlfn.XLOOKUP(tbl_subscription[[#This Row],[Customer_ID]],tbl_clint[[#This Row],[Customer_ID]],tbl_clint[[#This Row],[Company_Size]])</f>
        <v/>
      </c>
      <c r="M650">
        <f>YEAR(tbl_subscription[[#This Row],[Start_Date]])</f>
        <v/>
      </c>
    </row>
    <row r="651">
      <c r="A651" t="inlineStr">
        <is>
          <t>C0650</t>
        </is>
      </c>
      <c r="B651" t="inlineStr">
        <is>
          <t>Basic</t>
        </is>
      </c>
      <c r="C651" s="4" t="n">
        <v>45318</v>
      </c>
      <c r="D651" s="4" t="n">
        <v>45657</v>
      </c>
      <c r="E651" t="n">
        <v>15</v>
      </c>
      <c r="F651" t="inlineStr">
        <is>
          <t>Churned</t>
        </is>
      </c>
      <c r="G651" t="inlineStr">
        <is>
          <t>Instagram</t>
        </is>
      </c>
      <c r="H651">
        <f>TEXT(C651,"mmm-yyyy")</f>
        <v/>
      </c>
      <c r="I651">
        <f>TEXT(D651,"mmm-yyyy")</f>
        <v/>
      </c>
      <c r="J651">
        <f>_xlfn.XLOOKUP(tbl_subscription[[#This Row],[Customer_ID]],tbl_clint[Customer_ID],tbl_clint[Country])</f>
        <v/>
      </c>
      <c r="K651">
        <f>_xlfn.XLOOKUP(tbl_subscription[[#This Row],[Customer_ID]],tbl_clint[[#This Row],[Customer_ID]],tbl_clint[[#This Row],[Industry]])</f>
        <v/>
      </c>
      <c r="L651">
        <f>_xlfn.XLOOKUP(tbl_subscription[[#This Row],[Customer_ID]],tbl_clint[[#This Row],[Customer_ID]],tbl_clint[[#This Row],[Company_Size]])</f>
        <v/>
      </c>
      <c r="M651">
        <f>YEAR(tbl_subscription[[#This Row],[Start_Date]])</f>
        <v/>
      </c>
    </row>
    <row r="652">
      <c r="A652" t="inlineStr">
        <is>
          <t>C0651</t>
        </is>
      </c>
      <c r="B652" t="inlineStr">
        <is>
          <t>Standard</t>
        </is>
      </c>
      <c r="C652" s="4" t="n">
        <v>44911</v>
      </c>
      <c r="D652" s="4" t="n">
        <v>45657</v>
      </c>
      <c r="E652" t="n">
        <v>25</v>
      </c>
      <c r="F652" t="inlineStr">
        <is>
          <t>Active</t>
        </is>
      </c>
      <c r="G652" t="inlineStr">
        <is>
          <t>Facebook</t>
        </is>
      </c>
      <c r="H652">
        <f>TEXT(C652,"mmm-yyyy")</f>
        <v/>
      </c>
      <c r="I652">
        <f>TEXT(D652,"mmm-yyyy")</f>
        <v/>
      </c>
      <c r="J652">
        <f>_xlfn.XLOOKUP(tbl_subscription[[#This Row],[Customer_ID]],tbl_clint[Customer_ID],tbl_clint[Country])</f>
        <v/>
      </c>
      <c r="K652">
        <f>_xlfn.XLOOKUP(tbl_subscription[[#This Row],[Customer_ID]],tbl_clint[[#This Row],[Customer_ID]],tbl_clint[[#This Row],[Industry]])</f>
        <v/>
      </c>
      <c r="L652">
        <f>_xlfn.XLOOKUP(tbl_subscription[[#This Row],[Customer_ID]],tbl_clint[[#This Row],[Customer_ID]],tbl_clint[[#This Row],[Company_Size]])</f>
        <v/>
      </c>
      <c r="M652">
        <f>YEAR(tbl_subscription[[#This Row],[Start_Date]])</f>
        <v/>
      </c>
    </row>
    <row r="653">
      <c r="A653" t="inlineStr">
        <is>
          <t>C0652</t>
        </is>
      </c>
      <c r="B653" t="inlineStr">
        <is>
          <t>Standard</t>
        </is>
      </c>
      <c r="C653" s="4" t="n">
        <v>43927</v>
      </c>
      <c r="D653" s="4" t="n">
        <v>45657</v>
      </c>
      <c r="E653" t="n">
        <v>25</v>
      </c>
      <c r="F653" t="inlineStr">
        <is>
          <t>Active</t>
        </is>
      </c>
      <c r="G653" t="inlineStr">
        <is>
          <t>Referral</t>
        </is>
      </c>
      <c r="H653">
        <f>TEXT(C653,"mmm-yyyy")</f>
        <v/>
      </c>
      <c r="I653">
        <f>TEXT(D653,"mmm-yyyy")</f>
        <v/>
      </c>
      <c r="J653">
        <f>_xlfn.XLOOKUP(tbl_subscription[[#This Row],[Customer_ID]],tbl_clint[Customer_ID],tbl_clint[Country])</f>
        <v/>
      </c>
      <c r="K653">
        <f>_xlfn.XLOOKUP(tbl_subscription[[#This Row],[Customer_ID]],tbl_clint[[#This Row],[Customer_ID]],tbl_clint[[#This Row],[Industry]])</f>
        <v/>
      </c>
      <c r="L653">
        <f>_xlfn.XLOOKUP(tbl_subscription[[#This Row],[Customer_ID]],tbl_clint[[#This Row],[Customer_ID]],tbl_clint[[#This Row],[Company_Size]])</f>
        <v/>
      </c>
      <c r="M653">
        <f>YEAR(tbl_subscription[[#This Row],[Start_Date]])</f>
        <v/>
      </c>
    </row>
    <row r="654">
      <c r="A654" t="inlineStr">
        <is>
          <t>C0653</t>
        </is>
      </c>
      <c r="B654" t="inlineStr">
        <is>
          <t>Premium</t>
        </is>
      </c>
      <c r="C654" s="4" t="n">
        <v>44355</v>
      </c>
      <c r="D654" s="4" t="n">
        <v>44884</v>
      </c>
      <c r="E654" t="n">
        <v>40</v>
      </c>
      <c r="F654" t="inlineStr">
        <is>
          <t>Churned</t>
        </is>
      </c>
      <c r="G654" t="inlineStr">
        <is>
          <t>Google</t>
        </is>
      </c>
      <c r="H654">
        <f>TEXT(C654,"mmm-yyyy")</f>
        <v/>
      </c>
      <c r="I654">
        <f>TEXT(D654,"mmm-yyyy")</f>
        <v/>
      </c>
      <c r="J654">
        <f>_xlfn.XLOOKUP(tbl_subscription[[#This Row],[Customer_ID]],tbl_clint[Customer_ID],tbl_clint[Country])</f>
        <v/>
      </c>
      <c r="K654">
        <f>_xlfn.XLOOKUP(tbl_subscription[[#This Row],[Customer_ID]],tbl_clint[[#This Row],[Customer_ID]],tbl_clint[[#This Row],[Industry]])</f>
        <v/>
      </c>
      <c r="L654">
        <f>_xlfn.XLOOKUP(tbl_subscription[[#This Row],[Customer_ID]],tbl_clint[[#This Row],[Customer_ID]],tbl_clint[[#This Row],[Company_Size]])</f>
        <v/>
      </c>
      <c r="M654">
        <f>YEAR(tbl_subscription[[#This Row],[Start_Date]])</f>
        <v/>
      </c>
    </row>
    <row r="655">
      <c r="A655" t="inlineStr">
        <is>
          <t>C0654</t>
        </is>
      </c>
      <c r="B655" t="inlineStr">
        <is>
          <t>Standard</t>
        </is>
      </c>
      <c r="C655" s="4" t="n">
        <v>44880</v>
      </c>
      <c r="D655" s="4" t="n">
        <v>45657</v>
      </c>
      <c r="E655" t="n">
        <v>25</v>
      </c>
      <c r="F655" t="inlineStr">
        <is>
          <t>Active</t>
        </is>
      </c>
      <c r="G655" t="inlineStr">
        <is>
          <t>Instagram</t>
        </is>
      </c>
      <c r="H655">
        <f>TEXT(C655,"mmm-yyyy")</f>
        <v/>
      </c>
      <c r="I655">
        <f>TEXT(D655,"mmm-yyyy")</f>
        <v/>
      </c>
      <c r="J655">
        <f>_xlfn.XLOOKUP(tbl_subscription[[#This Row],[Customer_ID]],tbl_clint[Customer_ID],tbl_clint[Country])</f>
        <v/>
      </c>
      <c r="K655">
        <f>_xlfn.XLOOKUP(tbl_subscription[[#This Row],[Customer_ID]],tbl_clint[[#This Row],[Customer_ID]],tbl_clint[[#This Row],[Industry]])</f>
        <v/>
      </c>
      <c r="L655">
        <f>_xlfn.XLOOKUP(tbl_subscription[[#This Row],[Customer_ID]],tbl_clint[[#This Row],[Customer_ID]],tbl_clint[[#This Row],[Company_Size]])</f>
        <v/>
      </c>
      <c r="M655">
        <f>YEAR(tbl_subscription[[#This Row],[Start_Date]])</f>
        <v/>
      </c>
    </row>
    <row r="656">
      <c r="A656" t="inlineStr">
        <is>
          <t>C0655</t>
        </is>
      </c>
      <c r="B656" t="inlineStr">
        <is>
          <t>Basic</t>
        </is>
      </c>
      <c r="C656" s="4" t="n">
        <v>45314</v>
      </c>
      <c r="D656" s="4" t="n">
        <v>45657</v>
      </c>
      <c r="E656" t="n">
        <v>15</v>
      </c>
      <c r="F656" t="inlineStr">
        <is>
          <t>Active</t>
        </is>
      </c>
      <c r="G656" t="inlineStr">
        <is>
          <t>LinkedIn</t>
        </is>
      </c>
      <c r="H656">
        <f>TEXT(C656,"mmm-yyyy")</f>
        <v/>
      </c>
      <c r="I656">
        <f>TEXT(D656,"mmm-yyyy")</f>
        <v/>
      </c>
      <c r="J656">
        <f>_xlfn.XLOOKUP(tbl_subscription[[#This Row],[Customer_ID]],tbl_clint[Customer_ID],tbl_clint[Country])</f>
        <v/>
      </c>
      <c r="K656">
        <f>_xlfn.XLOOKUP(tbl_subscription[[#This Row],[Customer_ID]],tbl_clint[[#This Row],[Customer_ID]],tbl_clint[[#This Row],[Industry]])</f>
        <v/>
      </c>
      <c r="L656">
        <f>_xlfn.XLOOKUP(tbl_subscription[[#This Row],[Customer_ID]],tbl_clint[[#This Row],[Customer_ID]],tbl_clint[[#This Row],[Company_Size]])</f>
        <v/>
      </c>
      <c r="M656">
        <f>YEAR(tbl_subscription[[#This Row],[Start_Date]])</f>
        <v/>
      </c>
    </row>
    <row r="657">
      <c r="A657" t="inlineStr">
        <is>
          <t>C0656</t>
        </is>
      </c>
      <c r="B657" t="inlineStr">
        <is>
          <t>Premium</t>
        </is>
      </c>
      <c r="C657" s="4" t="n">
        <v>44829</v>
      </c>
      <c r="D657" s="4" t="n">
        <v>44994</v>
      </c>
      <c r="E657" t="n">
        <v>40</v>
      </c>
      <c r="F657" t="inlineStr">
        <is>
          <t>Churned</t>
        </is>
      </c>
      <c r="G657" t="inlineStr">
        <is>
          <t>LinkedIn</t>
        </is>
      </c>
      <c r="H657">
        <f>TEXT(C657,"mmm-yyyy")</f>
        <v/>
      </c>
      <c r="I657">
        <f>TEXT(D657,"mmm-yyyy")</f>
        <v/>
      </c>
      <c r="J657">
        <f>_xlfn.XLOOKUP(tbl_subscription[[#This Row],[Customer_ID]],tbl_clint[Customer_ID],tbl_clint[Country])</f>
        <v/>
      </c>
      <c r="K657">
        <f>_xlfn.XLOOKUP(tbl_subscription[[#This Row],[Customer_ID]],tbl_clint[[#This Row],[Customer_ID]],tbl_clint[[#This Row],[Industry]])</f>
        <v/>
      </c>
      <c r="L657">
        <f>_xlfn.XLOOKUP(tbl_subscription[[#This Row],[Customer_ID]],tbl_clint[[#This Row],[Customer_ID]],tbl_clint[[#This Row],[Company_Size]])</f>
        <v/>
      </c>
      <c r="M657">
        <f>YEAR(tbl_subscription[[#This Row],[Start_Date]])</f>
        <v/>
      </c>
    </row>
    <row r="658">
      <c r="A658" t="inlineStr">
        <is>
          <t>C0657</t>
        </is>
      </c>
      <c r="B658" t="inlineStr">
        <is>
          <t>Basic</t>
        </is>
      </c>
      <c r="C658" s="4" t="n">
        <v>45168</v>
      </c>
      <c r="D658" s="4" t="n">
        <v>45657</v>
      </c>
      <c r="E658" t="n">
        <v>15</v>
      </c>
      <c r="F658" t="inlineStr">
        <is>
          <t>Churned</t>
        </is>
      </c>
      <c r="G658" t="inlineStr">
        <is>
          <t>Instagram</t>
        </is>
      </c>
      <c r="H658">
        <f>TEXT(C658,"mmm-yyyy")</f>
        <v/>
      </c>
      <c r="I658">
        <f>TEXT(D658,"mmm-yyyy")</f>
        <v/>
      </c>
      <c r="J658">
        <f>_xlfn.XLOOKUP(tbl_subscription[[#This Row],[Customer_ID]],tbl_clint[Customer_ID],tbl_clint[Country])</f>
        <v/>
      </c>
      <c r="K658">
        <f>_xlfn.XLOOKUP(tbl_subscription[[#This Row],[Customer_ID]],tbl_clint[[#This Row],[Customer_ID]],tbl_clint[[#This Row],[Industry]])</f>
        <v/>
      </c>
      <c r="L658">
        <f>_xlfn.XLOOKUP(tbl_subscription[[#This Row],[Customer_ID]],tbl_clint[[#This Row],[Customer_ID]],tbl_clint[[#This Row],[Company_Size]])</f>
        <v/>
      </c>
      <c r="M658">
        <f>YEAR(tbl_subscription[[#This Row],[Start_Date]])</f>
        <v/>
      </c>
    </row>
    <row r="659">
      <c r="A659" t="inlineStr">
        <is>
          <t>C0658</t>
        </is>
      </c>
      <c r="B659" t="inlineStr">
        <is>
          <t>Standard</t>
        </is>
      </c>
      <c r="C659" s="4" t="n">
        <v>45365</v>
      </c>
      <c r="D659" s="4" t="n">
        <v>45527</v>
      </c>
      <c r="E659" t="n">
        <v>25</v>
      </c>
      <c r="F659" t="inlineStr">
        <is>
          <t>Churned</t>
        </is>
      </c>
      <c r="G659" t="inlineStr">
        <is>
          <t>Facebook</t>
        </is>
      </c>
      <c r="H659">
        <f>TEXT(C659,"mmm-yyyy")</f>
        <v/>
      </c>
      <c r="I659">
        <f>TEXT(D659,"mmm-yyyy")</f>
        <v/>
      </c>
      <c r="J659">
        <f>_xlfn.XLOOKUP(tbl_subscription[[#This Row],[Customer_ID]],tbl_clint[Customer_ID],tbl_clint[Country])</f>
        <v/>
      </c>
      <c r="K659">
        <f>_xlfn.XLOOKUP(tbl_subscription[[#This Row],[Customer_ID]],tbl_clint[[#This Row],[Customer_ID]],tbl_clint[[#This Row],[Industry]])</f>
        <v/>
      </c>
      <c r="L659">
        <f>_xlfn.XLOOKUP(tbl_subscription[[#This Row],[Customer_ID]],tbl_clint[[#This Row],[Customer_ID]],tbl_clint[[#This Row],[Company_Size]])</f>
        <v/>
      </c>
      <c r="M659">
        <f>YEAR(tbl_subscription[[#This Row],[Start_Date]])</f>
        <v/>
      </c>
    </row>
    <row r="660">
      <c r="A660" t="inlineStr">
        <is>
          <t>C0659</t>
        </is>
      </c>
      <c r="B660" t="inlineStr">
        <is>
          <t>Standard</t>
        </is>
      </c>
      <c r="C660" s="4" t="n">
        <v>45456</v>
      </c>
      <c r="D660" s="4" t="n">
        <v>45657</v>
      </c>
      <c r="E660" t="n">
        <v>25</v>
      </c>
      <c r="F660" t="inlineStr">
        <is>
          <t>Active</t>
        </is>
      </c>
      <c r="G660" t="inlineStr">
        <is>
          <t>LinkedIn</t>
        </is>
      </c>
      <c r="H660">
        <f>TEXT(C660,"mmm-yyyy")</f>
        <v/>
      </c>
      <c r="I660">
        <f>TEXT(D660,"mmm-yyyy")</f>
        <v/>
      </c>
      <c r="J660">
        <f>_xlfn.XLOOKUP(tbl_subscription[[#This Row],[Customer_ID]],tbl_clint[Customer_ID],tbl_clint[Country])</f>
        <v/>
      </c>
      <c r="K660">
        <f>_xlfn.XLOOKUP(tbl_subscription[[#This Row],[Customer_ID]],tbl_clint[[#This Row],[Customer_ID]],tbl_clint[[#This Row],[Industry]])</f>
        <v/>
      </c>
      <c r="L660">
        <f>_xlfn.XLOOKUP(tbl_subscription[[#This Row],[Customer_ID]],tbl_clint[[#This Row],[Customer_ID]],tbl_clint[[#This Row],[Company_Size]])</f>
        <v/>
      </c>
      <c r="M660">
        <f>YEAR(tbl_subscription[[#This Row],[Start_Date]])</f>
        <v/>
      </c>
    </row>
    <row r="661">
      <c r="A661" t="inlineStr">
        <is>
          <t>C0660</t>
        </is>
      </c>
      <c r="B661" t="inlineStr">
        <is>
          <t>Premium</t>
        </is>
      </c>
      <c r="C661" s="4" t="n">
        <v>44729</v>
      </c>
      <c r="D661" s="4" t="n">
        <v>45657</v>
      </c>
      <c r="E661" t="n">
        <v>40</v>
      </c>
      <c r="F661" t="inlineStr">
        <is>
          <t>Active</t>
        </is>
      </c>
      <c r="G661" t="inlineStr">
        <is>
          <t>Instagram</t>
        </is>
      </c>
      <c r="H661">
        <f>TEXT(C661,"mmm-yyyy")</f>
        <v/>
      </c>
      <c r="I661">
        <f>TEXT(D661,"mmm-yyyy")</f>
        <v/>
      </c>
      <c r="J661">
        <f>_xlfn.XLOOKUP(tbl_subscription[[#This Row],[Customer_ID]],tbl_clint[Customer_ID],tbl_clint[Country])</f>
        <v/>
      </c>
      <c r="K661">
        <f>_xlfn.XLOOKUP(tbl_subscription[[#This Row],[Customer_ID]],tbl_clint[[#This Row],[Customer_ID]],tbl_clint[[#This Row],[Industry]])</f>
        <v/>
      </c>
      <c r="L661">
        <f>_xlfn.XLOOKUP(tbl_subscription[[#This Row],[Customer_ID]],tbl_clint[[#This Row],[Customer_ID]],tbl_clint[[#This Row],[Company_Size]])</f>
        <v/>
      </c>
      <c r="M661">
        <f>YEAR(tbl_subscription[[#This Row],[Start_Date]])</f>
        <v/>
      </c>
    </row>
    <row r="662">
      <c r="A662" t="inlineStr">
        <is>
          <t>C0661</t>
        </is>
      </c>
      <c r="B662" t="inlineStr">
        <is>
          <t>Basic</t>
        </is>
      </c>
      <c r="C662" s="4" t="n">
        <v>44797</v>
      </c>
      <c r="D662" s="4" t="n">
        <v>45657</v>
      </c>
      <c r="E662" t="n">
        <v>15</v>
      </c>
      <c r="F662" t="inlineStr">
        <is>
          <t>Active</t>
        </is>
      </c>
      <c r="G662" t="inlineStr">
        <is>
          <t>LinkedIn</t>
        </is>
      </c>
      <c r="H662">
        <f>TEXT(C662,"mmm-yyyy")</f>
        <v/>
      </c>
      <c r="I662">
        <f>TEXT(D662,"mmm-yyyy")</f>
        <v/>
      </c>
      <c r="J662">
        <f>_xlfn.XLOOKUP(tbl_subscription[[#This Row],[Customer_ID]],tbl_clint[Customer_ID],tbl_clint[Country])</f>
        <v/>
      </c>
      <c r="K662">
        <f>_xlfn.XLOOKUP(tbl_subscription[[#This Row],[Customer_ID]],tbl_clint[[#This Row],[Customer_ID]],tbl_clint[[#This Row],[Industry]])</f>
        <v/>
      </c>
      <c r="L662">
        <f>_xlfn.XLOOKUP(tbl_subscription[[#This Row],[Customer_ID]],tbl_clint[[#This Row],[Customer_ID]],tbl_clint[[#This Row],[Company_Size]])</f>
        <v/>
      </c>
      <c r="M662">
        <f>YEAR(tbl_subscription[[#This Row],[Start_Date]])</f>
        <v/>
      </c>
    </row>
    <row r="663">
      <c r="A663" t="inlineStr">
        <is>
          <t>C0662</t>
        </is>
      </c>
      <c r="B663" t="inlineStr">
        <is>
          <t>Premium</t>
        </is>
      </c>
      <c r="C663" s="4" t="n">
        <v>45200</v>
      </c>
      <c r="D663" s="4" t="n">
        <v>45657</v>
      </c>
      <c r="E663" t="n">
        <v>40</v>
      </c>
      <c r="F663" t="inlineStr">
        <is>
          <t>Active</t>
        </is>
      </c>
      <c r="G663" t="inlineStr">
        <is>
          <t>Facebook</t>
        </is>
      </c>
      <c r="H663">
        <f>TEXT(C663,"mmm-yyyy")</f>
        <v/>
      </c>
      <c r="I663">
        <f>TEXT(D663,"mmm-yyyy")</f>
        <v/>
      </c>
      <c r="J663">
        <f>_xlfn.XLOOKUP(tbl_subscription[[#This Row],[Customer_ID]],tbl_clint[Customer_ID],tbl_clint[Country])</f>
        <v/>
      </c>
      <c r="K663">
        <f>_xlfn.XLOOKUP(tbl_subscription[[#This Row],[Customer_ID]],tbl_clint[[#This Row],[Customer_ID]],tbl_clint[[#This Row],[Industry]])</f>
        <v/>
      </c>
      <c r="L663">
        <f>_xlfn.XLOOKUP(tbl_subscription[[#This Row],[Customer_ID]],tbl_clint[[#This Row],[Customer_ID]],tbl_clint[[#This Row],[Company_Size]])</f>
        <v/>
      </c>
      <c r="M663">
        <f>YEAR(tbl_subscription[[#This Row],[Start_Date]])</f>
        <v/>
      </c>
    </row>
    <row r="664">
      <c r="A664" t="inlineStr">
        <is>
          <t>C0663</t>
        </is>
      </c>
      <c r="B664" t="inlineStr">
        <is>
          <t>Standard</t>
        </is>
      </c>
      <c r="C664" s="4" t="n">
        <v>44202</v>
      </c>
      <c r="D664" s="4" t="n">
        <v>45657</v>
      </c>
      <c r="E664" t="n">
        <v>25</v>
      </c>
      <c r="F664" t="inlineStr">
        <is>
          <t>Active</t>
        </is>
      </c>
      <c r="G664" t="inlineStr">
        <is>
          <t>Referral</t>
        </is>
      </c>
      <c r="H664">
        <f>TEXT(C664,"mmm-yyyy")</f>
        <v/>
      </c>
      <c r="I664">
        <f>TEXT(D664,"mmm-yyyy")</f>
        <v/>
      </c>
      <c r="J664">
        <f>_xlfn.XLOOKUP(tbl_subscription[[#This Row],[Customer_ID]],tbl_clint[Customer_ID],tbl_clint[Country])</f>
        <v/>
      </c>
      <c r="K664">
        <f>_xlfn.XLOOKUP(tbl_subscription[[#This Row],[Customer_ID]],tbl_clint[[#This Row],[Customer_ID]],tbl_clint[[#This Row],[Industry]])</f>
        <v/>
      </c>
      <c r="L664">
        <f>_xlfn.XLOOKUP(tbl_subscription[[#This Row],[Customer_ID]],tbl_clint[[#This Row],[Customer_ID]],tbl_clint[[#This Row],[Company_Size]])</f>
        <v/>
      </c>
      <c r="M664">
        <f>YEAR(tbl_subscription[[#This Row],[Start_Date]])</f>
        <v/>
      </c>
    </row>
    <row r="665">
      <c r="A665" t="inlineStr">
        <is>
          <t>C0664</t>
        </is>
      </c>
      <c r="B665" t="inlineStr">
        <is>
          <t>Standard</t>
        </is>
      </c>
      <c r="C665" s="4" t="n">
        <v>44518</v>
      </c>
      <c r="D665" s="4" t="n">
        <v>45657</v>
      </c>
      <c r="E665" t="n">
        <v>25</v>
      </c>
      <c r="F665" t="inlineStr">
        <is>
          <t>Active</t>
        </is>
      </c>
      <c r="G665" t="inlineStr">
        <is>
          <t>Referral</t>
        </is>
      </c>
      <c r="H665">
        <f>TEXT(C665,"mmm-yyyy")</f>
        <v/>
      </c>
      <c r="I665">
        <f>TEXT(D665,"mmm-yyyy")</f>
        <v/>
      </c>
      <c r="J665">
        <f>_xlfn.XLOOKUP(tbl_subscription[[#This Row],[Customer_ID]],tbl_clint[Customer_ID],tbl_clint[Country])</f>
        <v/>
      </c>
      <c r="K665">
        <f>_xlfn.XLOOKUP(tbl_subscription[[#This Row],[Customer_ID]],tbl_clint[[#This Row],[Customer_ID]],tbl_clint[[#This Row],[Industry]])</f>
        <v/>
      </c>
      <c r="L665">
        <f>_xlfn.XLOOKUP(tbl_subscription[[#This Row],[Customer_ID]],tbl_clint[[#This Row],[Customer_ID]],tbl_clint[[#This Row],[Company_Size]])</f>
        <v/>
      </c>
      <c r="M665">
        <f>YEAR(tbl_subscription[[#This Row],[Start_Date]])</f>
        <v/>
      </c>
    </row>
    <row r="666">
      <c r="A666" t="inlineStr">
        <is>
          <t>C0665</t>
        </is>
      </c>
      <c r="B666" t="inlineStr">
        <is>
          <t>Basic</t>
        </is>
      </c>
      <c r="C666" s="4" t="n">
        <v>44881</v>
      </c>
      <c r="D666" s="4" t="n">
        <v>45657</v>
      </c>
      <c r="E666" t="n">
        <v>15</v>
      </c>
      <c r="F666" t="inlineStr">
        <is>
          <t>Active</t>
        </is>
      </c>
      <c r="G666" t="inlineStr">
        <is>
          <t>Facebook</t>
        </is>
      </c>
      <c r="H666">
        <f>TEXT(C666,"mmm-yyyy")</f>
        <v/>
      </c>
      <c r="I666">
        <f>TEXT(D666,"mmm-yyyy")</f>
        <v/>
      </c>
      <c r="J666">
        <f>_xlfn.XLOOKUP(tbl_subscription[[#This Row],[Customer_ID]],tbl_clint[Customer_ID],tbl_clint[Country])</f>
        <v/>
      </c>
      <c r="K666">
        <f>_xlfn.XLOOKUP(tbl_subscription[[#This Row],[Customer_ID]],tbl_clint[[#This Row],[Customer_ID]],tbl_clint[[#This Row],[Industry]])</f>
        <v/>
      </c>
      <c r="L666">
        <f>_xlfn.XLOOKUP(tbl_subscription[[#This Row],[Customer_ID]],tbl_clint[[#This Row],[Customer_ID]],tbl_clint[[#This Row],[Company_Size]])</f>
        <v/>
      </c>
      <c r="M666">
        <f>YEAR(tbl_subscription[[#This Row],[Start_Date]])</f>
        <v/>
      </c>
    </row>
    <row r="667">
      <c r="A667" t="inlineStr">
        <is>
          <t>C0666</t>
        </is>
      </c>
      <c r="B667" t="inlineStr">
        <is>
          <t>Standard</t>
        </is>
      </c>
      <c r="C667" s="4" t="n">
        <v>44366</v>
      </c>
      <c r="D667" s="4" t="n">
        <v>45016</v>
      </c>
      <c r="E667" t="n">
        <v>25</v>
      </c>
      <c r="F667" t="inlineStr">
        <is>
          <t>Churned</t>
        </is>
      </c>
      <c r="G667" t="inlineStr">
        <is>
          <t>Instagram</t>
        </is>
      </c>
      <c r="H667">
        <f>TEXT(C667,"mmm-yyyy")</f>
        <v/>
      </c>
      <c r="I667">
        <f>TEXT(D667,"mmm-yyyy")</f>
        <v/>
      </c>
      <c r="J667">
        <f>_xlfn.XLOOKUP(tbl_subscription[[#This Row],[Customer_ID]],tbl_clint[Customer_ID],tbl_clint[Country])</f>
        <v/>
      </c>
      <c r="K667">
        <f>_xlfn.XLOOKUP(tbl_subscription[[#This Row],[Customer_ID]],tbl_clint[[#This Row],[Customer_ID]],tbl_clint[[#This Row],[Industry]])</f>
        <v/>
      </c>
      <c r="L667">
        <f>_xlfn.XLOOKUP(tbl_subscription[[#This Row],[Customer_ID]],tbl_clint[[#This Row],[Customer_ID]],tbl_clint[[#This Row],[Company_Size]])</f>
        <v/>
      </c>
      <c r="M667">
        <f>YEAR(tbl_subscription[[#This Row],[Start_Date]])</f>
        <v/>
      </c>
    </row>
    <row r="668">
      <c r="A668" t="inlineStr">
        <is>
          <t>C0667</t>
        </is>
      </c>
      <c r="B668" t="inlineStr">
        <is>
          <t>Premium</t>
        </is>
      </c>
      <c r="C668" s="4" t="n">
        <v>45302</v>
      </c>
      <c r="D668" s="4" t="n">
        <v>45657</v>
      </c>
      <c r="E668" t="n">
        <v>40</v>
      </c>
      <c r="F668" t="inlineStr">
        <is>
          <t>Active</t>
        </is>
      </c>
      <c r="G668" t="inlineStr">
        <is>
          <t>Google</t>
        </is>
      </c>
      <c r="H668">
        <f>TEXT(C668,"mmm-yyyy")</f>
        <v/>
      </c>
      <c r="I668">
        <f>TEXT(D668,"mmm-yyyy")</f>
        <v/>
      </c>
      <c r="J668">
        <f>_xlfn.XLOOKUP(tbl_subscription[[#This Row],[Customer_ID]],tbl_clint[Customer_ID],tbl_clint[Country])</f>
        <v/>
      </c>
      <c r="K668">
        <f>_xlfn.XLOOKUP(tbl_subscription[[#This Row],[Customer_ID]],tbl_clint[[#This Row],[Customer_ID]],tbl_clint[[#This Row],[Industry]])</f>
        <v/>
      </c>
      <c r="L668">
        <f>_xlfn.XLOOKUP(tbl_subscription[[#This Row],[Customer_ID]],tbl_clint[[#This Row],[Customer_ID]],tbl_clint[[#This Row],[Company_Size]])</f>
        <v/>
      </c>
      <c r="M668">
        <f>YEAR(tbl_subscription[[#This Row],[Start_Date]])</f>
        <v/>
      </c>
    </row>
    <row r="669">
      <c r="A669" t="inlineStr">
        <is>
          <t>C0668</t>
        </is>
      </c>
      <c r="B669" t="inlineStr">
        <is>
          <t>Standard</t>
        </is>
      </c>
      <c r="C669" s="4" t="n">
        <v>43837</v>
      </c>
      <c r="D669" s="4" t="n">
        <v>45657</v>
      </c>
      <c r="E669" t="n">
        <v>25</v>
      </c>
      <c r="F669" t="inlineStr">
        <is>
          <t>Active</t>
        </is>
      </c>
      <c r="G669" t="inlineStr">
        <is>
          <t>Facebook</t>
        </is>
      </c>
      <c r="H669">
        <f>TEXT(C669,"mmm-yyyy")</f>
        <v/>
      </c>
      <c r="I669">
        <f>TEXT(D669,"mmm-yyyy")</f>
        <v/>
      </c>
      <c r="J669">
        <f>_xlfn.XLOOKUP(tbl_subscription[[#This Row],[Customer_ID]],tbl_clint[Customer_ID],tbl_clint[Country])</f>
        <v/>
      </c>
      <c r="K669">
        <f>_xlfn.XLOOKUP(tbl_subscription[[#This Row],[Customer_ID]],tbl_clint[[#This Row],[Customer_ID]],tbl_clint[[#This Row],[Industry]])</f>
        <v/>
      </c>
      <c r="L669">
        <f>_xlfn.XLOOKUP(tbl_subscription[[#This Row],[Customer_ID]],tbl_clint[[#This Row],[Customer_ID]],tbl_clint[[#This Row],[Company_Size]])</f>
        <v/>
      </c>
      <c r="M669">
        <f>YEAR(tbl_subscription[[#This Row],[Start_Date]])</f>
        <v/>
      </c>
    </row>
    <row r="670">
      <c r="A670" t="inlineStr">
        <is>
          <t>C0669</t>
        </is>
      </c>
      <c r="B670" t="inlineStr">
        <is>
          <t>Basic</t>
        </is>
      </c>
      <c r="C670" s="4" t="n">
        <v>44664</v>
      </c>
      <c r="D670" s="4" t="n">
        <v>45657</v>
      </c>
      <c r="E670" t="n">
        <v>15</v>
      </c>
      <c r="F670" t="inlineStr">
        <is>
          <t>Active</t>
        </is>
      </c>
      <c r="G670" t="inlineStr">
        <is>
          <t>Google</t>
        </is>
      </c>
      <c r="H670">
        <f>TEXT(C670,"mmm-yyyy")</f>
        <v/>
      </c>
      <c r="I670">
        <f>TEXT(D670,"mmm-yyyy")</f>
        <v/>
      </c>
      <c r="J670">
        <f>_xlfn.XLOOKUP(tbl_subscription[[#This Row],[Customer_ID]],tbl_clint[Customer_ID],tbl_clint[Country])</f>
        <v/>
      </c>
      <c r="K670">
        <f>_xlfn.XLOOKUP(tbl_subscription[[#This Row],[Customer_ID]],tbl_clint[[#This Row],[Customer_ID]],tbl_clint[[#This Row],[Industry]])</f>
        <v/>
      </c>
      <c r="L670">
        <f>_xlfn.XLOOKUP(tbl_subscription[[#This Row],[Customer_ID]],tbl_clint[[#This Row],[Customer_ID]],tbl_clint[[#This Row],[Company_Size]])</f>
        <v/>
      </c>
      <c r="M670">
        <f>YEAR(tbl_subscription[[#This Row],[Start_Date]])</f>
        <v/>
      </c>
    </row>
    <row r="671">
      <c r="A671" t="inlineStr">
        <is>
          <t>C0670</t>
        </is>
      </c>
      <c r="B671" t="inlineStr">
        <is>
          <t>Premium</t>
        </is>
      </c>
      <c r="C671" s="4" t="n">
        <v>44131</v>
      </c>
      <c r="D671" s="4" t="n">
        <v>44770</v>
      </c>
      <c r="E671" t="n">
        <v>40</v>
      </c>
      <c r="F671" t="inlineStr">
        <is>
          <t>Churned</t>
        </is>
      </c>
      <c r="G671" t="inlineStr">
        <is>
          <t>LinkedIn</t>
        </is>
      </c>
      <c r="H671">
        <f>TEXT(C671,"mmm-yyyy")</f>
        <v/>
      </c>
      <c r="I671">
        <f>TEXT(D671,"mmm-yyyy")</f>
        <v/>
      </c>
      <c r="J671">
        <f>_xlfn.XLOOKUP(tbl_subscription[[#This Row],[Customer_ID]],tbl_clint[Customer_ID],tbl_clint[Country])</f>
        <v/>
      </c>
      <c r="K671">
        <f>_xlfn.XLOOKUP(tbl_subscription[[#This Row],[Customer_ID]],tbl_clint[[#This Row],[Customer_ID]],tbl_clint[[#This Row],[Industry]])</f>
        <v/>
      </c>
      <c r="L671">
        <f>_xlfn.XLOOKUP(tbl_subscription[[#This Row],[Customer_ID]],tbl_clint[[#This Row],[Customer_ID]],tbl_clint[[#This Row],[Company_Size]])</f>
        <v/>
      </c>
      <c r="M671">
        <f>YEAR(tbl_subscription[[#This Row],[Start_Date]])</f>
        <v/>
      </c>
    </row>
    <row r="672">
      <c r="A672" t="inlineStr">
        <is>
          <t>C0671</t>
        </is>
      </c>
      <c r="B672" t="inlineStr">
        <is>
          <t>Premium</t>
        </is>
      </c>
      <c r="C672" s="4" t="n">
        <v>45154</v>
      </c>
      <c r="D672" s="4" t="n">
        <v>45657</v>
      </c>
      <c r="E672" t="n">
        <v>40</v>
      </c>
      <c r="F672" t="inlineStr">
        <is>
          <t>Active</t>
        </is>
      </c>
      <c r="G672" t="inlineStr">
        <is>
          <t>Google</t>
        </is>
      </c>
      <c r="H672">
        <f>TEXT(C672,"mmm-yyyy")</f>
        <v/>
      </c>
      <c r="I672">
        <f>TEXT(D672,"mmm-yyyy")</f>
        <v/>
      </c>
      <c r="J672">
        <f>_xlfn.XLOOKUP(tbl_subscription[[#This Row],[Customer_ID]],tbl_clint[Customer_ID],tbl_clint[Country])</f>
        <v/>
      </c>
      <c r="K672">
        <f>_xlfn.XLOOKUP(tbl_subscription[[#This Row],[Customer_ID]],tbl_clint[[#This Row],[Customer_ID]],tbl_clint[[#This Row],[Industry]])</f>
        <v/>
      </c>
      <c r="L672">
        <f>_xlfn.XLOOKUP(tbl_subscription[[#This Row],[Customer_ID]],tbl_clint[[#This Row],[Customer_ID]],tbl_clint[[#This Row],[Company_Size]])</f>
        <v/>
      </c>
      <c r="M672">
        <f>YEAR(tbl_subscription[[#This Row],[Start_Date]])</f>
        <v/>
      </c>
    </row>
    <row r="673">
      <c r="A673" t="inlineStr">
        <is>
          <t>C0672</t>
        </is>
      </c>
      <c r="B673" t="inlineStr">
        <is>
          <t>Premium</t>
        </is>
      </c>
      <c r="C673" s="4" t="n">
        <v>44367</v>
      </c>
      <c r="D673" s="4" t="n">
        <v>45657</v>
      </c>
      <c r="E673" t="n">
        <v>40</v>
      </c>
      <c r="F673" t="inlineStr">
        <is>
          <t>Active</t>
        </is>
      </c>
      <c r="G673" t="inlineStr">
        <is>
          <t>LinkedIn</t>
        </is>
      </c>
      <c r="H673">
        <f>TEXT(C673,"mmm-yyyy")</f>
        <v/>
      </c>
      <c r="I673">
        <f>TEXT(D673,"mmm-yyyy")</f>
        <v/>
      </c>
      <c r="J673">
        <f>_xlfn.XLOOKUP(tbl_subscription[[#This Row],[Customer_ID]],tbl_clint[Customer_ID],tbl_clint[Country])</f>
        <v/>
      </c>
      <c r="K673">
        <f>_xlfn.XLOOKUP(tbl_subscription[[#This Row],[Customer_ID]],tbl_clint[[#This Row],[Customer_ID]],tbl_clint[[#This Row],[Industry]])</f>
        <v/>
      </c>
      <c r="L673">
        <f>_xlfn.XLOOKUP(tbl_subscription[[#This Row],[Customer_ID]],tbl_clint[[#This Row],[Customer_ID]],tbl_clint[[#This Row],[Company_Size]])</f>
        <v/>
      </c>
      <c r="M673">
        <f>YEAR(tbl_subscription[[#This Row],[Start_Date]])</f>
        <v/>
      </c>
    </row>
    <row r="674">
      <c r="A674" t="inlineStr">
        <is>
          <t>C0673</t>
        </is>
      </c>
      <c r="B674" t="inlineStr">
        <is>
          <t>Standard</t>
        </is>
      </c>
      <c r="C674" s="4" t="n">
        <v>44745</v>
      </c>
      <c r="D674" s="4" t="n">
        <v>45657</v>
      </c>
      <c r="E674" t="n">
        <v>25</v>
      </c>
      <c r="F674" t="inlineStr">
        <is>
          <t>Active</t>
        </is>
      </c>
      <c r="G674" t="inlineStr">
        <is>
          <t>Google</t>
        </is>
      </c>
      <c r="H674">
        <f>TEXT(C674,"mmm-yyyy")</f>
        <v/>
      </c>
      <c r="I674">
        <f>TEXT(D674,"mmm-yyyy")</f>
        <v/>
      </c>
      <c r="J674">
        <f>_xlfn.XLOOKUP(tbl_subscription[[#This Row],[Customer_ID]],tbl_clint[Customer_ID],tbl_clint[Country])</f>
        <v/>
      </c>
      <c r="K674">
        <f>_xlfn.XLOOKUP(tbl_subscription[[#This Row],[Customer_ID]],tbl_clint[[#This Row],[Customer_ID]],tbl_clint[[#This Row],[Industry]])</f>
        <v/>
      </c>
      <c r="L674">
        <f>_xlfn.XLOOKUP(tbl_subscription[[#This Row],[Customer_ID]],tbl_clint[[#This Row],[Customer_ID]],tbl_clint[[#This Row],[Company_Size]])</f>
        <v/>
      </c>
      <c r="M674">
        <f>YEAR(tbl_subscription[[#This Row],[Start_Date]])</f>
        <v/>
      </c>
    </row>
    <row r="675">
      <c r="A675" t="inlineStr">
        <is>
          <t>C0674</t>
        </is>
      </c>
      <c r="B675" t="inlineStr">
        <is>
          <t>Basic</t>
        </is>
      </c>
      <c r="C675" s="4" t="n">
        <v>44149</v>
      </c>
      <c r="D675" s="4" t="n">
        <v>45657</v>
      </c>
      <c r="E675" t="n">
        <v>15</v>
      </c>
      <c r="F675" t="inlineStr">
        <is>
          <t>Active</t>
        </is>
      </c>
      <c r="G675" t="inlineStr">
        <is>
          <t>Facebook</t>
        </is>
      </c>
      <c r="H675">
        <f>TEXT(C675,"mmm-yyyy")</f>
        <v/>
      </c>
      <c r="I675">
        <f>TEXT(D675,"mmm-yyyy")</f>
        <v/>
      </c>
      <c r="J675">
        <f>_xlfn.XLOOKUP(tbl_subscription[[#This Row],[Customer_ID]],tbl_clint[Customer_ID],tbl_clint[Country])</f>
        <v/>
      </c>
      <c r="K675">
        <f>_xlfn.XLOOKUP(tbl_subscription[[#This Row],[Customer_ID]],tbl_clint[[#This Row],[Customer_ID]],tbl_clint[[#This Row],[Industry]])</f>
        <v/>
      </c>
      <c r="L675">
        <f>_xlfn.XLOOKUP(tbl_subscription[[#This Row],[Customer_ID]],tbl_clint[[#This Row],[Customer_ID]],tbl_clint[[#This Row],[Company_Size]])</f>
        <v/>
      </c>
      <c r="M675">
        <f>YEAR(tbl_subscription[[#This Row],[Start_Date]])</f>
        <v/>
      </c>
    </row>
    <row r="676">
      <c r="A676" t="inlineStr">
        <is>
          <t>C0675</t>
        </is>
      </c>
      <c r="B676" t="inlineStr">
        <is>
          <t>Premium</t>
        </is>
      </c>
      <c r="C676" s="4" t="n">
        <v>44124</v>
      </c>
      <c r="D676" s="4" t="n">
        <v>45657</v>
      </c>
      <c r="E676" t="n">
        <v>40</v>
      </c>
      <c r="F676" t="inlineStr">
        <is>
          <t>Active</t>
        </is>
      </c>
      <c r="G676" t="inlineStr">
        <is>
          <t>Referral</t>
        </is>
      </c>
      <c r="H676">
        <f>TEXT(C676,"mmm-yyyy")</f>
        <v/>
      </c>
      <c r="I676">
        <f>TEXT(D676,"mmm-yyyy")</f>
        <v/>
      </c>
      <c r="J676">
        <f>_xlfn.XLOOKUP(tbl_subscription[[#This Row],[Customer_ID]],tbl_clint[Customer_ID],tbl_clint[Country])</f>
        <v/>
      </c>
      <c r="K676">
        <f>_xlfn.XLOOKUP(tbl_subscription[[#This Row],[Customer_ID]],tbl_clint[[#This Row],[Customer_ID]],tbl_clint[[#This Row],[Industry]])</f>
        <v/>
      </c>
      <c r="L676">
        <f>_xlfn.XLOOKUP(tbl_subscription[[#This Row],[Customer_ID]],tbl_clint[[#This Row],[Customer_ID]],tbl_clint[[#This Row],[Company_Size]])</f>
        <v/>
      </c>
      <c r="M676">
        <f>YEAR(tbl_subscription[[#This Row],[Start_Date]])</f>
        <v/>
      </c>
    </row>
    <row r="677">
      <c r="A677" t="inlineStr">
        <is>
          <t>C0676</t>
        </is>
      </c>
      <c r="B677" t="inlineStr">
        <is>
          <t>Premium</t>
        </is>
      </c>
      <c r="C677" s="4" t="n">
        <v>43862</v>
      </c>
      <c r="D677" s="4" t="n">
        <v>44572</v>
      </c>
      <c r="E677" t="n">
        <v>40</v>
      </c>
      <c r="F677" t="inlineStr">
        <is>
          <t>Churned</t>
        </is>
      </c>
      <c r="G677" t="inlineStr">
        <is>
          <t>Referral</t>
        </is>
      </c>
      <c r="H677">
        <f>TEXT(C677,"mmm-yyyy")</f>
        <v/>
      </c>
      <c r="I677">
        <f>TEXT(D677,"mmm-yyyy")</f>
        <v/>
      </c>
      <c r="J677">
        <f>_xlfn.XLOOKUP(tbl_subscription[[#This Row],[Customer_ID]],tbl_clint[Customer_ID],tbl_clint[Country])</f>
        <v/>
      </c>
      <c r="K677">
        <f>_xlfn.XLOOKUP(tbl_subscription[[#This Row],[Customer_ID]],tbl_clint[[#This Row],[Customer_ID]],tbl_clint[[#This Row],[Industry]])</f>
        <v/>
      </c>
      <c r="L677">
        <f>_xlfn.XLOOKUP(tbl_subscription[[#This Row],[Customer_ID]],tbl_clint[[#This Row],[Customer_ID]],tbl_clint[[#This Row],[Company_Size]])</f>
        <v/>
      </c>
      <c r="M677">
        <f>YEAR(tbl_subscription[[#This Row],[Start_Date]])</f>
        <v/>
      </c>
    </row>
    <row r="678">
      <c r="A678" t="inlineStr">
        <is>
          <t>C0677</t>
        </is>
      </c>
      <c r="B678" t="inlineStr">
        <is>
          <t>Premium</t>
        </is>
      </c>
      <c r="C678" s="4" t="n">
        <v>45077</v>
      </c>
      <c r="D678" s="4" t="n">
        <v>45657</v>
      </c>
      <c r="E678" t="n">
        <v>40</v>
      </c>
      <c r="F678" t="inlineStr">
        <is>
          <t>Active</t>
        </is>
      </c>
      <c r="G678" t="inlineStr">
        <is>
          <t>Facebook</t>
        </is>
      </c>
      <c r="H678">
        <f>TEXT(C678,"mmm-yyyy")</f>
        <v/>
      </c>
      <c r="I678">
        <f>TEXT(D678,"mmm-yyyy")</f>
        <v/>
      </c>
      <c r="J678">
        <f>_xlfn.XLOOKUP(tbl_subscription[[#This Row],[Customer_ID]],tbl_clint[Customer_ID],tbl_clint[Country])</f>
        <v/>
      </c>
      <c r="K678">
        <f>_xlfn.XLOOKUP(tbl_subscription[[#This Row],[Customer_ID]],tbl_clint[[#This Row],[Customer_ID]],tbl_clint[[#This Row],[Industry]])</f>
        <v/>
      </c>
      <c r="L678">
        <f>_xlfn.XLOOKUP(tbl_subscription[[#This Row],[Customer_ID]],tbl_clint[[#This Row],[Customer_ID]],tbl_clint[[#This Row],[Company_Size]])</f>
        <v/>
      </c>
      <c r="M678">
        <f>YEAR(tbl_subscription[[#This Row],[Start_Date]])</f>
        <v/>
      </c>
    </row>
    <row r="679">
      <c r="A679" t="inlineStr">
        <is>
          <t>C0678</t>
        </is>
      </c>
      <c r="B679" t="inlineStr">
        <is>
          <t>Basic</t>
        </is>
      </c>
      <c r="C679" s="4" t="n">
        <v>44359</v>
      </c>
      <c r="D679" s="4" t="n">
        <v>45657</v>
      </c>
      <c r="E679" t="n">
        <v>15</v>
      </c>
      <c r="F679" t="inlineStr">
        <is>
          <t>Active</t>
        </is>
      </c>
      <c r="G679" t="inlineStr">
        <is>
          <t>LinkedIn</t>
        </is>
      </c>
      <c r="H679">
        <f>TEXT(C679,"mmm-yyyy")</f>
        <v/>
      </c>
      <c r="I679">
        <f>TEXT(D679,"mmm-yyyy")</f>
        <v/>
      </c>
      <c r="J679">
        <f>_xlfn.XLOOKUP(tbl_subscription[[#This Row],[Customer_ID]],tbl_clint[Customer_ID],tbl_clint[Country])</f>
        <v/>
      </c>
      <c r="K679">
        <f>_xlfn.XLOOKUP(tbl_subscription[[#This Row],[Customer_ID]],tbl_clint[[#This Row],[Customer_ID]],tbl_clint[[#This Row],[Industry]])</f>
        <v/>
      </c>
      <c r="L679">
        <f>_xlfn.XLOOKUP(tbl_subscription[[#This Row],[Customer_ID]],tbl_clint[[#This Row],[Customer_ID]],tbl_clint[[#This Row],[Company_Size]])</f>
        <v/>
      </c>
      <c r="M679">
        <f>YEAR(tbl_subscription[[#This Row],[Start_Date]])</f>
        <v/>
      </c>
    </row>
    <row r="680">
      <c r="A680" t="inlineStr">
        <is>
          <t>C0679</t>
        </is>
      </c>
      <c r="B680" t="inlineStr">
        <is>
          <t>Standard</t>
        </is>
      </c>
      <c r="C680" s="4" t="n">
        <v>44036</v>
      </c>
      <c r="D680" s="4" t="n">
        <v>44698</v>
      </c>
      <c r="E680" t="n">
        <v>25</v>
      </c>
      <c r="F680" t="inlineStr">
        <is>
          <t>Churned</t>
        </is>
      </c>
      <c r="G680" t="inlineStr">
        <is>
          <t>Referral</t>
        </is>
      </c>
      <c r="H680">
        <f>TEXT(C680,"mmm-yyyy")</f>
        <v/>
      </c>
      <c r="I680">
        <f>TEXT(D680,"mmm-yyyy")</f>
        <v/>
      </c>
      <c r="J680">
        <f>_xlfn.XLOOKUP(tbl_subscription[[#This Row],[Customer_ID]],tbl_clint[Customer_ID],tbl_clint[Country])</f>
        <v/>
      </c>
      <c r="K680">
        <f>_xlfn.XLOOKUP(tbl_subscription[[#This Row],[Customer_ID]],tbl_clint[[#This Row],[Customer_ID]],tbl_clint[[#This Row],[Industry]])</f>
        <v/>
      </c>
      <c r="L680">
        <f>_xlfn.XLOOKUP(tbl_subscription[[#This Row],[Customer_ID]],tbl_clint[[#This Row],[Customer_ID]],tbl_clint[[#This Row],[Company_Size]])</f>
        <v/>
      </c>
      <c r="M680">
        <f>YEAR(tbl_subscription[[#This Row],[Start_Date]])</f>
        <v/>
      </c>
    </row>
    <row r="681">
      <c r="A681" t="inlineStr">
        <is>
          <t>C0680</t>
        </is>
      </c>
      <c r="B681" t="inlineStr">
        <is>
          <t>Premium</t>
        </is>
      </c>
      <c r="C681" s="4" t="n">
        <v>45371</v>
      </c>
      <c r="D681" s="4" t="n">
        <v>45657</v>
      </c>
      <c r="E681" t="n">
        <v>40</v>
      </c>
      <c r="F681" t="inlineStr">
        <is>
          <t>Active</t>
        </is>
      </c>
      <c r="G681" t="inlineStr">
        <is>
          <t>Instagram</t>
        </is>
      </c>
      <c r="H681">
        <f>TEXT(C681,"mmm-yyyy")</f>
        <v/>
      </c>
      <c r="I681">
        <f>TEXT(D681,"mmm-yyyy")</f>
        <v/>
      </c>
      <c r="J681">
        <f>_xlfn.XLOOKUP(tbl_subscription[[#This Row],[Customer_ID]],tbl_clint[Customer_ID],tbl_clint[Country])</f>
        <v/>
      </c>
      <c r="K681">
        <f>_xlfn.XLOOKUP(tbl_subscription[[#This Row],[Customer_ID]],tbl_clint[[#This Row],[Customer_ID]],tbl_clint[[#This Row],[Industry]])</f>
        <v/>
      </c>
      <c r="L681">
        <f>_xlfn.XLOOKUP(tbl_subscription[[#This Row],[Customer_ID]],tbl_clint[[#This Row],[Customer_ID]],tbl_clint[[#This Row],[Company_Size]])</f>
        <v/>
      </c>
      <c r="M681">
        <f>YEAR(tbl_subscription[[#This Row],[Start_Date]])</f>
        <v/>
      </c>
    </row>
    <row r="682">
      <c r="A682" t="inlineStr">
        <is>
          <t>C0681</t>
        </is>
      </c>
      <c r="B682" t="inlineStr">
        <is>
          <t>Basic</t>
        </is>
      </c>
      <c r="C682" s="4" t="n">
        <v>45407</v>
      </c>
      <c r="D682" s="4" t="n">
        <v>45657</v>
      </c>
      <c r="E682" t="n">
        <v>15</v>
      </c>
      <c r="F682" t="inlineStr">
        <is>
          <t>Churned</t>
        </is>
      </c>
      <c r="G682" t="inlineStr">
        <is>
          <t>Referral</t>
        </is>
      </c>
      <c r="H682">
        <f>TEXT(C682,"mmm-yyyy")</f>
        <v/>
      </c>
      <c r="I682">
        <f>TEXT(D682,"mmm-yyyy")</f>
        <v/>
      </c>
      <c r="J682">
        <f>_xlfn.XLOOKUP(tbl_subscription[[#This Row],[Customer_ID]],tbl_clint[Customer_ID],tbl_clint[Country])</f>
        <v/>
      </c>
      <c r="K682">
        <f>_xlfn.XLOOKUP(tbl_subscription[[#This Row],[Customer_ID]],tbl_clint[[#This Row],[Customer_ID]],tbl_clint[[#This Row],[Industry]])</f>
        <v/>
      </c>
      <c r="L682">
        <f>_xlfn.XLOOKUP(tbl_subscription[[#This Row],[Customer_ID]],tbl_clint[[#This Row],[Customer_ID]],tbl_clint[[#This Row],[Company_Size]])</f>
        <v/>
      </c>
      <c r="M682">
        <f>YEAR(tbl_subscription[[#This Row],[Start_Date]])</f>
        <v/>
      </c>
    </row>
    <row r="683">
      <c r="A683" t="inlineStr">
        <is>
          <t>C0682</t>
        </is>
      </c>
      <c r="B683" t="inlineStr">
        <is>
          <t>Basic</t>
        </is>
      </c>
      <c r="C683" s="4" t="n">
        <v>44792</v>
      </c>
      <c r="D683" s="4" t="n">
        <v>45657</v>
      </c>
      <c r="E683" t="n">
        <v>15</v>
      </c>
      <c r="F683" t="inlineStr">
        <is>
          <t>Active</t>
        </is>
      </c>
      <c r="G683" t="inlineStr">
        <is>
          <t>LinkedIn</t>
        </is>
      </c>
      <c r="H683">
        <f>TEXT(C683,"mmm-yyyy")</f>
        <v/>
      </c>
      <c r="I683">
        <f>TEXT(D683,"mmm-yyyy")</f>
        <v/>
      </c>
      <c r="J683">
        <f>_xlfn.XLOOKUP(tbl_subscription[[#This Row],[Customer_ID]],tbl_clint[Customer_ID],tbl_clint[Country])</f>
        <v/>
      </c>
      <c r="K683">
        <f>_xlfn.XLOOKUP(tbl_subscription[[#This Row],[Customer_ID]],tbl_clint[[#This Row],[Customer_ID]],tbl_clint[[#This Row],[Industry]])</f>
        <v/>
      </c>
      <c r="L683">
        <f>_xlfn.XLOOKUP(tbl_subscription[[#This Row],[Customer_ID]],tbl_clint[[#This Row],[Customer_ID]],tbl_clint[[#This Row],[Company_Size]])</f>
        <v/>
      </c>
      <c r="M683">
        <f>YEAR(tbl_subscription[[#This Row],[Start_Date]])</f>
        <v/>
      </c>
    </row>
    <row r="684">
      <c r="A684" t="inlineStr">
        <is>
          <t>C0683</t>
        </is>
      </c>
      <c r="B684" t="inlineStr">
        <is>
          <t>Basic</t>
        </is>
      </c>
      <c r="C684" s="4" t="n">
        <v>44802</v>
      </c>
      <c r="D684" s="4" t="n">
        <v>45657</v>
      </c>
      <c r="E684" t="n">
        <v>15</v>
      </c>
      <c r="F684" t="inlineStr">
        <is>
          <t>Active</t>
        </is>
      </c>
      <c r="G684" t="inlineStr">
        <is>
          <t>Instagram</t>
        </is>
      </c>
      <c r="H684">
        <f>TEXT(C684,"mmm-yyyy")</f>
        <v/>
      </c>
      <c r="I684">
        <f>TEXT(D684,"mmm-yyyy")</f>
        <v/>
      </c>
      <c r="J684">
        <f>_xlfn.XLOOKUP(tbl_subscription[[#This Row],[Customer_ID]],tbl_clint[Customer_ID],tbl_clint[Country])</f>
        <v/>
      </c>
      <c r="K684">
        <f>_xlfn.XLOOKUP(tbl_subscription[[#This Row],[Customer_ID]],tbl_clint[[#This Row],[Customer_ID]],tbl_clint[[#This Row],[Industry]])</f>
        <v/>
      </c>
      <c r="L684">
        <f>_xlfn.XLOOKUP(tbl_subscription[[#This Row],[Customer_ID]],tbl_clint[[#This Row],[Customer_ID]],tbl_clint[[#This Row],[Company_Size]])</f>
        <v/>
      </c>
      <c r="M684">
        <f>YEAR(tbl_subscription[[#This Row],[Start_Date]])</f>
        <v/>
      </c>
    </row>
    <row r="685">
      <c r="A685" t="inlineStr">
        <is>
          <t>C0684</t>
        </is>
      </c>
      <c r="B685" t="inlineStr">
        <is>
          <t>Standard</t>
        </is>
      </c>
      <c r="C685" s="4" t="n">
        <v>44055</v>
      </c>
      <c r="D685" s="4" t="n">
        <v>45657</v>
      </c>
      <c r="E685" t="n">
        <v>25</v>
      </c>
      <c r="F685" t="inlineStr">
        <is>
          <t>Active</t>
        </is>
      </c>
      <c r="G685" t="inlineStr">
        <is>
          <t>Facebook</t>
        </is>
      </c>
      <c r="H685">
        <f>TEXT(C685,"mmm-yyyy")</f>
        <v/>
      </c>
      <c r="I685">
        <f>TEXT(D685,"mmm-yyyy")</f>
        <v/>
      </c>
      <c r="J685">
        <f>_xlfn.XLOOKUP(tbl_subscription[[#This Row],[Customer_ID]],tbl_clint[Customer_ID],tbl_clint[Country])</f>
        <v/>
      </c>
      <c r="K685">
        <f>_xlfn.XLOOKUP(tbl_subscription[[#This Row],[Customer_ID]],tbl_clint[[#This Row],[Customer_ID]],tbl_clint[[#This Row],[Industry]])</f>
        <v/>
      </c>
      <c r="L685">
        <f>_xlfn.XLOOKUP(tbl_subscription[[#This Row],[Customer_ID]],tbl_clint[[#This Row],[Customer_ID]],tbl_clint[[#This Row],[Company_Size]])</f>
        <v/>
      </c>
      <c r="M685">
        <f>YEAR(tbl_subscription[[#This Row],[Start_Date]])</f>
        <v/>
      </c>
    </row>
    <row r="686">
      <c r="A686" t="inlineStr">
        <is>
          <t>C0685</t>
        </is>
      </c>
      <c r="B686" t="inlineStr">
        <is>
          <t>Standard</t>
        </is>
      </c>
      <c r="C686" s="4" t="n">
        <v>44251</v>
      </c>
      <c r="D686" s="4" t="n">
        <v>45657</v>
      </c>
      <c r="E686" t="n">
        <v>25</v>
      </c>
      <c r="F686" t="inlineStr">
        <is>
          <t>Active</t>
        </is>
      </c>
      <c r="G686" t="inlineStr">
        <is>
          <t>Referral</t>
        </is>
      </c>
      <c r="H686">
        <f>TEXT(C686,"mmm-yyyy")</f>
        <v/>
      </c>
      <c r="I686">
        <f>TEXT(D686,"mmm-yyyy")</f>
        <v/>
      </c>
      <c r="J686">
        <f>_xlfn.XLOOKUP(tbl_subscription[[#This Row],[Customer_ID]],tbl_clint[Customer_ID],tbl_clint[Country])</f>
        <v/>
      </c>
      <c r="K686">
        <f>_xlfn.XLOOKUP(tbl_subscription[[#This Row],[Customer_ID]],tbl_clint[[#This Row],[Customer_ID]],tbl_clint[[#This Row],[Industry]])</f>
        <v/>
      </c>
      <c r="L686">
        <f>_xlfn.XLOOKUP(tbl_subscription[[#This Row],[Customer_ID]],tbl_clint[[#This Row],[Customer_ID]],tbl_clint[[#This Row],[Company_Size]])</f>
        <v/>
      </c>
      <c r="M686">
        <f>YEAR(tbl_subscription[[#This Row],[Start_Date]])</f>
        <v/>
      </c>
    </row>
    <row r="687">
      <c r="A687" t="inlineStr">
        <is>
          <t>C0686</t>
        </is>
      </c>
      <c r="B687" t="inlineStr">
        <is>
          <t>Basic</t>
        </is>
      </c>
      <c r="C687" s="4" t="n">
        <v>45361</v>
      </c>
      <c r="D687" s="4" t="n">
        <v>45542</v>
      </c>
      <c r="E687" t="n">
        <v>15</v>
      </c>
      <c r="F687" t="inlineStr">
        <is>
          <t>Churned</t>
        </is>
      </c>
      <c r="G687" t="inlineStr">
        <is>
          <t>Referral</t>
        </is>
      </c>
      <c r="H687">
        <f>TEXT(C687,"mmm-yyyy")</f>
        <v/>
      </c>
      <c r="I687">
        <f>TEXT(D687,"mmm-yyyy")</f>
        <v/>
      </c>
      <c r="J687">
        <f>_xlfn.XLOOKUP(tbl_subscription[[#This Row],[Customer_ID]],tbl_clint[Customer_ID],tbl_clint[Country])</f>
        <v/>
      </c>
      <c r="K687">
        <f>_xlfn.XLOOKUP(tbl_subscription[[#This Row],[Customer_ID]],tbl_clint[[#This Row],[Customer_ID]],tbl_clint[[#This Row],[Industry]])</f>
        <v/>
      </c>
      <c r="L687">
        <f>_xlfn.XLOOKUP(tbl_subscription[[#This Row],[Customer_ID]],tbl_clint[[#This Row],[Customer_ID]],tbl_clint[[#This Row],[Company_Size]])</f>
        <v/>
      </c>
      <c r="M687">
        <f>YEAR(tbl_subscription[[#This Row],[Start_Date]])</f>
        <v/>
      </c>
    </row>
    <row r="688">
      <c r="A688" t="inlineStr">
        <is>
          <t>C0687</t>
        </is>
      </c>
      <c r="B688" t="inlineStr">
        <is>
          <t>Basic</t>
        </is>
      </c>
      <c r="C688" s="4" t="n">
        <v>45429</v>
      </c>
      <c r="D688" s="4" t="n">
        <v>45657</v>
      </c>
      <c r="E688" t="n">
        <v>15</v>
      </c>
      <c r="F688" t="inlineStr">
        <is>
          <t>Active</t>
        </is>
      </c>
      <c r="G688" t="inlineStr">
        <is>
          <t>LinkedIn</t>
        </is>
      </c>
      <c r="H688">
        <f>TEXT(C688,"mmm-yyyy")</f>
        <v/>
      </c>
      <c r="I688">
        <f>TEXT(D688,"mmm-yyyy")</f>
        <v/>
      </c>
      <c r="J688">
        <f>_xlfn.XLOOKUP(tbl_subscription[[#This Row],[Customer_ID]],tbl_clint[Customer_ID],tbl_clint[Country])</f>
        <v/>
      </c>
      <c r="K688">
        <f>_xlfn.XLOOKUP(tbl_subscription[[#This Row],[Customer_ID]],tbl_clint[[#This Row],[Customer_ID]],tbl_clint[[#This Row],[Industry]])</f>
        <v/>
      </c>
      <c r="L688">
        <f>_xlfn.XLOOKUP(tbl_subscription[[#This Row],[Customer_ID]],tbl_clint[[#This Row],[Customer_ID]],tbl_clint[[#This Row],[Company_Size]])</f>
        <v/>
      </c>
      <c r="M688">
        <f>YEAR(tbl_subscription[[#This Row],[Start_Date]])</f>
        <v/>
      </c>
    </row>
    <row r="689">
      <c r="A689" t="inlineStr">
        <is>
          <t>C0688</t>
        </is>
      </c>
      <c r="B689" t="inlineStr">
        <is>
          <t>Premium</t>
        </is>
      </c>
      <c r="C689" s="4" t="n">
        <v>44703</v>
      </c>
      <c r="D689" s="4" t="n">
        <v>45657</v>
      </c>
      <c r="E689" t="n">
        <v>40</v>
      </c>
      <c r="F689" t="inlineStr">
        <is>
          <t>Active</t>
        </is>
      </c>
      <c r="G689" t="inlineStr">
        <is>
          <t>Instagram</t>
        </is>
      </c>
      <c r="H689">
        <f>TEXT(C689,"mmm-yyyy")</f>
        <v/>
      </c>
      <c r="I689">
        <f>TEXT(D689,"mmm-yyyy")</f>
        <v/>
      </c>
      <c r="J689">
        <f>_xlfn.XLOOKUP(tbl_subscription[[#This Row],[Customer_ID]],tbl_clint[Customer_ID],tbl_clint[Country])</f>
        <v/>
      </c>
      <c r="K689">
        <f>_xlfn.XLOOKUP(tbl_subscription[[#This Row],[Customer_ID]],tbl_clint[[#This Row],[Customer_ID]],tbl_clint[[#This Row],[Industry]])</f>
        <v/>
      </c>
      <c r="L689">
        <f>_xlfn.XLOOKUP(tbl_subscription[[#This Row],[Customer_ID]],tbl_clint[[#This Row],[Customer_ID]],tbl_clint[[#This Row],[Company_Size]])</f>
        <v/>
      </c>
      <c r="M689">
        <f>YEAR(tbl_subscription[[#This Row],[Start_Date]])</f>
        <v/>
      </c>
    </row>
    <row r="690">
      <c r="A690" t="inlineStr">
        <is>
          <t>C0689</t>
        </is>
      </c>
      <c r="B690" t="inlineStr">
        <is>
          <t>Standard</t>
        </is>
      </c>
      <c r="C690" s="4" t="n">
        <v>44233</v>
      </c>
      <c r="D690" s="4" t="n">
        <v>45065</v>
      </c>
      <c r="E690" t="n">
        <v>25</v>
      </c>
      <c r="F690" t="inlineStr">
        <is>
          <t>Churned</t>
        </is>
      </c>
      <c r="G690" t="inlineStr">
        <is>
          <t>Google</t>
        </is>
      </c>
      <c r="H690">
        <f>TEXT(C690,"mmm-yyyy")</f>
        <v/>
      </c>
      <c r="I690">
        <f>TEXT(D690,"mmm-yyyy")</f>
        <v/>
      </c>
      <c r="J690">
        <f>_xlfn.XLOOKUP(tbl_subscription[[#This Row],[Customer_ID]],tbl_clint[Customer_ID],tbl_clint[Country])</f>
        <v/>
      </c>
      <c r="K690">
        <f>_xlfn.XLOOKUP(tbl_subscription[[#This Row],[Customer_ID]],tbl_clint[[#This Row],[Customer_ID]],tbl_clint[[#This Row],[Industry]])</f>
        <v/>
      </c>
      <c r="L690">
        <f>_xlfn.XLOOKUP(tbl_subscription[[#This Row],[Customer_ID]],tbl_clint[[#This Row],[Customer_ID]],tbl_clint[[#This Row],[Company_Size]])</f>
        <v/>
      </c>
      <c r="M690">
        <f>YEAR(tbl_subscription[[#This Row],[Start_Date]])</f>
        <v/>
      </c>
    </row>
    <row r="691">
      <c r="A691" t="inlineStr">
        <is>
          <t>C0690</t>
        </is>
      </c>
      <c r="B691" t="inlineStr">
        <is>
          <t>Premium</t>
        </is>
      </c>
      <c r="C691" s="4" t="n">
        <v>44344</v>
      </c>
      <c r="D691" s="4" t="n">
        <v>44614</v>
      </c>
      <c r="E691" t="n">
        <v>40</v>
      </c>
      <c r="F691" t="inlineStr">
        <is>
          <t>Churned</t>
        </is>
      </c>
      <c r="G691" t="inlineStr">
        <is>
          <t>LinkedIn</t>
        </is>
      </c>
      <c r="H691">
        <f>TEXT(C691,"mmm-yyyy")</f>
        <v/>
      </c>
      <c r="I691">
        <f>TEXT(D691,"mmm-yyyy")</f>
        <v/>
      </c>
      <c r="J691">
        <f>_xlfn.XLOOKUP(tbl_subscription[[#This Row],[Customer_ID]],tbl_clint[Customer_ID],tbl_clint[Country])</f>
        <v/>
      </c>
      <c r="K691">
        <f>_xlfn.XLOOKUP(tbl_subscription[[#This Row],[Customer_ID]],tbl_clint[[#This Row],[Customer_ID]],tbl_clint[[#This Row],[Industry]])</f>
        <v/>
      </c>
      <c r="L691">
        <f>_xlfn.XLOOKUP(tbl_subscription[[#This Row],[Customer_ID]],tbl_clint[[#This Row],[Customer_ID]],tbl_clint[[#This Row],[Company_Size]])</f>
        <v/>
      </c>
      <c r="M691">
        <f>YEAR(tbl_subscription[[#This Row],[Start_Date]])</f>
        <v/>
      </c>
    </row>
    <row r="692">
      <c r="A692" t="inlineStr">
        <is>
          <t>C0691</t>
        </is>
      </c>
      <c r="B692" t="inlineStr">
        <is>
          <t>Premium</t>
        </is>
      </c>
      <c r="C692" s="4" t="n">
        <v>45209</v>
      </c>
      <c r="D692" s="4" t="n">
        <v>45476</v>
      </c>
      <c r="E692" t="n">
        <v>40</v>
      </c>
      <c r="F692" t="inlineStr">
        <is>
          <t>Churned</t>
        </is>
      </c>
      <c r="G692" t="inlineStr">
        <is>
          <t>Facebook</t>
        </is>
      </c>
      <c r="H692">
        <f>TEXT(C692,"mmm-yyyy")</f>
        <v/>
      </c>
      <c r="I692">
        <f>TEXT(D692,"mmm-yyyy")</f>
        <v/>
      </c>
      <c r="J692">
        <f>_xlfn.XLOOKUP(tbl_subscription[[#This Row],[Customer_ID]],tbl_clint[Customer_ID],tbl_clint[Country])</f>
        <v/>
      </c>
      <c r="K692">
        <f>_xlfn.XLOOKUP(tbl_subscription[[#This Row],[Customer_ID]],tbl_clint[[#This Row],[Customer_ID]],tbl_clint[[#This Row],[Industry]])</f>
        <v/>
      </c>
      <c r="L692">
        <f>_xlfn.XLOOKUP(tbl_subscription[[#This Row],[Customer_ID]],tbl_clint[[#This Row],[Customer_ID]],tbl_clint[[#This Row],[Company_Size]])</f>
        <v/>
      </c>
      <c r="M692">
        <f>YEAR(tbl_subscription[[#This Row],[Start_Date]])</f>
        <v/>
      </c>
    </row>
    <row r="693">
      <c r="A693" t="inlineStr">
        <is>
          <t>C0692</t>
        </is>
      </c>
      <c r="B693" t="inlineStr">
        <is>
          <t>Premium</t>
        </is>
      </c>
      <c r="C693" s="4" t="n">
        <v>43844</v>
      </c>
      <c r="D693" s="4" t="n">
        <v>45657</v>
      </c>
      <c r="E693" t="n">
        <v>40</v>
      </c>
      <c r="F693" t="inlineStr">
        <is>
          <t>Active</t>
        </is>
      </c>
      <c r="G693" t="inlineStr">
        <is>
          <t>Instagram</t>
        </is>
      </c>
      <c r="H693">
        <f>TEXT(C693,"mmm-yyyy")</f>
        <v/>
      </c>
      <c r="I693">
        <f>TEXT(D693,"mmm-yyyy")</f>
        <v/>
      </c>
      <c r="J693">
        <f>_xlfn.XLOOKUP(tbl_subscription[[#This Row],[Customer_ID]],tbl_clint[Customer_ID],tbl_clint[Country])</f>
        <v/>
      </c>
      <c r="K693">
        <f>_xlfn.XLOOKUP(tbl_subscription[[#This Row],[Customer_ID]],tbl_clint[[#This Row],[Customer_ID]],tbl_clint[[#This Row],[Industry]])</f>
        <v/>
      </c>
      <c r="L693">
        <f>_xlfn.XLOOKUP(tbl_subscription[[#This Row],[Customer_ID]],tbl_clint[[#This Row],[Customer_ID]],tbl_clint[[#This Row],[Company_Size]])</f>
        <v/>
      </c>
      <c r="M693">
        <f>YEAR(tbl_subscription[[#This Row],[Start_Date]])</f>
        <v/>
      </c>
    </row>
    <row r="694">
      <c r="A694" t="inlineStr">
        <is>
          <t>C0693</t>
        </is>
      </c>
      <c r="B694" t="inlineStr">
        <is>
          <t>Basic</t>
        </is>
      </c>
      <c r="C694" s="4" t="n">
        <v>44386</v>
      </c>
      <c r="D694" s="4" t="n">
        <v>44772</v>
      </c>
      <c r="E694" t="n">
        <v>15</v>
      </c>
      <c r="F694" t="inlineStr">
        <is>
          <t>Churned</t>
        </is>
      </c>
      <c r="G694" t="inlineStr">
        <is>
          <t>Referral</t>
        </is>
      </c>
      <c r="H694">
        <f>TEXT(C694,"mmm-yyyy")</f>
        <v/>
      </c>
      <c r="I694">
        <f>TEXT(D694,"mmm-yyyy")</f>
        <v/>
      </c>
      <c r="J694">
        <f>_xlfn.XLOOKUP(tbl_subscription[[#This Row],[Customer_ID]],tbl_clint[Customer_ID],tbl_clint[Country])</f>
        <v/>
      </c>
      <c r="K694">
        <f>_xlfn.XLOOKUP(tbl_subscription[[#This Row],[Customer_ID]],tbl_clint[[#This Row],[Customer_ID]],tbl_clint[[#This Row],[Industry]])</f>
        <v/>
      </c>
      <c r="L694">
        <f>_xlfn.XLOOKUP(tbl_subscription[[#This Row],[Customer_ID]],tbl_clint[[#This Row],[Customer_ID]],tbl_clint[[#This Row],[Company_Size]])</f>
        <v/>
      </c>
      <c r="M694">
        <f>YEAR(tbl_subscription[[#This Row],[Start_Date]])</f>
        <v/>
      </c>
    </row>
    <row r="695">
      <c r="A695" t="inlineStr">
        <is>
          <t>C0694</t>
        </is>
      </c>
      <c r="B695" t="inlineStr">
        <is>
          <t>Basic</t>
        </is>
      </c>
      <c r="C695" s="4" t="n">
        <v>44039</v>
      </c>
      <c r="D695" s="4" t="n">
        <v>45657</v>
      </c>
      <c r="E695" t="n">
        <v>15</v>
      </c>
      <c r="F695" t="inlineStr">
        <is>
          <t>Active</t>
        </is>
      </c>
      <c r="G695" t="inlineStr">
        <is>
          <t>Referral</t>
        </is>
      </c>
      <c r="H695">
        <f>TEXT(C695,"mmm-yyyy")</f>
        <v/>
      </c>
      <c r="I695">
        <f>TEXT(D695,"mmm-yyyy")</f>
        <v/>
      </c>
      <c r="J695">
        <f>_xlfn.XLOOKUP(tbl_subscription[[#This Row],[Customer_ID]],tbl_clint[Customer_ID],tbl_clint[Country])</f>
        <v/>
      </c>
      <c r="K695">
        <f>_xlfn.XLOOKUP(tbl_subscription[[#This Row],[Customer_ID]],tbl_clint[[#This Row],[Customer_ID]],tbl_clint[[#This Row],[Industry]])</f>
        <v/>
      </c>
      <c r="L695">
        <f>_xlfn.XLOOKUP(tbl_subscription[[#This Row],[Customer_ID]],tbl_clint[[#This Row],[Customer_ID]],tbl_clint[[#This Row],[Company_Size]])</f>
        <v/>
      </c>
      <c r="M695">
        <f>YEAR(tbl_subscription[[#This Row],[Start_Date]])</f>
        <v/>
      </c>
    </row>
    <row r="696">
      <c r="A696" t="inlineStr">
        <is>
          <t>C0695</t>
        </is>
      </c>
      <c r="B696" t="inlineStr">
        <is>
          <t>Premium</t>
        </is>
      </c>
      <c r="C696" s="4" t="n">
        <v>44228</v>
      </c>
      <c r="D696" s="4" t="n">
        <v>45657</v>
      </c>
      <c r="E696" t="n">
        <v>40</v>
      </c>
      <c r="F696" t="inlineStr">
        <is>
          <t>Active</t>
        </is>
      </c>
      <c r="G696" t="inlineStr">
        <is>
          <t>Instagram</t>
        </is>
      </c>
      <c r="H696">
        <f>TEXT(C696,"mmm-yyyy")</f>
        <v/>
      </c>
      <c r="I696">
        <f>TEXT(D696,"mmm-yyyy")</f>
        <v/>
      </c>
      <c r="J696">
        <f>_xlfn.XLOOKUP(tbl_subscription[[#This Row],[Customer_ID]],tbl_clint[Customer_ID],tbl_clint[Country])</f>
        <v/>
      </c>
      <c r="K696">
        <f>_xlfn.XLOOKUP(tbl_subscription[[#This Row],[Customer_ID]],tbl_clint[[#This Row],[Customer_ID]],tbl_clint[[#This Row],[Industry]])</f>
        <v/>
      </c>
      <c r="L696">
        <f>_xlfn.XLOOKUP(tbl_subscription[[#This Row],[Customer_ID]],tbl_clint[[#This Row],[Customer_ID]],tbl_clint[[#This Row],[Company_Size]])</f>
        <v/>
      </c>
      <c r="M696">
        <f>YEAR(tbl_subscription[[#This Row],[Start_Date]])</f>
        <v/>
      </c>
    </row>
    <row r="697">
      <c r="A697" t="inlineStr">
        <is>
          <t>C0696</t>
        </is>
      </c>
      <c r="B697" t="inlineStr">
        <is>
          <t>Premium</t>
        </is>
      </c>
      <c r="C697" s="4" t="n">
        <v>44602</v>
      </c>
      <c r="D697" s="4" t="n">
        <v>45657</v>
      </c>
      <c r="E697" t="n">
        <v>40</v>
      </c>
      <c r="F697" t="inlineStr">
        <is>
          <t>Active</t>
        </is>
      </c>
      <c r="G697" t="inlineStr">
        <is>
          <t>LinkedIn</t>
        </is>
      </c>
      <c r="H697">
        <f>TEXT(C697,"mmm-yyyy")</f>
        <v/>
      </c>
      <c r="I697">
        <f>TEXT(D697,"mmm-yyyy")</f>
        <v/>
      </c>
      <c r="J697">
        <f>_xlfn.XLOOKUP(tbl_subscription[[#This Row],[Customer_ID]],tbl_clint[Customer_ID],tbl_clint[Country])</f>
        <v/>
      </c>
      <c r="K697">
        <f>_xlfn.XLOOKUP(tbl_subscription[[#This Row],[Customer_ID]],tbl_clint[[#This Row],[Customer_ID]],tbl_clint[[#This Row],[Industry]])</f>
        <v/>
      </c>
      <c r="L697">
        <f>_xlfn.XLOOKUP(tbl_subscription[[#This Row],[Customer_ID]],tbl_clint[[#This Row],[Customer_ID]],tbl_clint[[#This Row],[Company_Size]])</f>
        <v/>
      </c>
      <c r="M697">
        <f>YEAR(tbl_subscription[[#This Row],[Start_Date]])</f>
        <v/>
      </c>
    </row>
    <row r="698">
      <c r="A698" t="inlineStr">
        <is>
          <t>C0697</t>
        </is>
      </c>
      <c r="B698" t="inlineStr">
        <is>
          <t>Basic</t>
        </is>
      </c>
      <c r="C698" s="4" t="n">
        <v>45193</v>
      </c>
      <c r="D698" s="4" t="n">
        <v>45657</v>
      </c>
      <c r="E698" t="n">
        <v>15</v>
      </c>
      <c r="F698" t="inlineStr">
        <is>
          <t>Active</t>
        </is>
      </c>
      <c r="G698" t="inlineStr">
        <is>
          <t>Instagram</t>
        </is>
      </c>
      <c r="H698">
        <f>TEXT(C698,"mmm-yyyy")</f>
        <v/>
      </c>
      <c r="I698">
        <f>TEXT(D698,"mmm-yyyy")</f>
        <v/>
      </c>
      <c r="J698">
        <f>_xlfn.XLOOKUP(tbl_subscription[[#This Row],[Customer_ID]],tbl_clint[Customer_ID],tbl_clint[Country])</f>
        <v/>
      </c>
      <c r="K698">
        <f>_xlfn.XLOOKUP(tbl_subscription[[#This Row],[Customer_ID]],tbl_clint[[#This Row],[Customer_ID]],tbl_clint[[#This Row],[Industry]])</f>
        <v/>
      </c>
      <c r="L698">
        <f>_xlfn.XLOOKUP(tbl_subscription[[#This Row],[Customer_ID]],tbl_clint[[#This Row],[Customer_ID]],tbl_clint[[#This Row],[Company_Size]])</f>
        <v/>
      </c>
      <c r="M698">
        <f>YEAR(tbl_subscription[[#This Row],[Start_Date]])</f>
        <v/>
      </c>
    </row>
    <row r="699">
      <c r="A699" t="inlineStr">
        <is>
          <t>C0698</t>
        </is>
      </c>
      <c r="B699" t="inlineStr">
        <is>
          <t>Premium</t>
        </is>
      </c>
      <c r="C699" s="4" t="n">
        <v>44513</v>
      </c>
      <c r="D699" s="4" t="n">
        <v>45657</v>
      </c>
      <c r="E699" t="n">
        <v>40</v>
      </c>
      <c r="F699" t="inlineStr">
        <is>
          <t>Active</t>
        </is>
      </c>
      <c r="G699" t="inlineStr">
        <is>
          <t>Google</t>
        </is>
      </c>
      <c r="H699">
        <f>TEXT(C699,"mmm-yyyy")</f>
        <v/>
      </c>
      <c r="I699">
        <f>TEXT(D699,"mmm-yyyy")</f>
        <v/>
      </c>
      <c r="J699">
        <f>_xlfn.XLOOKUP(tbl_subscription[[#This Row],[Customer_ID]],tbl_clint[Customer_ID],tbl_clint[Country])</f>
        <v/>
      </c>
      <c r="K699">
        <f>_xlfn.XLOOKUP(tbl_subscription[[#This Row],[Customer_ID]],tbl_clint[[#This Row],[Customer_ID]],tbl_clint[[#This Row],[Industry]])</f>
        <v/>
      </c>
      <c r="L699">
        <f>_xlfn.XLOOKUP(tbl_subscription[[#This Row],[Customer_ID]],tbl_clint[[#This Row],[Customer_ID]],tbl_clint[[#This Row],[Company_Size]])</f>
        <v/>
      </c>
      <c r="M699">
        <f>YEAR(tbl_subscription[[#This Row],[Start_Date]])</f>
        <v/>
      </c>
    </row>
    <row r="700">
      <c r="A700" t="inlineStr">
        <is>
          <t>C0699</t>
        </is>
      </c>
      <c r="B700" t="inlineStr">
        <is>
          <t>Standard</t>
        </is>
      </c>
      <c r="C700" s="4" t="n">
        <v>44831</v>
      </c>
      <c r="D700" s="4" t="n">
        <v>45657</v>
      </c>
      <c r="E700" t="n">
        <v>25</v>
      </c>
      <c r="F700" t="inlineStr">
        <is>
          <t>Active</t>
        </is>
      </c>
      <c r="G700" t="inlineStr">
        <is>
          <t>Instagram</t>
        </is>
      </c>
      <c r="H700">
        <f>TEXT(C700,"mmm-yyyy")</f>
        <v/>
      </c>
      <c r="I700">
        <f>TEXT(D700,"mmm-yyyy")</f>
        <v/>
      </c>
      <c r="J700">
        <f>_xlfn.XLOOKUP(tbl_subscription[[#This Row],[Customer_ID]],tbl_clint[Customer_ID],tbl_clint[Country])</f>
        <v/>
      </c>
      <c r="K700">
        <f>_xlfn.XLOOKUP(tbl_subscription[[#This Row],[Customer_ID]],tbl_clint[[#This Row],[Customer_ID]],tbl_clint[[#This Row],[Industry]])</f>
        <v/>
      </c>
      <c r="L700">
        <f>_xlfn.XLOOKUP(tbl_subscription[[#This Row],[Customer_ID]],tbl_clint[[#This Row],[Customer_ID]],tbl_clint[[#This Row],[Company_Size]])</f>
        <v/>
      </c>
      <c r="M700">
        <f>YEAR(tbl_subscription[[#This Row],[Start_Date]])</f>
        <v/>
      </c>
    </row>
    <row r="701">
      <c r="A701" t="inlineStr">
        <is>
          <t>C0700</t>
        </is>
      </c>
      <c r="B701" t="inlineStr">
        <is>
          <t>Premium</t>
        </is>
      </c>
      <c r="C701" s="4" t="n">
        <v>45060</v>
      </c>
      <c r="D701" s="4" t="n">
        <v>45657</v>
      </c>
      <c r="E701" t="n">
        <v>40</v>
      </c>
      <c r="F701" t="inlineStr">
        <is>
          <t>Active</t>
        </is>
      </c>
      <c r="G701" t="inlineStr">
        <is>
          <t>Facebook</t>
        </is>
      </c>
      <c r="H701">
        <f>TEXT(C701,"mmm-yyyy")</f>
        <v/>
      </c>
      <c r="I701">
        <f>TEXT(D701,"mmm-yyyy")</f>
        <v/>
      </c>
      <c r="J701">
        <f>_xlfn.XLOOKUP(tbl_subscription[[#This Row],[Customer_ID]],tbl_clint[Customer_ID],tbl_clint[Country])</f>
        <v/>
      </c>
      <c r="K701">
        <f>_xlfn.XLOOKUP(tbl_subscription[[#This Row],[Customer_ID]],tbl_clint[[#This Row],[Customer_ID]],tbl_clint[[#This Row],[Industry]])</f>
        <v/>
      </c>
      <c r="L701">
        <f>_xlfn.XLOOKUP(tbl_subscription[[#This Row],[Customer_ID]],tbl_clint[[#This Row],[Customer_ID]],tbl_clint[[#This Row],[Company_Size]])</f>
        <v/>
      </c>
      <c r="M701">
        <f>YEAR(tbl_subscription[[#This Row],[Start_Date]])</f>
        <v/>
      </c>
    </row>
    <row r="702">
      <c r="A702" t="inlineStr">
        <is>
          <t>C0701</t>
        </is>
      </c>
      <c r="B702" t="inlineStr">
        <is>
          <t>Premium</t>
        </is>
      </c>
      <c r="C702" s="4" t="n">
        <v>44561</v>
      </c>
      <c r="D702" s="4" t="n">
        <v>45430</v>
      </c>
      <c r="E702" t="n">
        <v>40</v>
      </c>
      <c r="F702" t="inlineStr">
        <is>
          <t>Churned</t>
        </is>
      </c>
      <c r="G702" t="inlineStr">
        <is>
          <t>LinkedIn</t>
        </is>
      </c>
      <c r="H702">
        <f>TEXT(C702,"mmm-yyyy")</f>
        <v/>
      </c>
      <c r="I702">
        <f>TEXT(D702,"mmm-yyyy")</f>
        <v/>
      </c>
      <c r="J702">
        <f>_xlfn.XLOOKUP(tbl_subscription[[#This Row],[Customer_ID]],tbl_clint[Customer_ID],tbl_clint[Country])</f>
        <v/>
      </c>
      <c r="K702">
        <f>_xlfn.XLOOKUP(tbl_subscription[[#This Row],[Customer_ID]],tbl_clint[[#This Row],[Customer_ID]],tbl_clint[[#This Row],[Industry]])</f>
        <v/>
      </c>
      <c r="L702">
        <f>_xlfn.XLOOKUP(tbl_subscription[[#This Row],[Customer_ID]],tbl_clint[[#This Row],[Customer_ID]],tbl_clint[[#This Row],[Company_Size]])</f>
        <v/>
      </c>
      <c r="M702">
        <f>YEAR(tbl_subscription[[#This Row],[Start_Date]])</f>
        <v/>
      </c>
    </row>
    <row r="703">
      <c r="A703" t="inlineStr">
        <is>
          <t>C0702</t>
        </is>
      </c>
      <c r="B703" t="inlineStr">
        <is>
          <t>Standard</t>
        </is>
      </c>
      <c r="C703" s="4" t="n">
        <v>43922</v>
      </c>
      <c r="D703" s="4" t="n">
        <v>45657</v>
      </c>
      <c r="E703" t="n">
        <v>25</v>
      </c>
      <c r="F703" t="inlineStr">
        <is>
          <t>Active</t>
        </is>
      </c>
      <c r="G703" t="inlineStr">
        <is>
          <t>Google</t>
        </is>
      </c>
      <c r="H703">
        <f>TEXT(C703,"mmm-yyyy")</f>
        <v/>
      </c>
      <c r="I703">
        <f>TEXT(D703,"mmm-yyyy")</f>
        <v/>
      </c>
      <c r="J703">
        <f>_xlfn.XLOOKUP(tbl_subscription[[#This Row],[Customer_ID]],tbl_clint[Customer_ID],tbl_clint[Country])</f>
        <v/>
      </c>
      <c r="K703">
        <f>_xlfn.XLOOKUP(tbl_subscription[[#This Row],[Customer_ID]],tbl_clint[[#This Row],[Customer_ID]],tbl_clint[[#This Row],[Industry]])</f>
        <v/>
      </c>
      <c r="L703">
        <f>_xlfn.XLOOKUP(tbl_subscription[[#This Row],[Customer_ID]],tbl_clint[[#This Row],[Customer_ID]],tbl_clint[[#This Row],[Company_Size]])</f>
        <v/>
      </c>
      <c r="M703">
        <f>YEAR(tbl_subscription[[#This Row],[Start_Date]])</f>
        <v/>
      </c>
    </row>
    <row r="704">
      <c r="A704" t="inlineStr">
        <is>
          <t>C0703</t>
        </is>
      </c>
      <c r="B704" t="inlineStr">
        <is>
          <t>Premium</t>
        </is>
      </c>
      <c r="C704" s="4" t="n">
        <v>44445</v>
      </c>
      <c r="D704" s="4" t="n">
        <v>45657</v>
      </c>
      <c r="E704" t="n">
        <v>40</v>
      </c>
      <c r="F704" t="inlineStr">
        <is>
          <t>Active</t>
        </is>
      </c>
      <c r="G704" t="inlineStr">
        <is>
          <t>Google</t>
        </is>
      </c>
      <c r="H704">
        <f>TEXT(C704,"mmm-yyyy")</f>
        <v/>
      </c>
      <c r="I704">
        <f>TEXT(D704,"mmm-yyyy")</f>
        <v/>
      </c>
      <c r="J704">
        <f>_xlfn.XLOOKUP(tbl_subscription[[#This Row],[Customer_ID]],tbl_clint[Customer_ID],tbl_clint[Country])</f>
        <v/>
      </c>
      <c r="K704">
        <f>_xlfn.XLOOKUP(tbl_subscription[[#This Row],[Customer_ID]],tbl_clint[[#This Row],[Customer_ID]],tbl_clint[[#This Row],[Industry]])</f>
        <v/>
      </c>
      <c r="L704">
        <f>_xlfn.XLOOKUP(tbl_subscription[[#This Row],[Customer_ID]],tbl_clint[[#This Row],[Customer_ID]],tbl_clint[[#This Row],[Company_Size]])</f>
        <v/>
      </c>
      <c r="M704">
        <f>YEAR(tbl_subscription[[#This Row],[Start_Date]])</f>
        <v/>
      </c>
    </row>
    <row r="705">
      <c r="A705" t="inlineStr">
        <is>
          <t>C0704</t>
        </is>
      </c>
      <c r="B705" t="inlineStr">
        <is>
          <t>Basic</t>
        </is>
      </c>
      <c r="C705" s="4" t="n">
        <v>45476</v>
      </c>
      <c r="D705" s="4" t="n">
        <v>45657</v>
      </c>
      <c r="E705" t="n">
        <v>15</v>
      </c>
      <c r="F705" t="inlineStr">
        <is>
          <t>Active</t>
        </is>
      </c>
      <c r="G705" t="inlineStr">
        <is>
          <t>Facebook</t>
        </is>
      </c>
      <c r="H705">
        <f>TEXT(C705,"mmm-yyyy")</f>
        <v/>
      </c>
      <c r="I705">
        <f>TEXT(D705,"mmm-yyyy")</f>
        <v/>
      </c>
      <c r="J705">
        <f>_xlfn.XLOOKUP(tbl_subscription[[#This Row],[Customer_ID]],tbl_clint[Customer_ID],tbl_clint[Country])</f>
        <v/>
      </c>
      <c r="K705">
        <f>_xlfn.XLOOKUP(tbl_subscription[[#This Row],[Customer_ID]],tbl_clint[[#This Row],[Customer_ID]],tbl_clint[[#This Row],[Industry]])</f>
        <v/>
      </c>
      <c r="L705">
        <f>_xlfn.XLOOKUP(tbl_subscription[[#This Row],[Customer_ID]],tbl_clint[[#This Row],[Customer_ID]],tbl_clint[[#This Row],[Company_Size]])</f>
        <v/>
      </c>
      <c r="M705">
        <f>YEAR(tbl_subscription[[#This Row],[Start_Date]])</f>
        <v/>
      </c>
    </row>
    <row r="706">
      <c r="A706" t="inlineStr">
        <is>
          <t>C0705</t>
        </is>
      </c>
      <c r="B706" t="inlineStr">
        <is>
          <t>Premium</t>
        </is>
      </c>
      <c r="C706" s="4" t="n">
        <v>44307</v>
      </c>
      <c r="D706" s="4" t="n">
        <v>44709</v>
      </c>
      <c r="E706" t="n">
        <v>40</v>
      </c>
      <c r="F706" t="inlineStr">
        <is>
          <t>Churned</t>
        </is>
      </c>
      <c r="G706" t="inlineStr">
        <is>
          <t>LinkedIn</t>
        </is>
      </c>
      <c r="H706">
        <f>TEXT(C706,"mmm-yyyy")</f>
        <v/>
      </c>
      <c r="I706">
        <f>TEXT(D706,"mmm-yyyy")</f>
        <v/>
      </c>
      <c r="J706">
        <f>_xlfn.XLOOKUP(tbl_subscription[[#This Row],[Customer_ID]],tbl_clint[Customer_ID],tbl_clint[Country])</f>
        <v/>
      </c>
      <c r="K706">
        <f>_xlfn.XLOOKUP(tbl_subscription[[#This Row],[Customer_ID]],tbl_clint[[#This Row],[Customer_ID]],tbl_clint[[#This Row],[Industry]])</f>
        <v/>
      </c>
      <c r="L706">
        <f>_xlfn.XLOOKUP(tbl_subscription[[#This Row],[Customer_ID]],tbl_clint[[#This Row],[Customer_ID]],tbl_clint[[#This Row],[Company_Size]])</f>
        <v/>
      </c>
      <c r="M706">
        <f>YEAR(tbl_subscription[[#This Row],[Start_Date]])</f>
        <v/>
      </c>
    </row>
    <row r="707">
      <c r="A707" t="inlineStr">
        <is>
          <t>C0706</t>
        </is>
      </c>
      <c r="B707" t="inlineStr">
        <is>
          <t>Basic</t>
        </is>
      </c>
      <c r="C707" s="4" t="n">
        <v>45240</v>
      </c>
      <c r="D707" s="4" t="n">
        <v>45657</v>
      </c>
      <c r="E707" t="n">
        <v>15</v>
      </c>
      <c r="F707" t="inlineStr">
        <is>
          <t>Churned</t>
        </is>
      </c>
      <c r="G707" t="inlineStr">
        <is>
          <t>Google</t>
        </is>
      </c>
      <c r="H707">
        <f>TEXT(C707,"mmm-yyyy")</f>
        <v/>
      </c>
      <c r="I707">
        <f>TEXT(D707,"mmm-yyyy")</f>
        <v/>
      </c>
      <c r="J707">
        <f>_xlfn.XLOOKUP(tbl_subscription[[#This Row],[Customer_ID]],tbl_clint[Customer_ID],tbl_clint[Country])</f>
        <v/>
      </c>
      <c r="K707">
        <f>_xlfn.XLOOKUP(tbl_subscription[[#This Row],[Customer_ID]],tbl_clint[[#This Row],[Customer_ID]],tbl_clint[[#This Row],[Industry]])</f>
        <v/>
      </c>
      <c r="L707">
        <f>_xlfn.XLOOKUP(tbl_subscription[[#This Row],[Customer_ID]],tbl_clint[[#This Row],[Customer_ID]],tbl_clint[[#This Row],[Company_Size]])</f>
        <v/>
      </c>
      <c r="M707">
        <f>YEAR(tbl_subscription[[#This Row],[Start_Date]])</f>
        <v/>
      </c>
    </row>
    <row r="708">
      <c r="A708" t="inlineStr">
        <is>
          <t>C0707</t>
        </is>
      </c>
      <c r="B708" t="inlineStr">
        <is>
          <t>Standard</t>
        </is>
      </c>
      <c r="C708" s="4" t="n">
        <v>44351</v>
      </c>
      <c r="D708" s="4" t="n">
        <v>45657</v>
      </c>
      <c r="E708" t="n">
        <v>25</v>
      </c>
      <c r="F708" t="inlineStr">
        <is>
          <t>Active</t>
        </is>
      </c>
      <c r="G708" t="inlineStr">
        <is>
          <t>Facebook</t>
        </is>
      </c>
      <c r="H708">
        <f>TEXT(C708,"mmm-yyyy")</f>
        <v/>
      </c>
      <c r="I708">
        <f>TEXT(D708,"mmm-yyyy")</f>
        <v/>
      </c>
      <c r="J708">
        <f>_xlfn.XLOOKUP(tbl_subscription[[#This Row],[Customer_ID]],tbl_clint[Customer_ID],tbl_clint[Country])</f>
        <v/>
      </c>
      <c r="K708">
        <f>_xlfn.XLOOKUP(tbl_subscription[[#This Row],[Customer_ID]],tbl_clint[[#This Row],[Customer_ID]],tbl_clint[[#This Row],[Industry]])</f>
        <v/>
      </c>
      <c r="L708">
        <f>_xlfn.XLOOKUP(tbl_subscription[[#This Row],[Customer_ID]],tbl_clint[[#This Row],[Customer_ID]],tbl_clint[[#This Row],[Company_Size]])</f>
        <v/>
      </c>
      <c r="M708">
        <f>YEAR(tbl_subscription[[#This Row],[Start_Date]])</f>
        <v/>
      </c>
    </row>
    <row r="709">
      <c r="A709" t="inlineStr">
        <is>
          <t>C0708</t>
        </is>
      </c>
      <c r="B709" t="inlineStr">
        <is>
          <t>Premium</t>
        </is>
      </c>
      <c r="C709" s="4" t="n">
        <v>44361</v>
      </c>
      <c r="D709" s="4" t="n">
        <v>45657</v>
      </c>
      <c r="E709" t="n">
        <v>40</v>
      </c>
      <c r="F709" t="inlineStr">
        <is>
          <t>Active</t>
        </is>
      </c>
      <c r="G709" t="inlineStr">
        <is>
          <t>Referral</t>
        </is>
      </c>
      <c r="H709">
        <f>TEXT(C709,"mmm-yyyy")</f>
        <v/>
      </c>
      <c r="I709">
        <f>TEXT(D709,"mmm-yyyy")</f>
        <v/>
      </c>
      <c r="J709">
        <f>_xlfn.XLOOKUP(tbl_subscription[[#This Row],[Customer_ID]],tbl_clint[Customer_ID],tbl_clint[Country])</f>
        <v/>
      </c>
      <c r="K709">
        <f>_xlfn.XLOOKUP(tbl_subscription[[#This Row],[Customer_ID]],tbl_clint[[#This Row],[Customer_ID]],tbl_clint[[#This Row],[Industry]])</f>
        <v/>
      </c>
      <c r="L709">
        <f>_xlfn.XLOOKUP(tbl_subscription[[#This Row],[Customer_ID]],tbl_clint[[#This Row],[Customer_ID]],tbl_clint[[#This Row],[Company_Size]])</f>
        <v/>
      </c>
      <c r="M709">
        <f>YEAR(tbl_subscription[[#This Row],[Start_Date]])</f>
        <v/>
      </c>
    </row>
    <row r="710">
      <c r="A710" t="inlineStr">
        <is>
          <t>C0709</t>
        </is>
      </c>
      <c r="B710" t="inlineStr">
        <is>
          <t>Basic</t>
        </is>
      </c>
      <c r="C710" s="4" t="n">
        <v>44978</v>
      </c>
      <c r="D710" s="4" t="n">
        <v>45657</v>
      </c>
      <c r="E710" t="n">
        <v>15</v>
      </c>
      <c r="F710" t="inlineStr">
        <is>
          <t>Active</t>
        </is>
      </c>
      <c r="G710" t="inlineStr">
        <is>
          <t>Facebook</t>
        </is>
      </c>
      <c r="H710">
        <f>TEXT(C710,"mmm-yyyy")</f>
        <v/>
      </c>
      <c r="I710">
        <f>TEXT(D710,"mmm-yyyy")</f>
        <v/>
      </c>
      <c r="J710">
        <f>_xlfn.XLOOKUP(tbl_subscription[[#This Row],[Customer_ID]],tbl_clint[Customer_ID],tbl_clint[Country])</f>
        <v/>
      </c>
      <c r="K710">
        <f>_xlfn.XLOOKUP(tbl_subscription[[#This Row],[Customer_ID]],tbl_clint[[#This Row],[Customer_ID]],tbl_clint[[#This Row],[Industry]])</f>
        <v/>
      </c>
      <c r="L710">
        <f>_xlfn.XLOOKUP(tbl_subscription[[#This Row],[Customer_ID]],tbl_clint[[#This Row],[Customer_ID]],tbl_clint[[#This Row],[Company_Size]])</f>
        <v/>
      </c>
      <c r="M710">
        <f>YEAR(tbl_subscription[[#This Row],[Start_Date]])</f>
        <v/>
      </c>
    </row>
    <row r="711">
      <c r="A711" t="inlineStr">
        <is>
          <t>C0710</t>
        </is>
      </c>
      <c r="B711" t="inlineStr">
        <is>
          <t>Standard</t>
        </is>
      </c>
      <c r="C711" s="4" t="n">
        <v>43925</v>
      </c>
      <c r="D711" s="4" t="n">
        <v>45657</v>
      </c>
      <c r="E711" t="n">
        <v>25</v>
      </c>
      <c r="F711" t="inlineStr">
        <is>
          <t>Active</t>
        </is>
      </c>
      <c r="G711" t="inlineStr">
        <is>
          <t>Instagram</t>
        </is>
      </c>
      <c r="H711">
        <f>TEXT(C711,"mmm-yyyy")</f>
        <v/>
      </c>
      <c r="I711">
        <f>TEXT(D711,"mmm-yyyy")</f>
        <v/>
      </c>
      <c r="J711">
        <f>_xlfn.XLOOKUP(tbl_subscription[[#This Row],[Customer_ID]],tbl_clint[Customer_ID],tbl_clint[Country])</f>
        <v/>
      </c>
      <c r="K711">
        <f>_xlfn.XLOOKUP(tbl_subscription[[#This Row],[Customer_ID]],tbl_clint[[#This Row],[Customer_ID]],tbl_clint[[#This Row],[Industry]])</f>
        <v/>
      </c>
      <c r="L711">
        <f>_xlfn.XLOOKUP(tbl_subscription[[#This Row],[Customer_ID]],tbl_clint[[#This Row],[Customer_ID]],tbl_clint[[#This Row],[Company_Size]])</f>
        <v/>
      </c>
      <c r="M711">
        <f>YEAR(tbl_subscription[[#This Row],[Start_Date]])</f>
        <v/>
      </c>
    </row>
    <row r="712">
      <c r="A712" t="inlineStr">
        <is>
          <t>C0711</t>
        </is>
      </c>
      <c r="B712" t="inlineStr">
        <is>
          <t>Standard</t>
        </is>
      </c>
      <c r="C712" s="4" t="n">
        <v>45287</v>
      </c>
      <c r="D712" s="4" t="n">
        <v>45657</v>
      </c>
      <c r="E712" t="n">
        <v>25</v>
      </c>
      <c r="F712" t="inlineStr">
        <is>
          <t>Active</t>
        </is>
      </c>
      <c r="G712" t="inlineStr">
        <is>
          <t>LinkedIn</t>
        </is>
      </c>
      <c r="H712">
        <f>TEXT(C712,"mmm-yyyy")</f>
        <v/>
      </c>
      <c r="I712">
        <f>TEXT(D712,"mmm-yyyy")</f>
        <v/>
      </c>
      <c r="J712">
        <f>_xlfn.XLOOKUP(tbl_subscription[[#This Row],[Customer_ID]],tbl_clint[Customer_ID],tbl_clint[Country])</f>
        <v/>
      </c>
      <c r="K712">
        <f>_xlfn.XLOOKUP(tbl_subscription[[#This Row],[Customer_ID]],tbl_clint[[#This Row],[Customer_ID]],tbl_clint[[#This Row],[Industry]])</f>
        <v/>
      </c>
      <c r="L712">
        <f>_xlfn.XLOOKUP(tbl_subscription[[#This Row],[Customer_ID]],tbl_clint[[#This Row],[Customer_ID]],tbl_clint[[#This Row],[Company_Size]])</f>
        <v/>
      </c>
      <c r="M712">
        <f>YEAR(tbl_subscription[[#This Row],[Start_Date]])</f>
        <v/>
      </c>
    </row>
    <row r="713">
      <c r="A713" t="inlineStr">
        <is>
          <t>C0712</t>
        </is>
      </c>
      <c r="B713" t="inlineStr">
        <is>
          <t>Premium</t>
        </is>
      </c>
      <c r="C713" s="4" t="n">
        <v>45034</v>
      </c>
      <c r="D713" s="4" t="n">
        <v>45657</v>
      </c>
      <c r="E713" t="n">
        <v>40</v>
      </c>
      <c r="F713" t="inlineStr">
        <is>
          <t>Active</t>
        </is>
      </c>
      <c r="G713" t="inlineStr">
        <is>
          <t>LinkedIn</t>
        </is>
      </c>
      <c r="H713">
        <f>TEXT(C713,"mmm-yyyy")</f>
        <v/>
      </c>
      <c r="I713">
        <f>TEXT(D713,"mmm-yyyy")</f>
        <v/>
      </c>
      <c r="J713">
        <f>_xlfn.XLOOKUP(tbl_subscription[[#This Row],[Customer_ID]],tbl_clint[Customer_ID],tbl_clint[Country])</f>
        <v/>
      </c>
      <c r="K713">
        <f>_xlfn.XLOOKUP(tbl_subscription[[#This Row],[Customer_ID]],tbl_clint[[#This Row],[Customer_ID]],tbl_clint[[#This Row],[Industry]])</f>
        <v/>
      </c>
      <c r="L713">
        <f>_xlfn.XLOOKUP(tbl_subscription[[#This Row],[Customer_ID]],tbl_clint[[#This Row],[Customer_ID]],tbl_clint[[#This Row],[Company_Size]])</f>
        <v/>
      </c>
      <c r="M713">
        <f>YEAR(tbl_subscription[[#This Row],[Start_Date]])</f>
        <v/>
      </c>
    </row>
    <row r="714">
      <c r="A714" t="inlineStr">
        <is>
          <t>C0713</t>
        </is>
      </c>
      <c r="B714" t="inlineStr">
        <is>
          <t>Basic</t>
        </is>
      </c>
      <c r="C714" s="4" t="n">
        <v>45182</v>
      </c>
      <c r="D714" s="4" t="n">
        <v>45657</v>
      </c>
      <c r="E714" t="n">
        <v>15</v>
      </c>
      <c r="F714" t="inlineStr">
        <is>
          <t>Active</t>
        </is>
      </c>
      <c r="G714" t="inlineStr">
        <is>
          <t>Google</t>
        </is>
      </c>
      <c r="H714">
        <f>TEXT(C714,"mmm-yyyy")</f>
        <v/>
      </c>
      <c r="I714">
        <f>TEXT(D714,"mmm-yyyy")</f>
        <v/>
      </c>
      <c r="J714">
        <f>_xlfn.XLOOKUP(tbl_subscription[[#This Row],[Customer_ID]],tbl_clint[Customer_ID],tbl_clint[Country])</f>
        <v/>
      </c>
      <c r="K714">
        <f>_xlfn.XLOOKUP(tbl_subscription[[#This Row],[Customer_ID]],tbl_clint[[#This Row],[Customer_ID]],tbl_clint[[#This Row],[Industry]])</f>
        <v/>
      </c>
      <c r="L714">
        <f>_xlfn.XLOOKUP(tbl_subscription[[#This Row],[Customer_ID]],tbl_clint[[#This Row],[Customer_ID]],tbl_clint[[#This Row],[Company_Size]])</f>
        <v/>
      </c>
      <c r="M714">
        <f>YEAR(tbl_subscription[[#This Row],[Start_Date]])</f>
        <v/>
      </c>
    </row>
    <row r="715">
      <c r="A715" t="inlineStr">
        <is>
          <t>C0714</t>
        </is>
      </c>
      <c r="B715" t="inlineStr">
        <is>
          <t>Standard</t>
        </is>
      </c>
      <c r="C715" s="4" t="n">
        <v>45072</v>
      </c>
      <c r="D715" s="4" t="n">
        <v>45657</v>
      </c>
      <c r="E715" t="n">
        <v>25</v>
      </c>
      <c r="F715" t="inlineStr">
        <is>
          <t>Active</t>
        </is>
      </c>
      <c r="G715" t="inlineStr">
        <is>
          <t>Instagram</t>
        </is>
      </c>
      <c r="H715">
        <f>TEXT(C715,"mmm-yyyy")</f>
        <v/>
      </c>
      <c r="I715">
        <f>TEXT(D715,"mmm-yyyy")</f>
        <v/>
      </c>
      <c r="J715">
        <f>_xlfn.XLOOKUP(tbl_subscription[[#This Row],[Customer_ID]],tbl_clint[Customer_ID],tbl_clint[Country])</f>
        <v/>
      </c>
      <c r="K715">
        <f>_xlfn.XLOOKUP(tbl_subscription[[#This Row],[Customer_ID]],tbl_clint[[#This Row],[Customer_ID]],tbl_clint[[#This Row],[Industry]])</f>
        <v/>
      </c>
      <c r="L715">
        <f>_xlfn.XLOOKUP(tbl_subscription[[#This Row],[Customer_ID]],tbl_clint[[#This Row],[Customer_ID]],tbl_clint[[#This Row],[Company_Size]])</f>
        <v/>
      </c>
      <c r="M715">
        <f>YEAR(tbl_subscription[[#This Row],[Start_Date]])</f>
        <v/>
      </c>
    </row>
    <row r="716">
      <c r="A716" t="inlineStr">
        <is>
          <t>C0715</t>
        </is>
      </c>
      <c r="B716" t="inlineStr">
        <is>
          <t>Premium</t>
        </is>
      </c>
      <c r="C716" s="4" t="n">
        <v>45058</v>
      </c>
      <c r="D716" s="4" t="n">
        <v>45632</v>
      </c>
      <c r="E716" t="n">
        <v>40</v>
      </c>
      <c r="F716" t="inlineStr">
        <is>
          <t>Churned</t>
        </is>
      </c>
      <c r="G716" t="inlineStr">
        <is>
          <t>Facebook</t>
        </is>
      </c>
      <c r="H716">
        <f>TEXT(C716,"mmm-yyyy")</f>
        <v/>
      </c>
      <c r="I716">
        <f>TEXT(D716,"mmm-yyyy")</f>
        <v/>
      </c>
      <c r="J716">
        <f>_xlfn.XLOOKUP(tbl_subscription[[#This Row],[Customer_ID]],tbl_clint[Customer_ID],tbl_clint[Country])</f>
        <v/>
      </c>
      <c r="K716">
        <f>_xlfn.XLOOKUP(tbl_subscription[[#This Row],[Customer_ID]],tbl_clint[[#This Row],[Customer_ID]],tbl_clint[[#This Row],[Industry]])</f>
        <v/>
      </c>
      <c r="L716">
        <f>_xlfn.XLOOKUP(tbl_subscription[[#This Row],[Customer_ID]],tbl_clint[[#This Row],[Customer_ID]],tbl_clint[[#This Row],[Company_Size]])</f>
        <v/>
      </c>
      <c r="M716">
        <f>YEAR(tbl_subscription[[#This Row],[Start_Date]])</f>
        <v/>
      </c>
    </row>
    <row r="717">
      <c r="A717" t="inlineStr">
        <is>
          <t>C0716</t>
        </is>
      </c>
      <c r="B717" t="inlineStr">
        <is>
          <t>Basic</t>
        </is>
      </c>
      <c r="C717" s="4" t="n">
        <v>44654</v>
      </c>
      <c r="D717" s="4" t="n">
        <v>45657</v>
      </c>
      <c r="E717" t="n">
        <v>15</v>
      </c>
      <c r="F717" t="inlineStr">
        <is>
          <t>Active</t>
        </is>
      </c>
      <c r="G717" t="inlineStr">
        <is>
          <t>Referral</t>
        </is>
      </c>
      <c r="H717">
        <f>TEXT(C717,"mmm-yyyy")</f>
        <v/>
      </c>
      <c r="I717">
        <f>TEXT(D717,"mmm-yyyy")</f>
        <v/>
      </c>
      <c r="J717">
        <f>_xlfn.XLOOKUP(tbl_subscription[[#This Row],[Customer_ID]],tbl_clint[Customer_ID],tbl_clint[Country])</f>
        <v/>
      </c>
      <c r="K717">
        <f>_xlfn.XLOOKUP(tbl_subscription[[#This Row],[Customer_ID]],tbl_clint[[#This Row],[Customer_ID]],tbl_clint[[#This Row],[Industry]])</f>
        <v/>
      </c>
      <c r="L717">
        <f>_xlfn.XLOOKUP(tbl_subscription[[#This Row],[Customer_ID]],tbl_clint[[#This Row],[Customer_ID]],tbl_clint[[#This Row],[Company_Size]])</f>
        <v/>
      </c>
      <c r="M717">
        <f>YEAR(tbl_subscription[[#This Row],[Start_Date]])</f>
        <v/>
      </c>
    </row>
    <row r="718">
      <c r="A718" t="inlineStr">
        <is>
          <t>C0717</t>
        </is>
      </c>
      <c r="B718" t="inlineStr">
        <is>
          <t>Standard</t>
        </is>
      </c>
      <c r="C718" s="4" t="n">
        <v>44090</v>
      </c>
      <c r="D718" s="4" t="n">
        <v>45657</v>
      </c>
      <c r="E718" t="n">
        <v>25</v>
      </c>
      <c r="F718" t="inlineStr">
        <is>
          <t>Active</t>
        </is>
      </c>
      <c r="G718" t="inlineStr">
        <is>
          <t>Instagram</t>
        </is>
      </c>
      <c r="H718">
        <f>TEXT(C718,"mmm-yyyy")</f>
        <v/>
      </c>
      <c r="I718">
        <f>TEXT(D718,"mmm-yyyy")</f>
        <v/>
      </c>
      <c r="J718">
        <f>_xlfn.XLOOKUP(tbl_subscription[[#This Row],[Customer_ID]],tbl_clint[Customer_ID],tbl_clint[Country])</f>
        <v/>
      </c>
      <c r="K718">
        <f>_xlfn.XLOOKUP(tbl_subscription[[#This Row],[Customer_ID]],tbl_clint[[#This Row],[Customer_ID]],tbl_clint[[#This Row],[Industry]])</f>
        <v/>
      </c>
      <c r="L718">
        <f>_xlfn.XLOOKUP(tbl_subscription[[#This Row],[Customer_ID]],tbl_clint[[#This Row],[Customer_ID]],tbl_clint[[#This Row],[Company_Size]])</f>
        <v/>
      </c>
      <c r="M718">
        <f>YEAR(tbl_subscription[[#This Row],[Start_Date]])</f>
        <v/>
      </c>
    </row>
    <row r="719">
      <c r="A719" t="inlineStr">
        <is>
          <t>C0718</t>
        </is>
      </c>
      <c r="B719" t="inlineStr">
        <is>
          <t>Premium</t>
        </is>
      </c>
      <c r="C719" s="4" t="n">
        <v>44911</v>
      </c>
      <c r="D719" s="4" t="n">
        <v>45572</v>
      </c>
      <c r="E719" t="n">
        <v>40</v>
      </c>
      <c r="F719" t="inlineStr">
        <is>
          <t>Churned</t>
        </is>
      </c>
      <c r="G719" t="inlineStr">
        <is>
          <t>Google</t>
        </is>
      </c>
      <c r="H719">
        <f>TEXT(C719,"mmm-yyyy")</f>
        <v/>
      </c>
      <c r="I719">
        <f>TEXT(D719,"mmm-yyyy")</f>
        <v/>
      </c>
      <c r="J719">
        <f>_xlfn.XLOOKUP(tbl_subscription[[#This Row],[Customer_ID]],tbl_clint[Customer_ID],tbl_clint[Country])</f>
        <v/>
      </c>
      <c r="K719">
        <f>_xlfn.XLOOKUP(tbl_subscription[[#This Row],[Customer_ID]],tbl_clint[[#This Row],[Customer_ID]],tbl_clint[[#This Row],[Industry]])</f>
        <v/>
      </c>
      <c r="L719">
        <f>_xlfn.XLOOKUP(tbl_subscription[[#This Row],[Customer_ID]],tbl_clint[[#This Row],[Customer_ID]],tbl_clint[[#This Row],[Company_Size]])</f>
        <v/>
      </c>
      <c r="M719">
        <f>YEAR(tbl_subscription[[#This Row],[Start_Date]])</f>
        <v/>
      </c>
    </row>
    <row r="720">
      <c r="A720" t="inlineStr">
        <is>
          <t>C0719</t>
        </is>
      </c>
      <c r="B720" t="inlineStr">
        <is>
          <t>Standard</t>
        </is>
      </c>
      <c r="C720" s="4" t="n">
        <v>44458</v>
      </c>
      <c r="D720" s="4" t="n">
        <v>45175</v>
      </c>
      <c r="E720" t="n">
        <v>25</v>
      </c>
      <c r="F720" t="inlineStr">
        <is>
          <t>Churned</t>
        </is>
      </c>
      <c r="G720" t="inlineStr">
        <is>
          <t>LinkedIn</t>
        </is>
      </c>
      <c r="H720">
        <f>TEXT(C720,"mmm-yyyy")</f>
        <v/>
      </c>
      <c r="I720">
        <f>TEXT(D720,"mmm-yyyy")</f>
        <v/>
      </c>
      <c r="J720">
        <f>_xlfn.XLOOKUP(tbl_subscription[[#This Row],[Customer_ID]],tbl_clint[Customer_ID],tbl_clint[Country])</f>
        <v/>
      </c>
      <c r="K720">
        <f>_xlfn.XLOOKUP(tbl_subscription[[#This Row],[Customer_ID]],tbl_clint[[#This Row],[Customer_ID]],tbl_clint[[#This Row],[Industry]])</f>
        <v/>
      </c>
      <c r="L720">
        <f>_xlfn.XLOOKUP(tbl_subscription[[#This Row],[Customer_ID]],tbl_clint[[#This Row],[Customer_ID]],tbl_clint[[#This Row],[Company_Size]])</f>
        <v/>
      </c>
      <c r="M720">
        <f>YEAR(tbl_subscription[[#This Row],[Start_Date]])</f>
        <v/>
      </c>
    </row>
    <row r="721">
      <c r="A721" t="inlineStr">
        <is>
          <t>C0720</t>
        </is>
      </c>
      <c r="B721" t="inlineStr">
        <is>
          <t>Basic</t>
        </is>
      </c>
      <c r="C721" s="4" t="n">
        <v>44798</v>
      </c>
      <c r="D721" s="4" t="n">
        <v>45657</v>
      </c>
      <c r="E721" t="n">
        <v>15</v>
      </c>
      <c r="F721" t="inlineStr">
        <is>
          <t>Active</t>
        </is>
      </c>
      <c r="G721" t="inlineStr">
        <is>
          <t>Instagram</t>
        </is>
      </c>
      <c r="H721">
        <f>TEXT(C721,"mmm-yyyy")</f>
        <v/>
      </c>
      <c r="I721">
        <f>TEXT(D721,"mmm-yyyy")</f>
        <v/>
      </c>
      <c r="J721">
        <f>_xlfn.XLOOKUP(tbl_subscription[[#This Row],[Customer_ID]],tbl_clint[Customer_ID],tbl_clint[Country])</f>
        <v/>
      </c>
      <c r="K721">
        <f>_xlfn.XLOOKUP(tbl_subscription[[#This Row],[Customer_ID]],tbl_clint[[#This Row],[Customer_ID]],tbl_clint[[#This Row],[Industry]])</f>
        <v/>
      </c>
      <c r="L721">
        <f>_xlfn.XLOOKUP(tbl_subscription[[#This Row],[Customer_ID]],tbl_clint[[#This Row],[Customer_ID]],tbl_clint[[#This Row],[Company_Size]])</f>
        <v/>
      </c>
      <c r="M721">
        <f>YEAR(tbl_subscription[[#This Row],[Start_Date]])</f>
        <v/>
      </c>
    </row>
    <row r="722">
      <c r="A722" t="inlineStr">
        <is>
          <t>C0721</t>
        </is>
      </c>
      <c r="B722" t="inlineStr">
        <is>
          <t>Basic</t>
        </is>
      </c>
      <c r="C722" s="4" t="n">
        <v>43862</v>
      </c>
      <c r="D722" s="4" t="n">
        <v>45657</v>
      </c>
      <c r="E722" t="n">
        <v>15</v>
      </c>
      <c r="F722" t="inlineStr">
        <is>
          <t>Active</t>
        </is>
      </c>
      <c r="G722" t="inlineStr">
        <is>
          <t>LinkedIn</t>
        </is>
      </c>
      <c r="H722">
        <f>TEXT(C722,"mmm-yyyy")</f>
        <v/>
      </c>
      <c r="I722">
        <f>TEXT(D722,"mmm-yyyy")</f>
        <v/>
      </c>
      <c r="J722">
        <f>_xlfn.XLOOKUP(tbl_subscription[[#This Row],[Customer_ID]],tbl_clint[Customer_ID],tbl_clint[Country])</f>
        <v/>
      </c>
      <c r="K722">
        <f>_xlfn.XLOOKUP(tbl_subscription[[#This Row],[Customer_ID]],tbl_clint[[#This Row],[Customer_ID]],tbl_clint[[#This Row],[Industry]])</f>
        <v/>
      </c>
      <c r="L722">
        <f>_xlfn.XLOOKUP(tbl_subscription[[#This Row],[Customer_ID]],tbl_clint[[#This Row],[Customer_ID]],tbl_clint[[#This Row],[Company_Size]])</f>
        <v/>
      </c>
      <c r="M722">
        <f>YEAR(tbl_subscription[[#This Row],[Start_Date]])</f>
        <v/>
      </c>
    </row>
    <row r="723">
      <c r="A723" t="inlineStr">
        <is>
          <t>C0722</t>
        </is>
      </c>
      <c r="B723" t="inlineStr">
        <is>
          <t>Premium</t>
        </is>
      </c>
      <c r="C723" s="4" t="n">
        <v>44518</v>
      </c>
      <c r="D723" s="4" t="n">
        <v>44771</v>
      </c>
      <c r="E723" t="n">
        <v>40</v>
      </c>
      <c r="F723" t="inlineStr">
        <is>
          <t>Churned</t>
        </is>
      </c>
      <c r="G723" t="inlineStr">
        <is>
          <t>Referral</t>
        </is>
      </c>
      <c r="H723">
        <f>TEXT(C723,"mmm-yyyy")</f>
        <v/>
      </c>
      <c r="I723">
        <f>TEXT(D723,"mmm-yyyy")</f>
        <v/>
      </c>
      <c r="J723">
        <f>_xlfn.XLOOKUP(tbl_subscription[[#This Row],[Customer_ID]],tbl_clint[Customer_ID],tbl_clint[Country])</f>
        <v/>
      </c>
      <c r="K723">
        <f>_xlfn.XLOOKUP(tbl_subscription[[#This Row],[Customer_ID]],tbl_clint[[#This Row],[Customer_ID]],tbl_clint[[#This Row],[Industry]])</f>
        <v/>
      </c>
      <c r="L723">
        <f>_xlfn.XLOOKUP(tbl_subscription[[#This Row],[Customer_ID]],tbl_clint[[#This Row],[Customer_ID]],tbl_clint[[#This Row],[Company_Size]])</f>
        <v/>
      </c>
      <c r="M723">
        <f>YEAR(tbl_subscription[[#This Row],[Start_Date]])</f>
        <v/>
      </c>
    </row>
    <row r="724">
      <c r="A724" t="inlineStr">
        <is>
          <t>C0723</t>
        </is>
      </c>
      <c r="B724" t="inlineStr">
        <is>
          <t>Standard</t>
        </is>
      </c>
      <c r="C724" s="4" t="n">
        <v>43911</v>
      </c>
      <c r="D724" s="4" t="n">
        <v>45657</v>
      </c>
      <c r="E724" t="n">
        <v>25</v>
      </c>
      <c r="F724" t="inlineStr">
        <is>
          <t>Active</t>
        </is>
      </c>
      <c r="G724" t="inlineStr">
        <is>
          <t>LinkedIn</t>
        </is>
      </c>
      <c r="H724">
        <f>TEXT(C724,"mmm-yyyy")</f>
        <v/>
      </c>
      <c r="I724">
        <f>TEXT(D724,"mmm-yyyy")</f>
        <v/>
      </c>
      <c r="J724">
        <f>_xlfn.XLOOKUP(tbl_subscription[[#This Row],[Customer_ID]],tbl_clint[Customer_ID],tbl_clint[Country])</f>
        <v/>
      </c>
      <c r="K724">
        <f>_xlfn.XLOOKUP(tbl_subscription[[#This Row],[Customer_ID]],tbl_clint[[#This Row],[Customer_ID]],tbl_clint[[#This Row],[Industry]])</f>
        <v/>
      </c>
      <c r="L724">
        <f>_xlfn.XLOOKUP(tbl_subscription[[#This Row],[Customer_ID]],tbl_clint[[#This Row],[Customer_ID]],tbl_clint[[#This Row],[Company_Size]])</f>
        <v/>
      </c>
      <c r="M724">
        <f>YEAR(tbl_subscription[[#This Row],[Start_Date]])</f>
        <v/>
      </c>
    </row>
    <row r="725">
      <c r="A725" t="inlineStr">
        <is>
          <t>C0724</t>
        </is>
      </c>
      <c r="B725" t="inlineStr">
        <is>
          <t>Basic</t>
        </is>
      </c>
      <c r="C725" s="4" t="n">
        <v>44886</v>
      </c>
      <c r="D725" s="4" t="n">
        <v>45590</v>
      </c>
      <c r="E725" t="n">
        <v>15</v>
      </c>
      <c r="F725" t="inlineStr">
        <is>
          <t>Churned</t>
        </is>
      </c>
      <c r="G725" t="inlineStr">
        <is>
          <t>LinkedIn</t>
        </is>
      </c>
      <c r="H725">
        <f>TEXT(C725,"mmm-yyyy")</f>
        <v/>
      </c>
      <c r="I725">
        <f>TEXT(D725,"mmm-yyyy")</f>
        <v/>
      </c>
      <c r="J725">
        <f>_xlfn.XLOOKUP(tbl_subscription[[#This Row],[Customer_ID]],tbl_clint[Customer_ID],tbl_clint[Country])</f>
        <v/>
      </c>
      <c r="K725">
        <f>_xlfn.XLOOKUP(tbl_subscription[[#This Row],[Customer_ID]],tbl_clint[[#This Row],[Customer_ID]],tbl_clint[[#This Row],[Industry]])</f>
        <v/>
      </c>
      <c r="L725">
        <f>_xlfn.XLOOKUP(tbl_subscription[[#This Row],[Customer_ID]],tbl_clint[[#This Row],[Customer_ID]],tbl_clint[[#This Row],[Company_Size]])</f>
        <v/>
      </c>
      <c r="M725">
        <f>YEAR(tbl_subscription[[#This Row],[Start_Date]])</f>
        <v/>
      </c>
    </row>
    <row r="726">
      <c r="A726" t="inlineStr">
        <is>
          <t>C0725</t>
        </is>
      </c>
      <c r="B726" t="inlineStr">
        <is>
          <t>Standard</t>
        </is>
      </c>
      <c r="C726" s="4" t="n">
        <v>44857</v>
      </c>
      <c r="D726" s="4" t="n">
        <v>45490</v>
      </c>
      <c r="E726" t="n">
        <v>25</v>
      </c>
      <c r="F726" t="inlineStr">
        <is>
          <t>Churned</t>
        </is>
      </c>
      <c r="G726" t="inlineStr">
        <is>
          <t>LinkedIn</t>
        </is>
      </c>
      <c r="H726">
        <f>TEXT(C726,"mmm-yyyy")</f>
        <v/>
      </c>
      <c r="I726">
        <f>TEXT(D726,"mmm-yyyy")</f>
        <v/>
      </c>
      <c r="J726">
        <f>_xlfn.XLOOKUP(tbl_subscription[[#This Row],[Customer_ID]],tbl_clint[Customer_ID],tbl_clint[Country])</f>
        <v/>
      </c>
      <c r="K726">
        <f>_xlfn.XLOOKUP(tbl_subscription[[#This Row],[Customer_ID]],tbl_clint[[#This Row],[Customer_ID]],tbl_clint[[#This Row],[Industry]])</f>
        <v/>
      </c>
      <c r="L726">
        <f>_xlfn.XLOOKUP(tbl_subscription[[#This Row],[Customer_ID]],tbl_clint[[#This Row],[Customer_ID]],tbl_clint[[#This Row],[Company_Size]])</f>
        <v/>
      </c>
      <c r="M726">
        <f>YEAR(tbl_subscription[[#This Row],[Start_Date]])</f>
        <v/>
      </c>
    </row>
    <row r="727">
      <c r="A727" t="inlineStr">
        <is>
          <t>C0726</t>
        </is>
      </c>
      <c r="B727" t="inlineStr">
        <is>
          <t>Standard</t>
        </is>
      </c>
      <c r="C727" s="4" t="n">
        <v>45095</v>
      </c>
      <c r="D727" s="4" t="n">
        <v>45657</v>
      </c>
      <c r="E727" t="n">
        <v>25</v>
      </c>
      <c r="F727" t="inlineStr">
        <is>
          <t>Active</t>
        </is>
      </c>
      <c r="G727" t="inlineStr">
        <is>
          <t>Google</t>
        </is>
      </c>
      <c r="H727">
        <f>TEXT(C727,"mmm-yyyy")</f>
        <v/>
      </c>
      <c r="I727">
        <f>TEXT(D727,"mmm-yyyy")</f>
        <v/>
      </c>
      <c r="J727">
        <f>_xlfn.XLOOKUP(tbl_subscription[[#This Row],[Customer_ID]],tbl_clint[Customer_ID],tbl_clint[Country])</f>
        <v/>
      </c>
      <c r="K727">
        <f>_xlfn.XLOOKUP(tbl_subscription[[#This Row],[Customer_ID]],tbl_clint[[#This Row],[Customer_ID]],tbl_clint[[#This Row],[Industry]])</f>
        <v/>
      </c>
      <c r="L727">
        <f>_xlfn.XLOOKUP(tbl_subscription[[#This Row],[Customer_ID]],tbl_clint[[#This Row],[Customer_ID]],tbl_clint[[#This Row],[Company_Size]])</f>
        <v/>
      </c>
      <c r="M727">
        <f>YEAR(tbl_subscription[[#This Row],[Start_Date]])</f>
        <v/>
      </c>
    </row>
    <row r="728">
      <c r="A728" t="inlineStr">
        <is>
          <t>C0727</t>
        </is>
      </c>
      <c r="B728" t="inlineStr">
        <is>
          <t>Basic</t>
        </is>
      </c>
      <c r="C728" s="4" t="n">
        <v>44004</v>
      </c>
      <c r="D728" s="4" t="n">
        <v>45657</v>
      </c>
      <c r="E728" t="n">
        <v>15</v>
      </c>
      <c r="F728" t="inlineStr">
        <is>
          <t>Active</t>
        </is>
      </c>
      <c r="G728" t="inlineStr">
        <is>
          <t>Facebook</t>
        </is>
      </c>
      <c r="H728">
        <f>TEXT(C728,"mmm-yyyy")</f>
        <v/>
      </c>
      <c r="I728">
        <f>TEXT(D728,"mmm-yyyy")</f>
        <v/>
      </c>
      <c r="J728">
        <f>_xlfn.XLOOKUP(tbl_subscription[[#This Row],[Customer_ID]],tbl_clint[Customer_ID],tbl_clint[Country])</f>
        <v/>
      </c>
      <c r="K728">
        <f>_xlfn.XLOOKUP(tbl_subscription[[#This Row],[Customer_ID]],tbl_clint[[#This Row],[Customer_ID]],tbl_clint[[#This Row],[Industry]])</f>
        <v/>
      </c>
      <c r="L728">
        <f>_xlfn.XLOOKUP(tbl_subscription[[#This Row],[Customer_ID]],tbl_clint[[#This Row],[Customer_ID]],tbl_clint[[#This Row],[Company_Size]])</f>
        <v/>
      </c>
      <c r="M728">
        <f>YEAR(tbl_subscription[[#This Row],[Start_Date]])</f>
        <v/>
      </c>
    </row>
    <row r="729">
      <c r="A729" t="inlineStr">
        <is>
          <t>C0728</t>
        </is>
      </c>
      <c r="B729" t="inlineStr">
        <is>
          <t>Standard</t>
        </is>
      </c>
      <c r="C729" s="4" t="n">
        <v>44576</v>
      </c>
      <c r="D729" s="4" t="n">
        <v>45657</v>
      </c>
      <c r="E729" t="n">
        <v>25</v>
      </c>
      <c r="F729" t="inlineStr">
        <is>
          <t>Active</t>
        </is>
      </c>
      <c r="G729" t="inlineStr">
        <is>
          <t>Facebook</t>
        </is>
      </c>
      <c r="H729">
        <f>TEXT(C729,"mmm-yyyy")</f>
        <v/>
      </c>
      <c r="I729">
        <f>TEXT(D729,"mmm-yyyy")</f>
        <v/>
      </c>
      <c r="J729">
        <f>_xlfn.XLOOKUP(tbl_subscription[[#This Row],[Customer_ID]],tbl_clint[Customer_ID],tbl_clint[Country])</f>
        <v/>
      </c>
      <c r="K729">
        <f>_xlfn.XLOOKUP(tbl_subscription[[#This Row],[Customer_ID]],tbl_clint[[#This Row],[Customer_ID]],tbl_clint[[#This Row],[Industry]])</f>
        <v/>
      </c>
      <c r="L729">
        <f>_xlfn.XLOOKUP(tbl_subscription[[#This Row],[Customer_ID]],tbl_clint[[#This Row],[Customer_ID]],tbl_clint[[#This Row],[Company_Size]])</f>
        <v/>
      </c>
      <c r="M729">
        <f>YEAR(tbl_subscription[[#This Row],[Start_Date]])</f>
        <v/>
      </c>
    </row>
    <row r="730">
      <c r="A730" t="inlineStr">
        <is>
          <t>C0729</t>
        </is>
      </c>
      <c r="B730" t="inlineStr">
        <is>
          <t>Basic</t>
        </is>
      </c>
      <c r="C730" s="4" t="n">
        <v>44335</v>
      </c>
      <c r="D730" s="4" t="n">
        <v>45657</v>
      </c>
      <c r="E730" t="n">
        <v>15</v>
      </c>
      <c r="F730" t="inlineStr">
        <is>
          <t>Active</t>
        </is>
      </c>
      <c r="G730" t="inlineStr">
        <is>
          <t>Referral</t>
        </is>
      </c>
      <c r="H730">
        <f>TEXT(C730,"mmm-yyyy")</f>
        <v/>
      </c>
      <c r="I730">
        <f>TEXT(D730,"mmm-yyyy")</f>
        <v/>
      </c>
      <c r="J730">
        <f>_xlfn.XLOOKUP(tbl_subscription[[#This Row],[Customer_ID]],tbl_clint[Customer_ID],tbl_clint[Country])</f>
        <v/>
      </c>
      <c r="K730">
        <f>_xlfn.XLOOKUP(tbl_subscription[[#This Row],[Customer_ID]],tbl_clint[[#This Row],[Customer_ID]],tbl_clint[[#This Row],[Industry]])</f>
        <v/>
      </c>
      <c r="L730">
        <f>_xlfn.XLOOKUP(tbl_subscription[[#This Row],[Customer_ID]],tbl_clint[[#This Row],[Customer_ID]],tbl_clint[[#This Row],[Company_Size]])</f>
        <v/>
      </c>
      <c r="M730">
        <f>YEAR(tbl_subscription[[#This Row],[Start_Date]])</f>
        <v/>
      </c>
    </row>
    <row r="731">
      <c r="A731" t="inlineStr">
        <is>
          <t>C0730</t>
        </is>
      </c>
      <c r="B731" t="inlineStr">
        <is>
          <t>Premium</t>
        </is>
      </c>
      <c r="C731" s="4" t="n">
        <v>44163</v>
      </c>
      <c r="D731" s="4" t="n">
        <v>45657</v>
      </c>
      <c r="E731" t="n">
        <v>40</v>
      </c>
      <c r="F731" t="inlineStr">
        <is>
          <t>Active</t>
        </is>
      </c>
      <c r="G731" t="inlineStr">
        <is>
          <t>LinkedIn</t>
        </is>
      </c>
      <c r="H731">
        <f>TEXT(C731,"mmm-yyyy")</f>
        <v/>
      </c>
      <c r="I731">
        <f>TEXT(D731,"mmm-yyyy")</f>
        <v/>
      </c>
      <c r="J731">
        <f>_xlfn.XLOOKUP(tbl_subscription[[#This Row],[Customer_ID]],tbl_clint[Customer_ID],tbl_clint[Country])</f>
        <v/>
      </c>
      <c r="K731">
        <f>_xlfn.XLOOKUP(tbl_subscription[[#This Row],[Customer_ID]],tbl_clint[[#This Row],[Customer_ID]],tbl_clint[[#This Row],[Industry]])</f>
        <v/>
      </c>
      <c r="L731">
        <f>_xlfn.XLOOKUP(tbl_subscription[[#This Row],[Customer_ID]],tbl_clint[[#This Row],[Customer_ID]],tbl_clint[[#This Row],[Company_Size]])</f>
        <v/>
      </c>
      <c r="M731">
        <f>YEAR(tbl_subscription[[#This Row],[Start_Date]])</f>
        <v/>
      </c>
    </row>
    <row r="732">
      <c r="A732" t="inlineStr">
        <is>
          <t>C0731</t>
        </is>
      </c>
      <c r="B732" t="inlineStr">
        <is>
          <t>Standard</t>
        </is>
      </c>
      <c r="C732" s="4" t="n">
        <v>44879</v>
      </c>
      <c r="D732" s="4" t="n">
        <v>45313</v>
      </c>
      <c r="E732" t="n">
        <v>25</v>
      </c>
      <c r="F732" t="inlineStr">
        <is>
          <t>Churned</t>
        </is>
      </c>
      <c r="G732" t="inlineStr">
        <is>
          <t>Instagram</t>
        </is>
      </c>
      <c r="H732">
        <f>TEXT(C732,"mmm-yyyy")</f>
        <v/>
      </c>
      <c r="I732">
        <f>TEXT(D732,"mmm-yyyy")</f>
        <v/>
      </c>
      <c r="J732">
        <f>_xlfn.XLOOKUP(tbl_subscription[[#This Row],[Customer_ID]],tbl_clint[Customer_ID],tbl_clint[Country])</f>
        <v/>
      </c>
      <c r="K732">
        <f>_xlfn.XLOOKUP(tbl_subscription[[#This Row],[Customer_ID]],tbl_clint[[#This Row],[Customer_ID]],tbl_clint[[#This Row],[Industry]])</f>
        <v/>
      </c>
      <c r="L732">
        <f>_xlfn.XLOOKUP(tbl_subscription[[#This Row],[Customer_ID]],tbl_clint[[#This Row],[Customer_ID]],tbl_clint[[#This Row],[Company_Size]])</f>
        <v/>
      </c>
      <c r="M732">
        <f>YEAR(tbl_subscription[[#This Row],[Start_Date]])</f>
        <v/>
      </c>
    </row>
    <row r="733">
      <c r="A733" t="inlineStr">
        <is>
          <t>C0732</t>
        </is>
      </c>
      <c r="B733" t="inlineStr">
        <is>
          <t>Basic</t>
        </is>
      </c>
      <c r="C733" s="4" t="n">
        <v>44426</v>
      </c>
      <c r="D733" s="4" t="n">
        <v>45198</v>
      </c>
      <c r="E733" t="n">
        <v>15</v>
      </c>
      <c r="F733" t="inlineStr">
        <is>
          <t>Churned</t>
        </is>
      </c>
      <c r="G733" t="inlineStr">
        <is>
          <t>LinkedIn</t>
        </is>
      </c>
      <c r="H733">
        <f>TEXT(C733,"mmm-yyyy")</f>
        <v/>
      </c>
      <c r="I733">
        <f>TEXT(D733,"mmm-yyyy")</f>
        <v/>
      </c>
      <c r="J733">
        <f>_xlfn.XLOOKUP(tbl_subscription[[#This Row],[Customer_ID]],tbl_clint[Customer_ID],tbl_clint[Country])</f>
        <v/>
      </c>
      <c r="K733">
        <f>_xlfn.XLOOKUP(tbl_subscription[[#This Row],[Customer_ID]],tbl_clint[[#This Row],[Customer_ID]],tbl_clint[[#This Row],[Industry]])</f>
        <v/>
      </c>
      <c r="L733">
        <f>_xlfn.XLOOKUP(tbl_subscription[[#This Row],[Customer_ID]],tbl_clint[[#This Row],[Customer_ID]],tbl_clint[[#This Row],[Company_Size]])</f>
        <v/>
      </c>
      <c r="M733">
        <f>YEAR(tbl_subscription[[#This Row],[Start_Date]])</f>
        <v/>
      </c>
    </row>
    <row r="734">
      <c r="A734" t="inlineStr">
        <is>
          <t>C0733</t>
        </is>
      </c>
      <c r="B734" t="inlineStr">
        <is>
          <t>Standard</t>
        </is>
      </c>
      <c r="C734" s="4" t="n">
        <v>44203</v>
      </c>
      <c r="D734" s="4" t="n">
        <v>45657</v>
      </c>
      <c r="E734" t="n">
        <v>25</v>
      </c>
      <c r="F734" t="inlineStr">
        <is>
          <t>Active</t>
        </is>
      </c>
      <c r="G734" t="inlineStr">
        <is>
          <t>Facebook</t>
        </is>
      </c>
      <c r="H734">
        <f>TEXT(C734,"mmm-yyyy")</f>
        <v/>
      </c>
      <c r="I734">
        <f>TEXT(D734,"mmm-yyyy")</f>
        <v/>
      </c>
      <c r="J734">
        <f>_xlfn.XLOOKUP(tbl_subscription[[#This Row],[Customer_ID]],tbl_clint[Customer_ID],tbl_clint[Country])</f>
        <v/>
      </c>
      <c r="K734">
        <f>_xlfn.XLOOKUP(tbl_subscription[[#This Row],[Customer_ID]],tbl_clint[[#This Row],[Customer_ID]],tbl_clint[[#This Row],[Industry]])</f>
        <v/>
      </c>
      <c r="L734">
        <f>_xlfn.XLOOKUP(tbl_subscription[[#This Row],[Customer_ID]],tbl_clint[[#This Row],[Customer_ID]],tbl_clint[[#This Row],[Company_Size]])</f>
        <v/>
      </c>
      <c r="M734">
        <f>YEAR(tbl_subscription[[#This Row],[Start_Date]])</f>
        <v/>
      </c>
    </row>
    <row r="735">
      <c r="A735" t="inlineStr">
        <is>
          <t>C0734</t>
        </is>
      </c>
      <c r="B735" t="inlineStr">
        <is>
          <t>Basic</t>
        </is>
      </c>
      <c r="C735" s="4" t="n">
        <v>44293</v>
      </c>
      <c r="D735" s="4" t="n">
        <v>45657</v>
      </c>
      <c r="E735" t="n">
        <v>15</v>
      </c>
      <c r="F735" t="inlineStr">
        <is>
          <t>Active</t>
        </is>
      </c>
      <c r="G735" t="inlineStr">
        <is>
          <t>Referral</t>
        </is>
      </c>
      <c r="H735">
        <f>TEXT(C735,"mmm-yyyy")</f>
        <v/>
      </c>
      <c r="I735">
        <f>TEXT(D735,"mmm-yyyy")</f>
        <v/>
      </c>
      <c r="J735">
        <f>_xlfn.XLOOKUP(tbl_subscription[[#This Row],[Customer_ID]],tbl_clint[Customer_ID],tbl_clint[Country])</f>
        <v/>
      </c>
      <c r="K735">
        <f>_xlfn.XLOOKUP(tbl_subscription[[#This Row],[Customer_ID]],tbl_clint[[#This Row],[Customer_ID]],tbl_clint[[#This Row],[Industry]])</f>
        <v/>
      </c>
      <c r="L735">
        <f>_xlfn.XLOOKUP(tbl_subscription[[#This Row],[Customer_ID]],tbl_clint[[#This Row],[Customer_ID]],tbl_clint[[#This Row],[Company_Size]])</f>
        <v/>
      </c>
      <c r="M735">
        <f>YEAR(tbl_subscription[[#This Row],[Start_Date]])</f>
        <v/>
      </c>
    </row>
    <row r="736">
      <c r="A736" t="inlineStr">
        <is>
          <t>C0735</t>
        </is>
      </c>
      <c r="B736" t="inlineStr">
        <is>
          <t>Premium</t>
        </is>
      </c>
      <c r="C736" s="4" t="n">
        <v>44047</v>
      </c>
      <c r="D736" s="4" t="n">
        <v>45657</v>
      </c>
      <c r="E736" t="n">
        <v>40</v>
      </c>
      <c r="F736" t="inlineStr">
        <is>
          <t>Active</t>
        </is>
      </c>
      <c r="G736" t="inlineStr">
        <is>
          <t>Instagram</t>
        </is>
      </c>
      <c r="H736">
        <f>TEXT(C736,"mmm-yyyy")</f>
        <v/>
      </c>
      <c r="I736">
        <f>TEXT(D736,"mmm-yyyy")</f>
        <v/>
      </c>
      <c r="J736">
        <f>_xlfn.XLOOKUP(tbl_subscription[[#This Row],[Customer_ID]],tbl_clint[Customer_ID],tbl_clint[Country])</f>
        <v/>
      </c>
      <c r="K736">
        <f>_xlfn.XLOOKUP(tbl_subscription[[#This Row],[Customer_ID]],tbl_clint[[#This Row],[Customer_ID]],tbl_clint[[#This Row],[Industry]])</f>
        <v/>
      </c>
      <c r="L736">
        <f>_xlfn.XLOOKUP(tbl_subscription[[#This Row],[Customer_ID]],tbl_clint[[#This Row],[Customer_ID]],tbl_clint[[#This Row],[Company_Size]])</f>
        <v/>
      </c>
      <c r="M736">
        <f>YEAR(tbl_subscription[[#This Row],[Start_Date]])</f>
        <v/>
      </c>
    </row>
    <row r="737">
      <c r="A737" t="inlineStr">
        <is>
          <t>C0736</t>
        </is>
      </c>
      <c r="B737" t="inlineStr">
        <is>
          <t>Basic</t>
        </is>
      </c>
      <c r="C737" s="4" t="n">
        <v>44430</v>
      </c>
      <c r="D737" s="4" t="n">
        <v>45657</v>
      </c>
      <c r="E737" t="n">
        <v>15</v>
      </c>
      <c r="F737" t="inlineStr">
        <is>
          <t>Active</t>
        </is>
      </c>
      <c r="G737" t="inlineStr">
        <is>
          <t>Referral</t>
        </is>
      </c>
      <c r="H737">
        <f>TEXT(C737,"mmm-yyyy")</f>
        <v/>
      </c>
      <c r="I737">
        <f>TEXT(D737,"mmm-yyyy")</f>
        <v/>
      </c>
      <c r="J737">
        <f>_xlfn.XLOOKUP(tbl_subscription[[#This Row],[Customer_ID]],tbl_clint[Customer_ID],tbl_clint[Country])</f>
        <v/>
      </c>
      <c r="K737">
        <f>_xlfn.XLOOKUP(tbl_subscription[[#This Row],[Customer_ID]],tbl_clint[[#This Row],[Customer_ID]],tbl_clint[[#This Row],[Industry]])</f>
        <v/>
      </c>
      <c r="L737">
        <f>_xlfn.XLOOKUP(tbl_subscription[[#This Row],[Customer_ID]],tbl_clint[[#This Row],[Customer_ID]],tbl_clint[[#This Row],[Company_Size]])</f>
        <v/>
      </c>
      <c r="M737">
        <f>YEAR(tbl_subscription[[#This Row],[Start_Date]])</f>
        <v/>
      </c>
    </row>
    <row r="738">
      <c r="A738" t="inlineStr">
        <is>
          <t>C0737</t>
        </is>
      </c>
      <c r="B738" t="inlineStr">
        <is>
          <t>Basic</t>
        </is>
      </c>
      <c r="C738" s="4" t="n">
        <v>44604</v>
      </c>
      <c r="D738" s="4" t="n">
        <v>45657</v>
      </c>
      <c r="E738" t="n">
        <v>15</v>
      </c>
      <c r="F738" t="inlineStr">
        <is>
          <t>Active</t>
        </is>
      </c>
      <c r="G738" t="inlineStr">
        <is>
          <t>Facebook</t>
        </is>
      </c>
      <c r="H738">
        <f>TEXT(C738,"mmm-yyyy")</f>
        <v/>
      </c>
      <c r="I738">
        <f>TEXT(D738,"mmm-yyyy")</f>
        <v/>
      </c>
      <c r="J738">
        <f>_xlfn.XLOOKUP(tbl_subscription[[#This Row],[Customer_ID]],tbl_clint[Customer_ID],tbl_clint[Country])</f>
        <v/>
      </c>
      <c r="K738">
        <f>_xlfn.XLOOKUP(tbl_subscription[[#This Row],[Customer_ID]],tbl_clint[[#This Row],[Customer_ID]],tbl_clint[[#This Row],[Industry]])</f>
        <v/>
      </c>
      <c r="L738">
        <f>_xlfn.XLOOKUP(tbl_subscription[[#This Row],[Customer_ID]],tbl_clint[[#This Row],[Customer_ID]],tbl_clint[[#This Row],[Company_Size]])</f>
        <v/>
      </c>
      <c r="M738">
        <f>YEAR(tbl_subscription[[#This Row],[Start_Date]])</f>
        <v/>
      </c>
    </row>
    <row r="739">
      <c r="A739" t="inlineStr">
        <is>
          <t>C0738</t>
        </is>
      </c>
      <c r="B739" t="inlineStr">
        <is>
          <t>Premium</t>
        </is>
      </c>
      <c r="C739" s="4" t="n">
        <v>44851</v>
      </c>
      <c r="D739" s="4" t="n">
        <v>45657</v>
      </c>
      <c r="E739" t="n">
        <v>40</v>
      </c>
      <c r="F739" t="inlineStr">
        <is>
          <t>Active</t>
        </is>
      </c>
      <c r="G739" t="inlineStr">
        <is>
          <t>Facebook</t>
        </is>
      </c>
      <c r="H739">
        <f>TEXT(C739,"mmm-yyyy")</f>
        <v/>
      </c>
      <c r="I739">
        <f>TEXT(D739,"mmm-yyyy")</f>
        <v/>
      </c>
      <c r="J739">
        <f>_xlfn.XLOOKUP(tbl_subscription[[#This Row],[Customer_ID]],tbl_clint[Customer_ID],tbl_clint[Country])</f>
        <v/>
      </c>
      <c r="K739">
        <f>_xlfn.XLOOKUP(tbl_subscription[[#This Row],[Customer_ID]],tbl_clint[[#This Row],[Customer_ID]],tbl_clint[[#This Row],[Industry]])</f>
        <v/>
      </c>
      <c r="L739">
        <f>_xlfn.XLOOKUP(tbl_subscription[[#This Row],[Customer_ID]],tbl_clint[[#This Row],[Customer_ID]],tbl_clint[[#This Row],[Company_Size]])</f>
        <v/>
      </c>
      <c r="M739">
        <f>YEAR(tbl_subscription[[#This Row],[Start_Date]])</f>
        <v/>
      </c>
    </row>
    <row r="740">
      <c r="A740" t="inlineStr">
        <is>
          <t>C0739</t>
        </is>
      </c>
      <c r="B740" t="inlineStr">
        <is>
          <t>Standard</t>
        </is>
      </c>
      <c r="C740" s="4" t="n">
        <v>44069</v>
      </c>
      <c r="D740" s="4" t="n">
        <v>45657</v>
      </c>
      <c r="E740" t="n">
        <v>25</v>
      </c>
      <c r="F740" t="inlineStr">
        <is>
          <t>Active</t>
        </is>
      </c>
      <c r="G740" t="inlineStr">
        <is>
          <t>Instagram</t>
        </is>
      </c>
      <c r="H740">
        <f>TEXT(C740,"mmm-yyyy")</f>
        <v/>
      </c>
      <c r="I740">
        <f>TEXT(D740,"mmm-yyyy")</f>
        <v/>
      </c>
      <c r="J740">
        <f>_xlfn.XLOOKUP(tbl_subscription[[#This Row],[Customer_ID]],tbl_clint[Customer_ID],tbl_clint[Country])</f>
        <v/>
      </c>
      <c r="K740">
        <f>_xlfn.XLOOKUP(tbl_subscription[[#This Row],[Customer_ID]],tbl_clint[[#This Row],[Customer_ID]],tbl_clint[[#This Row],[Industry]])</f>
        <v/>
      </c>
      <c r="L740">
        <f>_xlfn.XLOOKUP(tbl_subscription[[#This Row],[Customer_ID]],tbl_clint[[#This Row],[Customer_ID]],tbl_clint[[#This Row],[Company_Size]])</f>
        <v/>
      </c>
      <c r="M740">
        <f>YEAR(tbl_subscription[[#This Row],[Start_Date]])</f>
        <v/>
      </c>
    </row>
    <row r="741">
      <c r="A741" t="inlineStr">
        <is>
          <t>C0740</t>
        </is>
      </c>
      <c r="B741" t="inlineStr">
        <is>
          <t>Standard</t>
        </is>
      </c>
      <c r="C741" s="4" t="n">
        <v>44942</v>
      </c>
      <c r="D741" s="4" t="n">
        <v>45482</v>
      </c>
      <c r="E741" t="n">
        <v>25</v>
      </c>
      <c r="F741" t="inlineStr">
        <is>
          <t>Churned</t>
        </is>
      </c>
      <c r="G741" t="inlineStr">
        <is>
          <t>Referral</t>
        </is>
      </c>
      <c r="H741">
        <f>TEXT(C741,"mmm-yyyy")</f>
        <v/>
      </c>
      <c r="I741">
        <f>TEXT(D741,"mmm-yyyy")</f>
        <v/>
      </c>
      <c r="J741">
        <f>_xlfn.XLOOKUP(tbl_subscription[[#This Row],[Customer_ID]],tbl_clint[Customer_ID],tbl_clint[Country])</f>
        <v/>
      </c>
      <c r="K741">
        <f>_xlfn.XLOOKUP(tbl_subscription[[#This Row],[Customer_ID]],tbl_clint[[#This Row],[Customer_ID]],tbl_clint[[#This Row],[Industry]])</f>
        <v/>
      </c>
      <c r="L741">
        <f>_xlfn.XLOOKUP(tbl_subscription[[#This Row],[Customer_ID]],tbl_clint[[#This Row],[Customer_ID]],tbl_clint[[#This Row],[Company_Size]])</f>
        <v/>
      </c>
      <c r="M741">
        <f>YEAR(tbl_subscription[[#This Row],[Start_Date]])</f>
        <v/>
      </c>
    </row>
    <row r="742">
      <c r="A742" t="inlineStr">
        <is>
          <t>C0741</t>
        </is>
      </c>
      <c r="B742" t="inlineStr">
        <is>
          <t>Standard</t>
        </is>
      </c>
      <c r="C742" s="4" t="n">
        <v>44116</v>
      </c>
      <c r="D742" s="4" t="n">
        <v>45657</v>
      </c>
      <c r="E742" t="n">
        <v>25</v>
      </c>
      <c r="F742" t="inlineStr">
        <is>
          <t>Active</t>
        </is>
      </c>
      <c r="G742" t="inlineStr">
        <is>
          <t>Facebook</t>
        </is>
      </c>
      <c r="H742">
        <f>TEXT(C742,"mmm-yyyy")</f>
        <v/>
      </c>
      <c r="I742">
        <f>TEXT(D742,"mmm-yyyy")</f>
        <v/>
      </c>
      <c r="J742">
        <f>_xlfn.XLOOKUP(tbl_subscription[[#This Row],[Customer_ID]],tbl_clint[Customer_ID],tbl_clint[Country])</f>
        <v/>
      </c>
      <c r="K742">
        <f>_xlfn.XLOOKUP(tbl_subscription[[#This Row],[Customer_ID]],tbl_clint[[#This Row],[Customer_ID]],tbl_clint[[#This Row],[Industry]])</f>
        <v/>
      </c>
      <c r="L742">
        <f>_xlfn.XLOOKUP(tbl_subscription[[#This Row],[Customer_ID]],tbl_clint[[#This Row],[Customer_ID]],tbl_clint[[#This Row],[Company_Size]])</f>
        <v/>
      </c>
      <c r="M742">
        <f>YEAR(tbl_subscription[[#This Row],[Start_Date]])</f>
        <v/>
      </c>
    </row>
    <row r="743">
      <c r="A743" t="inlineStr">
        <is>
          <t>C0742</t>
        </is>
      </c>
      <c r="B743" t="inlineStr">
        <is>
          <t>Standard</t>
        </is>
      </c>
      <c r="C743" s="4" t="n">
        <v>43894</v>
      </c>
      <c r="D743" s="4" t="n">
        <v>45657</v>
      </c>
      <c r="E743" t="n">
        <v>25</v>
      </c>
      <c r="F743" t="inlineStr">
        <is>
          <t>Active</t>
        </is>
      </c>
      <c r="G743" t="inlineStr">
        <is>
          <t>Instagram</t>
        </is>
      </c>
      <c r="H743">
        <f>TEXT(C743,"mmm-yyyy")</f>
        <v/>
      </c>
      <c r="I743">
        <f>TEXT(D743,"mmm-yyyy")</f>
        <v/>
      </c>
      <c r="J743">
        <f>_xlfn.XLOOKUP(tbl_subscription[[#This Row],[Customer_ID]],tbl_clint[Customer_ID],tbl_clint[Country])</f>
        <v/>
      </c>
      <c r="K743">
        <f>_xlfn.XLOOKUP(tbl_subscription[[#This Row],[Customer_ID]],tbl_clint[[#This Row],[Customer_ID]],tbl_clint[[#This Row],[Industry]])</f>
        <v/>
      </c>
      <c r="L743">
        <f>_xlfn.XLOOKUP(tbl_subscription[[#This Row],[Customer_ID]],tbl_clint[[#This Row],[Customer_ID]],tbl_clint[[#This Row],[Company_Size]])</f>
        <v/>
      </c>
      <c r="M743">
        <f>YEAR(tbl_subscription[[#This Row],[Start_Date]])</f>
        <v/>
      </c>
    </row>
    <row r="744">
      <c r="A744" t="inlineStr">
        <is>
          <t>C0743</t>
        </is>
      </c>
      <c r="B744" t="inlineStr">
        <is>
          <t>Standard</t>
        </is>
      </c>
      <c r="C744" s="4" t="n">
        <v>45344</v>
      </c>
      <c r="D744" s="4" t="n">
        <v>45657</v>
      </c>
      <c r="E744" t="n">
        <v>25</v>
      </c>
      <c r="F744" t="inlineStr">
        <is>
          <t>Active</t>
        </is>
      </c>
      <c r="G744" t="inlineStr">
        <is>
          <t>LinkedIn</t>
        </is>
      </c>
      <c r="H744">
        <f>TEXT(C744,"mmm-yyyy")</f>
        <v/>
      </c>
      <c r="I744">
        <f>TEXT(D744,"mmm-yyyy")</f>
        <v/>
      </c>
      <c r="J744">
        <f>_xlfn.XLOOKUP(tbl_subscription[[#This Row],[Customer_ID]],tbl_clint[Customer_ID],tbl_clint[Country])</f>
        <v/>
      </c>
      <c r="K744">
        <f>_xlfn.XLOOKUP(tbl_subscription[[#This Row],[Customer_ID]],tbl_clint[[#This Row],[Customer_ID]],tbl_clint[[#This Row],[Industry]])</f>
        <v/>
      </c>
      <c r="L744">
        <f>_xlfn.XLOOKUP(tbl_subscription[[#This Row],[Customer_ID]],tbl_clint[[#This Row],[Customer_ID]],tbl_clint[[#This Row],[Company_Size]])</f>
        <v/>
      </c>
      <c r="M744">
        <f>YEAR(tbl_subscription[[#This Row],[Start_Date]])</f>
        <v/>
      </c>
    </row>
    <row r="745">
      <c r="A745" t="inlineStr">
        <is>
          <t>C0744</t>
        </is>
      </c>
      <c r="B745" t="inlineStr">
        <is>
          <t>Premium</t>
        </is>
      </c>
      <c r="C745" s="4" t="n">
        <v>45042</v>
      </c>
      <c r="D745" s="4" t="n">
        <v>45657</v>
      </c>
      <c r="E745" t="n">
        <v>40</v>
      </c>
      <c r="F745" t="inlineStr">
        <is>
          <t>Active</t>
        </is>
      </c>
      <c r="G745" t="inlineStr">
        <is>
          <t>Instagram</t>
        </is>
      </c>
      <c r="H745">
        <f>TEXT(C745,"mmm-yyyy")</f>
        <v/>
      </c>
      <c r="I745">
        <f>TEXT(D745,"mmm-yyyy")</f>
        <v/>
      </c>
      <c r="J745">
        <f>_xlfn.XLOOKUP(tbl_subscription[[#This Row],[Customer_ID]],tbl_clint[Customer_ID],tbl_clint[Country])</f>
        <v/>
      </c>
      <c r="K745">
        <f>_xlfn.XLOOKUP(tbl_subscription[[#This Row],[Customer_ID]],tbl_clint[[#This Row],[Customer_ID]],tbl_clint[[#This Row],[Industry]])</f>
        <v/>
      </c>
      <c r="L745">
        <f>_xlfn.XLOOKUP(tbl_subscription[[#This Row],[Customer_ID]],tbl_clint[[#This Row],[Customer_ID]],tbl_clint[[#This Row],[Company_Size]])</f>
        <v/>
      </c>
      <c r="M745">
        <f>YEAR(tbl_subscription[[#This Row],[Start_Date]])</f>
        <v/>
      </c>
    </row>
    <row r="746">
      <c r="A746" t="inlineStr">
        <is>
          <t>C0745</t>
        </is>
      </c>
      <c r="B746" t="inlineStr">
        <is>
          <t>Premium</t>
        </is>
      </c>
      <c r="C746" s="4" t="n">
        <v>44833</v>
      </c>
      <c r="D746" s="4" t="n">
        <v>45657</v>
      </c>
      <c r="E746" t="n">
        <v>40</v>
      </c>
      <c r="F746" t="inlineStr">
        <is>
          <t>Active</t>
        </is>
      </c>
      <c r="G746" t="inlineStr">
        <is>
          <t>Google</t>
        </is>
      </c>
      <c r="H746">
        <f>TEXT(C746,"mmm-yyyy")</f>
        <v/>
      </c>
      <c r="I746">
        <f>TEXT(D746,"mmm-yyyy")</f>
        <v/>
      </c>
      <c r="J746">
        <f>_xlfn.XLOOKUP(tbl_subscription[[#This Row],[Customer_ID]],tbl_clint[Customer_ID],tbl_clint[Country])</f>
        <v/>
      </c>
      <c r="K746">
        <f>_xlfn.XLOOKUP(tbl_subscription[[#This Row],[Customer_ID]],tbl_clint[[#This Row],[Customer_ID]],tbl_clint[[#This Row],[Industry]])</f>
        <v/>
      </c>
      <c r="L746">
        <f>_xlfn.XLOOKUP(tbl_subscription[[#This Row],[Customer_ID]],tbl_clint[[#This Row],[Customer_ID]],tbl_clint[[#This Row],[Company_Size]])</f>
        <v/>
      </c>
      <c r="M746">
        <f>YEAR(tbl_subscription[[#This Row],[Start_Date]])</f>
        <v/>
      </c>
    </row>
    <row r="747">
      <c r="A747" t="inlineStr">
        <is>
          <t>C0746</t>
        </is>
      </c>
      <c r="B747" t="inlineStr">
        <is>
          <t>Standard</t>
        </is>
      </c>
      <c r="C747" s="4" t="n">
        <v>43885</v>
      </c>
      <c r="D747" s="4" t="n">
        <v>44773</v>
      </c>
      <c r="E747" t="n">
        <v>25</v>
      </c>
      <c r="F747" t="inlineStr">
        <is>
          <t>Churned</t>
        </is>
      </c>
      <c r="G747" t="inlineStr">
        <is>
          <t>Referral</t>
        </is>
      </c>
      <c r="H747">
        <f>TEXT(C747,"mmm-yyyy")</f>
        <v/>
      </c>
      <c r="I747">
        <f>TEXT(D747,"mmm-yyyy")</f>
        <v/>
      </c>
      <c r="J747">
        <f>_xlfn.XLOOKUP(tbl_subscription[[#This Row],[Customer_ID]],tbl_clint[Customer_ID],tbl_clint[Country])</f>
        <v/>
      </c>
      <c r="K747">
        <f>_xlfn.XLOOKUP(tbl_subscription[[#This Row],[Customer_ID]],tbl_clint[[#This Row],[Customer_ID]],tbl_clint[[#This Row],[Industry]])</f>
        <v/>
      </c>
      <c r="L747">
        <f>_xlfn.XLOOKUP(tbl_subscription[[#This Row],[Customer_ID]],tbl_clint[[#This Row],[Customer_ID]],tbl_clint[[#This Row],[Company_Size]])</f>
        <v/>
      </c>
      <c r="M747">
        <f>YEAR(tbl_subscription[[#This Row],[Start_Date]])</f>
        <v/>
      </c>
    </row>
    <row r="748">
      <c r="A748" t="inlineStr">
        <is>
          <t>C0747</t>
        </is>
      </c>
      <c r="B748" t="inlineStr">
        <is>
          <t>Basic</t>
        </is>
      </c>
      <c r="C748" s="4" t="n">
        <v>44827</v>
      </c>
      <c r="D748" s="4" t="n">
        <v>45657</v>
      </c>
      <c r="E748" t="n">
        <v>15</v>
      </c>
      <c r="F748" t="inlineStr">
        <is>
          <t>Active</t>
        </is>
      </c>
      <c r="G748" t="inlineStr">
        <is>
          <t>Facebook</t>
        </is>
      </c>
      <c r="H748">
        <f>TEXT(C748,"mmm-yyyy")</f>
        <v/>
      </c>
      <c r="I748">
        <f>TEXT(D748,"mmm-yyyy")</f>
        <v/>
      </c>
      <c r="J748">
        <f>_xlfn.XLOOKUP(tbl_subscription[[#This Row],[Customer_ID]],tbl_clint[Customer_ID],tbl_clint[Country])</f>
        <v/>
      </c>
      <c r="K748">
        <f>_xlfn.XLOOKUP(tbl_subscription[[#This Row],[Customer_ID]],tbl_clint[[#This Row],[Customer_ID]],tbl_clint[[#This Row],[Industry]])</f>
        <v/>
      </c>
      <c r="L748">
        <f>_xlfn.XLOOKUP(tbl_subscription[[#This Row],[Customer_ID]],tbl_clint[[#This Row],[Customer_ID]],tbl_clint[[#This Row],[Company_Size]])</f>
        <v/>
      </c>
      <c r="M748">
        <f>YEAR(tbl_subscription[[#This Row],[Start_Date]])</f>
        <v/>
      </c>
    </row>
    <row r="749">
      <c r="A749" t="inlineStr">
        <is>
          <t>C0748</t>
        </is>
      </c>
      <c r="B749" t="inlineStr">
        <is>
          <t>Standard</t>
        </is>
      </c>
      <c r="C749" s="4" t="n">
        <v>44173</v>
      </c>
      <c r="D749" s="4" t="n">
        <v>45657</v>
      </c>
      <c r="E749" t="n">
        <v>25</v>
      </c>
      <c r="F749" t="inlineStr">
        <is>
          <t>Active</t>
        </is>
      </c>
      <c r="G749" t="inlineStr">
        <is>
          <t>LinkedIn</t>
        </is>
      </c>
      <c r="H749">
        <f>TEXT(C749,"mmm-yyyy")</f>
        <v/>
      </c>
      <c r="I749">
        <f>TEXT(D749,"mmm-yyyy")</f>
        <v/>
      </c>
      <c r="J749">
        <f>_xlfn.XLOOKUP(tbl_subscription[[#This Row],[Customer_ID]],tbl_clint[Customer_ID],tbl_clint[Country])</f>
        <v/>
      </c>
      <c r="K749">
        <f>_xlfn.XLOOKUP(tbl_subscription[[#This Row],[Customer_ID]],tbl_clint[[#This Row],[Customer_ID]],tbl_clint[[#This Row],[Industry]])</f>
        <v/>
      </c>
      <c r="L749">
        <f>_xlfn.XLOOKUP(tbl_subscription[[#This Row],[Customer_ID]],tbl_clint[[#This Row],[Customer_ID]],tbl_clint[[#This Row],[Company_Size]])</f>
        <v/>
      </c>
      <c r="M749">
        <f>YEAR(tbl_subscription[[#This Row],[Start_Date]])</f>
        <v/>
      </c>
    </row>
    <row r="750">
      <c r="A750" t="inlineStr">
        <is>
          <t>C0749</t>
        </is>
      </c>
      <c r="B750" t="inlineStr">
        <is>
          <t>Premium</t>
        </is>
      </c>
      <c r="C750" s="4" t="n">
        <v>45456</v>
      </c>
      <c r="D750" s="4" t="n">
        <v>45657</v>
      </c>
      <c r="E750" t="n">
        <v>40</v>
      </c>
      <c r="F750" t="inlineStr">
        <is>
          <t>Active</t>
        </is>
      </c>
      <c r="G750" t="inlineStr">
        <is>
          <t>Instagram</t>
        </is>
      </c>
      <c r="H750">
        <f>TEXT(C750,"mmm-yyyy")</f>
        <v/>
      </c>
      <c r="I750">
        <f>TEXT(D750,"mmm-yyyy")</f>
        <v/>
      </c>
      <c r="J750">
        <f>_xlfn.XLOOKUP(tbl_subscription[[#This Row],[Customer_ID]],tbl_clint[Customer_ID],tbl_clint[Country])</f>
        <v/>
      </c>
      <c r="K750">
        <f>_xlfn.XLOOKUP(tbl_subscription[[#This Row],[Customer_ID]],tbl_clint[[#This Row],[Customer_ID]],tbl_clint[[#This Row],[Industry]])</f>
        <v/>
      </c>
      <c r="L750">
        <f>_xlfn.XLOOKUP(tbl_subscription[[#This Row],[Customer_ID]],tbl_clint[[#This Row],[Customer_ID]],tbl_clint[[#This Row],[Company_Size]])</f>
        <v/>
      </c>
      <c r="M750">
        <f>YEAR(tbl_subscription[[#This Row],[Start_Date]])</f>
        <v/>
      </c>
    </row>
    <row r="751">
      <c r="A751" t="inlineStr">
        <is>
          <t>C0750</t>
        </is>
      </c>
      <c r="B751" t="inlineStr">
        <is>
          <t>Premium</t>
        </is>
      </c>
      <c r="C751" s="4" t="n">
        <v>45448</v>
      </c>
      <c r="D751" s="4" t="n">
        <v>45657</v>
      </c>
      <c r="E751" t="n">
        <v>40</v>
      </c>
      <c r="F751" t="inlineStr">
        <is>
          <t>Churned</t>
        </is>
      </c>
      <c r="G751" t="inlineStr">
        <is>
          <t>Instagram</t>
        </is>
      </c>
      <c r="H751">
        <f>TEXT(C751,"mmm-yyyy")</f>
        <v/>
      </c>
      <c r="I751">
        <f>TEXT(D751,"mmm-yyyy")</f>
        <v/>
      </c>
      <c r="J751">
        <f>_xlfn.XLOOKUP(tbl_subscription[[#This Row],[Customer_ID]],tbl_clint[Customer_ID],tbl_clint[Country])</f>
        <v/>
      </c>
      <c r="K751">
        <f>_xlfn.XLOOKUP(tbl_subscription[[#This Row],[Customer_ID]],tbl_clint[[#This Row],[Customer_ID]],tbl_clint[[#This Row],[Industry]])</f>
        <v/>
      </c>
      <c r="L751">
        <f>_xlfn.XLOOKUP(tbl_subscription[[#This Row],[Customer_ID]],tbl_clint[[#This Row],[Customer_ID]],tbl_clint[[#This Row],[Company_Size]])</f>
        <v/>
      </c>
      <c r="M751">
        <f>YEAR(tbl_subscription[[#This Row],[Start_Date]])</f>
        <v/>
      </c>
    </row>
    <row r="752">
      <c r="A752" t="inlineStr">
        <is>
          <t>C0751</t>
        </is>
      </c>
      <c r="B752" t="inlineStr">
        <is>
          <t>Premium</t>
        </is>
      </c>
      <c r="C752" s="4" t="n">
        <v>44622</v>
      </c>
      <c r="D752" s="4" t="n">
        <v>45373</v>
      </c>
      <c r="E752" t="n">
        <v>40</v>
      </c>
      <c r="F752" t="inlineStr">
        <is>
          <t>Churned</t>
        </is>
      </c>
      <c r="G752" t="inlineStr">
        <is>
          <t>Referral</t>
        </is>
      </c>
      <c r="H752">
        <f>TEXT(C752,"mmm-yyyy")</f>
        <v/>
      </c>
      <c r="I752">
        <f>TEXT(D752,"mmm-yyyy")</f>
        <v/>
      </c>
      <c r="J752">
        <f>_xlfn.XLOOKUP(tbl_subscription[[#This Row],[Customer_ID]],tbl_clint[Customer_ID],tbl_clint[Country])</f>
        <v/>
      </c>
      <c r="K752">
        <f>_xlfn.XLOOKUP(tbl_subscription[[#This Row],[Customer_ID]],tbl_clint[[#This Row],[Customer_ID]],tbl_clint[[#This Row],[Industry]])</f>
        <v/>
      </c>
      <c r="L752">
        <f>_xlfn.XLOOKUP(tbl_subscription[[#This Row],[Customer_ID]],tbl_clint[[#This Row],[Customer_ID]],tbl_clint[[#This Row],[Company_Size]])</f>
        <v/>
      </c>
      <c r="M752">
        <f>YEAR(tbl_subscription[[#This Row],[Start_Date]])</f>
        <v/>
      </c>
    </row>
    <row r="753">
      <c r="A753" t="inlineStr">
        <is>
          <t>C0752</t>
        </is>
      </c>
      <c r="B753" t="inlineStr">
        <is>
          <t>Basic</t>
        </is>
      </c>
      <c r="C753" s="4" t="n">
        <v>44991</v>
      </c>
      <c r="D753" s="4" t="n">
        <v>45657</v>
      </c>
      <c r="E753" t="n">
        <v>15</v>
      </c>
      <c r="F753" t="inlineStr">
        <is>
          <t>Churned</t>
        </is>
      </c>
      <c r="G753" t="inlineStr">
        <is>
          <t>Instagram</t>
        </is>
      </c>
      <c r="H753">
        <f>TEXT(C753,"mmm-yyyy")</f>
        <v/>
      </c>
      <c r="I753">
        <f>TEXT(D753,"mmm-yyyy")</f>
        <v/>
      </c>
      <c r="J753">
        <f>_xlfn.XLOOKUP(tbl_subscription[[#This Row],[Customer_ID]],tbl_clint[Customer_ID],tbl_clint[Country])</f>
        <v/>
      </c>
      <c r="K753">
        <f>_xlfn.XLOOKUP(tbl_subscription[[#This Row],[Customer_ID]],tbl_clint[[#This Row],[Customer_ID]],tbl_clint[[#This Row],[Industry]])</f>
        <v/>
      </c>
      <c r="L753">
        <f>_xlfn.XLOOKUP(tbl_subscription[[#This Row],[Customer_ID]],tbl_clint[[#This Row],[Customer_ID]],tbl_clint[[#This Row],[Company_Size]])</f>
        <v/>
      </c>
      <c r="M753">
        <f>YEAR(tbl_subscription[[#This Row],[Start_Date]])</f>
        <v/>
      </c>
    </row>
    <row r="754">
      <c r="A754" t="inlineStr">
        <is>
          <t>C0753</t>
        </is>
      </c>
      <c r="B754" t="inlineStr">
        <is>
          <t>Standard</t>
        </is>
      </c>
      <c r="C754" s="4" t="n">
        <v>44038</v>
      </c>
      <c r="D754" s="4" t="n">
        <v>44522</v>
      </c>
      <c r="E754" t="n">
        <v>25</v>
      </c>
      <c r="F754" t="inlineStr">
        <is>
          <t>Churned</t>
        </is>
      </c>
      <c r="G754" t="inlineStr">
        <is>
          <t>Google</t>
        </is>
      </c>
      <c r="H754">
        <f>TEXT(C754,"mmm-yyyy")</f>
        <v/>
      </c>
      <c r="I754">
        <f>TEXT(D754,"mmm-yyyy")</f>
        <v/>
      </c>
      <c r="J754">
        <f>_xlfn.XLOOKUP(tbl_subscription[[#This Row],[Customer_ID]],tbl_clint[Customer_ID],tbl_clint[Country])</f>
        <v/>
      </c>
      <c r="K754">
        <f>_xlfn.XLOOKUP(tbl_subscription[[#This Row],[Customer_ID]],tbl_clint[[#This Row],[Customer_ID]],tbl_clint[[#This Row],[Industry]])</f>
        <v/>
      </c>
      <c r="L754">
        <f>_xlfn.XLOOKUP(tbl_subscription[[#This Row],[Customer_ID]],tbl_clint[[#This Row],[Customer_ID]],tbl_clint[[#This Row],[Company_Size]])</f>
        <v/>
      </c>
      <c r="M754">
        <f>YEAR(tbl_subscription[[#This Row],[Start_Date]])</f>
        <v/>
      </c>
    </row>
    <row r="755">
      <c r="A755" t="inlineStr">
        <is>
          <t>C0754</t>
        </is>
      </c>
      <c r="B755" t="inlineStr">
        <is>
          <t>Standard</t>
        </is>
      </c>
      <c r="C755" s="4" t="n">
        <v>45122</v>
      </c>
      <c r="D755" s="4" t="n">
        <v>45657</v>
      </c>
      <c r="E755" t="n">
        <v>25</v>
      </c>
      <c r="F755" t="inlineStr">
        <is>
          <t>Active</t>
        </is>
      </c>
      <c r="G755" t="inlineStr">
        <is>
          <t>Instagram</t>
        </is>
      </c>
      <c r="H755">
        <f>TEXT(C755,"mmm-yyyy")</f>
        <v/>
      </c>
      <c r="I755">
        <f>TEXT(D755,"mmm-yyyy")</f>
        <v/>
      </c>
      <c r="J755">
        <f>_xlfn.XLOOKUP(tbl_subscription[[#This Row],[Customer_ID]],tbl_clint[Customer_ID],tbl_clint[Country])</f>
        <v/>
      </c>
      <c r="K755">
        <f>_xlfn.XLOOKUP(tbl_subscription[[#This Row],[Customer_ID]],tbl_clint[[#This Row],[Customer_ID]],tbl_clint[[#This Row],[Industry]])</f>
        <v/>
      </c>
      <c r="L755">
        <f>_xlfn.XLOOKUP(tbl_subscription[[#This Row],[Customer_ID]],tbl_clint[[#This Row],[Customer_ID]],tbl_clint[[#This Row],[Company_Size]])</f>
        <v/>
      </c>
      <c r="M755">
        <f>YEAR(tbl_subscription[[#This Row],[Start_Date]])</f>
        <v/>
      </c>
    </row>
    <row r="756">
      <c r="A756" t="inlineStr">
        <is>
          <t>C0755</t>
        </is>
      </c>
      <c r="B756" t="inlineStr">
        <is>
          <t>Standard</t>
        </is>
      </c>
      <c r="C756" s="4" t="n">
        <v>44269</v>
      </c>
      <c r="D756" s="4" t="n">
        <v>45657</v>
      </c>
      <c r="E756" t="n">
        <v>25</v>
      </c>
      <c r="F756" t="inlineStr">
        <is>
          <t>Active</t>
        </is>
      </c>
      <c r="G756" t="inlineStr">
        <is>
          <t>Google</t>
        </is>
      </c>
      <c r="H756">
        <f>TEXT(C756,"mmm-yyyy")</f>
        <v/>
      </c>
      <c r="I756">
        <f>TEXT(D756,"mmm-yyyy")</f>
        <v/>
      </c>
      <c r="J756">
        <f>_xlfn.XLOOKUP(tbl_subscription[[#This Row],[Customer_ID]],tbl_clint[Customer_ID],tbl_clint[Country])</f>
        <v/>
      </c>
      <c r="K756">
        <f>_xlfn.XLOOKUP(tbl_subscription[[#This Row],[Customer_ID]],tbl_clint[[#This Row],[Customer_ID]],tbl_clint[[#This Row],[Industry]])</f>
        <v/>
      </c>
      <c r="L756">
        <f>_xlfn.XLOOKUP(tbl_subscription[[#This Row],[Customer_ID]],tbl_clint[[#This Row],[Customer_ID]],tbl_clint[[#This Row],[Company_Size]])</f>
        <v/>
      </c>
      <c r="M756">
        <f>YEAR(tbl_subscription[[#This Row],[Start_Date]])</f>
        <v/>
      </c>
    </row>
    <row r="757">
      <c r="A757" t="inlineStr">
        <is>
          <t>C0756</t>
        </is>
      </c>
      <c r="B757" t="inlineStr">
        <is>
          <t>Basic</t>
        </is>
      </c>
      <c r="C757" s="4" t="n">
        <v>44725</v>
      </c>
      <c r="D757" s="4" t="n">
        <v>45657</v>
      </c>
      <c r="E757" t="n">
        <v>15</v>
      </c>
      <c r="F757" t="inlineStr">
        <is>
          <t>Active</t>
        </is>
      </c>
      <c r="G757" t="inlineStr">
        <is>
          <t>Facebook</t>
        </is>
      </c>
      <c r="H757">
        <f>TEXT(C757,"mmm-yyyy")</f>
        <v/>
      </c>
      <c r="I757">
        <f>TEXT(D757,"mmm-yyyy")</f>
        <v/>
      </c>
      <c r="J757">
        <f>_xlfn.XLOOKUP(tbl_subscription[[#This Row],[Customer_ID]],tbl_clint[Customer_ID],tbl_clint[Country])</f>
        <v/>
      </c>
      <c r="K757">
        <f>_xlfn.XLOOKUP(tbl_subscription[[#This Row],[Customer_ID]],tbl_clint[[#This Row],[Customer_ID]],tbl_clint[[#This Row],[Industry]])</f>
        <v/>
      </c>
      <c r="L757">
        <f>_xlfn.XLOOKUP(tbl_subscription[[#This Row],[Customer_ID]],tbl_clint[[#This Row],[Customer_ID]],tbl_clint[[#This Row],[Company_Size]])</f>
        <v/>
      </c>
      <c r="M757">
        <f>YEAR(tbl_subscription[[#This Row],[Start_Date]])</f>
        <v/>
      </c>
    </row>
    <row r="758">
      <c r="A758" t="inlineStr">
        <is>
          <t>C0757</t>
        </is>
      </c>
      <c r="B758" t="inlineStr">
        <is>
          <t>Premium</t>
        </is>
      </c>
      <c r="C758" s="4" t="n">
        <v>44781</v>
      </c>
      <c r="D758" s="4" t="n">
        <v>45199</v>
      </c>
      <c r="E758" t="n">
        <v>40</v>
      </c>
      <c r="F758" t="inlineStr">
        <is>
          <t>Churned</t>
        </is>
      </c>
      <c r="G758" t="inlineStr">
        <is>
          <t>Referral</t>
        </is>
      </c>
      <c r="H758">
        <f>TEXT(C758,"mmm-yyyy")</f>
        <v/>
      </c>
      <c r="I758">
        <f>TEXT(D758,"mmm-yyyy")</f>
        <v/>
      </c>
      <c r="J758">
        <f>_xlfn.XLOOKUP(tbl_subscription[[#This Row],[Customer_ID]],tbl_clint[Customer_ID],tbl_clint[Country])</f>
        <v/>
      </c>
      <c r="K758">
        <f>_xlfn.XLOOKUP(tbl_subscription[[#This Row],[Customer_ID]],tbl_clint[[#This Row],[Customer_ID]],tbl_clint[[#This Row],[Industry]])</f>
        <v/>
      </c>
      <c r="L758">
        <f>_xlfn.XLOOKUP(tbl_subscription[[#This Row],[Customer_ID]],tbl_clint[[#This Row],[Customer_ID]],tbl_clint[[#This Row],[Company_Size]])</f>
        <v/>
      </c>
      <c r="M758">
        <f>YEAR(tbl_subscription[[#This Row],[Start_Date]])</f>
        <v/>
      </c>
    </row>
    <row r="759">
      <c r="A759" t="inlineStr">
        <is>
          <t>C0758</t>
        </is>
      </c>
      <c r="B759" t="inlineStr">
        <is>
          <t>Standard</t>
        </is>
      </c>
      <c r="C759" s="4" t="n">
        <v>44921</v>
      </c>
      <c r="D759" s="4" t="n">
        <v>45657</v>
      </c>
      <c r="E759" t="n">
        <v>25</v>
      </c>
      <c r="F759" t="inlineStr">
        <is>
          <t>Active</t>
        </is>
      </c>
      <c r="G759" t="inlineStr">
        <is>
          <t>Instagram</t>
        </is>
      </c>
      <c r="H759">
        <f>TEXT(C759,"mmm-yyyy")</f>
        <v/>
      </c>
      <c r="I759">
        <f>TEXT(D759,"mmm-yyyy")</f>
        <v/>
      </c>
      <c r="J759">
        <f>_xlfn.XLOOKUP(tbl_subscription[[#This Row],[Customer_ID]],tbl_clint[Customer_ID],tbl_clint[Country])</f>
        <v/>
      </c>
      <c r="K759">
        <f>_xlfn.XLOOKUP(tbl_subscription[[#This Row],[Customer_ID]],tbl_clint[[#This Row],[Customer_ID]],tbl_clint[[#This Row],[Industry]])</f>
        <v/>
      </c>
      <c r="L759">
        <f>_xlfn.XLOOKUP(tbl_subscription[[#This Row],[Customer_ID]],tbl_clint[[#This Row],[Customer_ID]],tbl_clint[[#This Row],[Company_Size]])</f>
        <v/>
      </c>
      <c r="M759">
        <f>YEAR(tbl_subscription[[#This Row],[Start_Date]])</f>
        <v/>
      </c>
    </row>
    <row r="760">
      <c r="A760" t="inlineStr">
        <is>
          <t>C0759</t>
        </is>
      </c>
      <c r="B760" t="inlineStr">
        <is>
          <t>Premium</t>
        </is>
      </c>
      <c r="C760" s="4" t="n">
        <v>45013</v>
      </c>
      <c r="D760" s="4" t="n">
        <v>45657</v>
      </c>
      <c r="E760" t="n">
        <v>40</v>
      </c>
      <c r="F760" t="inlineStr">
        <is>
          <t>Churned</t>
        </is>
      </c>
      <c r="G760" t="inlineStr">
        <is>
          <t>Facebook</t>
        </is>
      </c>
      <c r="H760">
        <f>TEXT(C760,"mmm-yyyy")</f>
        <v/>
      </c>
      <c r="I760">
        <f>TEXT(D760,"mmm-yyyy")</f>
        <v/>
      </c>
      <c r="J760">
        <f>_xlfn.XLOOKUP(tbl_subscription[[#This Row],[Customer_ID]],tbl_clint[Customer_ID],tbl_clint[Country])</f>
        <v/>
      </c>
      <c r="K760">
        <f>_xlfn.XLOOKUP(tbl_subscription[[#This Row],[Customer_ID]],tbl_clint[[#This Row],[Customer_ID]],tbl_clint[[#This Row],[Industry]])</f>
        <v/>
      </c>
      <c r="L760">
        <f>_xlfn.XLOOKUP(tbl_subscription[[#This Row],[Customer_ID]],tbl_clint[[#This Row],[Customer_ID]],tbl_clint[[#This Row],[Company_Size]])</f>
        <v/>
      </c>
      <c r="M760">
        <f>YEAR(tbl_subscription[[#This Row],[Start_Date]])</f>
        <v/>
      </c>
    </row>
    <row r="761">
      <c r="A761" t="inlineStr">
        <is>
          <t>C0760</t>
        </is>
      </c>
      <c r="B761" t="inlineStr">
        <is>
          <t>Premium</t>
        </is>
      </c>
      <c r="C761" s="4" t="n">
        <v>44285</v>
      </c>
      <c r="D761" s="4" t="n">
        <v>45657</v>
      </c>
      <c r="E761" t="n">
        <v>40</v>
      </c>
      <c r="F761" t="inlineStr">
        <is>
          <t>Active</t>
        </is>
      </c>
      <c r="G761" t="inlineStr">
        <is>
          <t>Google</t>
        </is>
      </c>
      <c r="H761">
        <f>TEXT(C761,"mmm-yyyy")</f>
        <v/>
      </c>
      <c r="I761">
        <f>TEXT(D761,"mmm-yyyy")</f>
        <v/>
      </c>
      <c r="J761">
        <f>_xlfn.XLOOKUP(tbl_subscription[[#This Row],[Customer_ID]],tbl_clint[Customer_ID],tbl_clint[Country])</f>
        <v/>
      </c>
      <c r="K761">
        <f>_xlfn.XLOOKUP(tbl_subscription[[#This Row],[Customer_ID]],tbl_clint[[#This Row],[Customer_ID]],tbl_clint[[#This Row],[Industry]])</f>
        <v/>
      </c>
      <c r="L761">
        <f>_xlfn.XLOOKUP(tbl_subscription[[#This Row],[Customer_ID]],tbl_clint[[#This Row],[Customer_ID]],tbl_clint[[#This Row],[Company_Size]])</f>
        <v/>
      </c>
      <c r="M761">
        <f>YEAR(tbl_subscription[[#This Row],[Start_Date]])</f>
        <v/>
      </c>
    </row>
    <row r="762">
      <c r="A762" t="inlineStr">
        <is>
          <t>C0761</t>
        </is>
      </c>
      <c r="B762" t="inlineStr">
        <is>
          <t>Basic</t>
        </is>
      </c>
      <c r="C762" s="4" t="n">
        <v>45402</v>
      </c>
      <c r="D762" s="4" t="n">
        <v>45657</v>
      </c>
      <c r="E762" t="n">
        <v>15</v>
      </c>
      <c r="F762" t="inlineStr">
        <is>
          <t>Churned</t>
        </is>
      </c>
      <c r="G762" t="inlineStr">
        <is>
          <t>Referral</t>
        </is>
      </c>
      <c r="H762">
        <f>TEXT(C762,"mmm-yyyy")</f>
        <v/>
      </c>
      <c r="I762">
        <f>TEXT(D762,"mmm-yyyy")</f>
        <v/>
      </c>
      <c r="J762">
        <f>_xlfn.XLOOKUP(tbl_subscription[[#This Row],[Customer_ID]],tbl_clint[Customer_ID],tbl_clint[Country])</f>
        <v/>
      </c>
      <c r="K762">
        <f>_xlfn.XLOOKUP(tbl_subscription[[#This Row],[Customer_ID]],tbl_clint[[#This Row],[Customer_ID]],tbl_clint[[#This Row],[Industry]])</f>
        <v/>
      </c>
      <c r="L762">
        <f>_xlfn.XLOOKUP(tbl_subscription[[#This Row],[Customer_ID]],tbl_clint[[#This Row],[Customer_ID]],tbl_clint[[#This Row],[Company_Size]])</f>
        <v/>
      </c>
      <c r="M762">
        <f>YEAR(tbl_subscription[[#This Row],[Start_Date]])</f>
        <v/>
      </c>
    </row>
    <row r="763">
      <c r="A763" t="inlineStr">
        <is>
          <t>C0762</t>
        </is>
      </c>
      <c r="B763" t="inlineStr">
        <is>
          <t>Standard</t>
        </is>
      </c>
      <c r="C763" s="4" t="n">
        <v>45176</v>
      </c>
      <c r="D763" s="4" t="n">
        <v>45657</v>
      </c>
      <c r="E763" t="n">
        <v>25</v>
      </c>
      <c r="F763" t="inlineStr">
        <is>
          <t>Active</t>
        </is>
      </c>
      <c r="G763" t="inlineStr">
        <is>
          <t>Referral</t>
        </is>
      </c>
      <c r="H763">
        <f>TEXT(C763,"mmm-yyyy")</f>
        <v/>
      </c>
      <c r="I763">
        <f>TEXT(D763,"mmm-yyyy")</f>
        <v/>
      </c>
      <c r="J763">
        <f>_xlfn.XLOOKUP(tbl_subscription[[#This Row],[Customer_ID]],tbl_clint[Customer_ID],tbl_clint[Country])</f>
        <v/>
      </c>
      <c r="K763">
        <f>_xlfn.XLOOKUP(tbl_subscription[[#This Row],[Customer_ID]],tbl_clint[[#This Row],[Customer_ID]],tbl_clint[[#This Row],[Industry]])</f>
        <v/>
      </c>
      <c r="L763">
        <f>_xlfn.XLOOKUP(tbl_subscription[[#This Row],[Customer_ID]],tbl_clint[[#This Row],[Customer_ID]],tbl_clint[[#This Row],[Company_Size]])</f>
        <v/>
      </c>
      <c r="M763">
        <f>YEAR(tbl_subscription[[#This Row],[Start_Date]])</f>
        <v/>
      </c>
    </row>
    <row r="764">
      <c r="A764" t="inlineStr">
        <is>
          <t>C0763</t>
        </is>
      </c>
      <c r="B764" t="inlineStr">
        <is>
          <t>Standard</t>
        </is>
      </c>
      <c r="C764" s="4" t="n">
        <v>44137</v>
      </c>
      <c r="D764" s="4" t="n">
        <v>45657</v>
      </c>
      <c r="E764" t="n">
        <v>25</v>
      </c>
      <c r="F764" t="inlineStr">
        <is>
          <t>Active</t>
        </is>
      </c>
      <c r="G764" t="inlineStr">
        <is>
          <t>Google</t>
        </is>
      </c>
      <c r="H764">
        <f>TEXT(C764,"mmm-yyyy")</f>
        <v/>
      </c>
      <c r="I764">
        <f>TEXT(D764,"mmm-yyyy")</f>
        <v/>
      </c>
      <c r="J764">
        <f>_xlfn.XLOOKUP(tbl_subscription[[#This Row],[Customer_ID]],tbl_clint[Customer_ID],tbl_clint[Country])</f>
        <v/>
      </c>
      <c r="K764">
        <f>_xlfn.XLOOKUP(tbl_subscription[[#This Row],[Customer_ID]],tbl_clint[[#This Row],[Customer_ID]],tbl_clint[[#This Row],[Industry]])</f>
        <v/>
      </c>
      <c r="L764">
        <f>_xlfn.XLOOKUP(tbl_subscription[[#This Row],[Customer_ID]],tbl_clint[[#This Row],[Customer_ID]],tbl_clint[[#This Row],[Company_Size]])</f>
        <v/>
      </c>
      <c r="M764">
        <f>YEAR(tbl_subscription[[#This Row],[Start_Date]])</f>
        <v/>
      </c>
    </row>
    <row r="765">
      <c r="A765" t="inlineStr">
        <is>
          <t>C0764</t>
        </is>
      </c>
      <c r="B765" t="inlineStr">
        <is>
          <t>Basic</t>
        </is>
      </c>
      <c r="C765" s="4" t="n">
        <v>44294</v>
      </c>
      <c r="D765" s="4" t="n">
        <v>45657</v>
      </c>
      <c r="E765" t="n">
        <v>15</v>
      </c>
      <c r="F765" t="inlineStr">
        <is>
          <t>Active</t>
        </is>
      </c>
      <c r="G765" t="inlineStr">
        <is>
          <t>Facebook</t>
        </is>
      </c>
      <c r="H765">
        <f>TEXT(C765,"mmm-yyyy")</f>
        <v/>
      </c>
      <c r="I765">
        <f>TEXT(D765,"mmm-yyyy")</f>
        <v/>
      </c>
      <c r="J765">
        <f>_xlfn.XLOOKUP(tbl_subscription[[#This Row],[Customer_ID]],tbl_clint[Customer_ID],tbl_clint[Country])</f>
        <v/>
      </c>
      <c r="K765">
        <f>_xlfn.XLOOKUP(tbl_subscription[[#This Row],[Customer_ID]],tbl_clint[[#This Row],[Customer_ID]],tbl_clint[[#This Row],[Industry]])</f>
        <v/>
      </c>
      <c r="L765">
        <f>_xlfn.XLOOKUP(tbl_subscription[[#This Row],[Customer_ID]],tbl_clint[[#This Row],[Customer_ID]],tbl_clint[[#This Row],[Company_Size]])</f>
        <v/>
      </c>
      <c r="M765">
        <f>YEAR(tbl_subscription[[#This Row],[Start_Date]])</f>
        <v/>
      </c>
    </row>
    <row r="766">
      <c r="A766" t="inlineStr">
        <is>
          <t>C0765</t>
        </is>
      </c>
      <c r="B766" t="inlineStr">
        <is>
          <t>Standard</t>
        </is>
      </c>
      <c r="C766" s="4" t="n">
        <v>43856</v>
      </c>
      <c r="D766" s="4" t="n">
        <v>45657</v>
      </c>
      <c r="E766" t="n">
        <v>25</v>
      </c>
      <c r="F766" t="inlineStr">
        <is>
          <t>Active</t>
        </is>
      </c>
      <c r="G766" t="inlineStr">
        <is>
          <t>Google</t>
        </is>
      </c>
      <c r="H766">
        <f>TEXT(C766,"mmm-yyyy")</f>
        <v/>
      </c>
      <c r="I766">
        <f>TEXT(D766,"mmm-yyyy")</f>
        <v/>
      </c>
      <c r="J766">
        <f>_xlfn.XLOOKUP(tbl_subscription[[#This Row],[Customer_ID]],tbl_clint[Customer_ID],tbl_clint[Country])</f>
        <v/>
      </c>
      <c r="K766">
        <f>_xlfn.XLOOKUP(tbl_subscription[[#This Row],[Customer_ID]],tbl_clint[[#This Row],[Customer_ID]],tbl_clint[[#This Row],[Industry]])</f>
        <v/>
      </c>
      <c r="L766">
        <f>_xlfn.XLOOKUP(tbl_subscription[[#This Row],[Customer_ID]],tbl_clint[[#This Row],[Customer_ID]],tbl_clint[[#This Row],[Company_Size]])</f>
        <v/>
      </c>
      <c r="M766">
        <f>YEAR(tbl_subscription[[#This Row],[Start_Date]])</f>
        <v/>
      </c>
    </row>
    <row r="767">
      <c r="A767" t="inlineStr">
        <is>
          <t>C0766</t>
        </is>
      </c>
      <c r="B767" t="inlineStr">
        <is>
          <t>Basic</t>
        </is>
      </c>
      <c r="C767" s="4" t="n">
        <v>44495</v>
      </c>
      <c r="D767" s="4" t="n">
        <v>45657</v>
      </c>
      <c r="E767" t="n">
        <v>15</v>
      </c>
      <c r="F767" t="inlineStr">
        <is>
          <t>Active</t>
        </is>
      </c>
      <c r="G767" t="inlineStr">
        <is>
          <t>Instagram</t>
        </is>
      </c>
      <c r="H767">
        <f>TEXT(C767,"mmm-yyyy")</f>
        <v/>
      </c>
      <c r="I767">
        <f>TEXT(D767,"mmm-yyyy")</f>
        <v/>
      </c>
      <c r="J767">
        <f>_xlfn.XLOOKUP(tbl_subscription[[#This Row],[Customer_ID]],tbl_clint[Customer_ID],tbl_clint[Country])</f>
        <v/>
      </c>
      <c r="K767">
        <f>_xlfn.XLOOKUP(tbl_subscription[[#This Row],[Customer_ID]],tbl_clint[[#This Row],[Customer_ID]],tbl_clint[[#This Row],[Industry]])</f>
        <v/>
      </c>
      <c r="L767">
        <f>_xlfn.XLOOKUP(tbl_subscription[[#This Row],[Customer_ID]],tbl_clint[[#This Row],[Customer_ID]],tbl_clint[[#This Row],[Company_Size]])</f>
        <v/>
      </c>
      <c r="M767">
        <f>YEAR(tbl_subscription[[#This Row],[Start_Date]])</f>
        <v/>
      </c>
    </row>
    <row r="768">
      <c r="A768" t="inlineStr">
        <is>
          <t>C0767</t>
        </is>
      </c>
      <c r="B768" t="inlineStr">
        <is>
          <t>Premium</t>
        </is>
      </c>
      <c r="C768" s="4" t="n">
        <v>44273</v>
      </c>
      <c r="D768" s="4" t="n">
        <v>45038</v>
      </c>
      <c r="E768" t="n">
        <v>40</v>
      </c>
      <c r="F768" t="inlineStr">
        <is>
          <t>Churned</t>
        </is>
      </c>
      <c r="G768" t="inlineStr">
        <is>
          <t>Referral</t>
        </is>
      </c>
      <c r="H768">
        <f>TEXT(C768,"mmm-yyyy")</f>
        <v/>
      </c>
      <c r="I768">
        <f>TEXT(D768,"mmm-yyyy")</f>
        <v/>
      </c>
      <c r="J768">
        <f>_xlfn.XLOOKUP(tbl_subscription[[#This Row],[Customer_ID]],tbl_clint[Customer_ID],tbl_clint[Country])</f>
        <v/>
      </c>
      <c r="K768">
        <f>_xlfn.XLOOKUP(tbl_subscription[[#This Row],[Customer_ID]],tbl_clint[[#This Row],[Customer_ID]],tbl_clint[[#This Row],[Industry]])</f>
        <v/>
      </c>
      <c r="L768">
        <f>_xlfn.XLOOKUP(tbl_subscription[[#This Row],[Customer_ID]],tbl_clint[[#This Row],[Customer_ID]],tbl_clint[[#This Row],[Company_Size]])</f>
        <v/>
      </c>
      <c r="M768">
        <f>YEAR(tbl_subscription[[#This Row],[Start_Date]])</f>
        <v/>
      </c>
    </row>
    <row r="769">
      <c r="A769" t="inlineStr">
        <is>
          <t>C0768</t>
        </is>
      </c>
      <c r="B769" t="inlineStr">
        <is>
          <t>Standard</t>
        </is>
      </c>
      <c r="C769" s="4" t="n">
        <v>44963</v>
      </c>
      <c r="D769" s="4" t="n">
        <v>45657</v>
      </c>
      <c r="E769" t="n">
        <v>25</v>
      </c>
      <c r="F769" t="inlineStr">
        <is>
          <t>Active</t>
        </is>
      </c>
      <c r="G769" t="inlineStr">
        <is>
          <t>LinkedIn</t>
        </is>
      </c>
      <c r="H769">
        <f>TEXT(C769,"mmm-yyyy")</f>
        <v/>
      </c>
      <c r="I769">
        <f>TEXT(D769,"mmm-yyyy")</f>
        <v/>
      </c>
      <c r="J769">
        <f>_xlfn.XLOOKUP(tbl_subscription[[#This Row],[Customer_ID]],tbl_clint[Customer_ID],tbl_clint[Country])</f>
        <v/>
      </c>
      <c r="K769">
        <f>_xlfn.XLOOKUP(tbl_subscription[[#This Row],[Customer_ID]],tbl_clint[[#This Row],[Customer_ID]],tbl_clint[[#This Row],[Industry]])</f>
        <v/>
      </c>
      <c r="L769">
        <f>_xlfn.XLOOKUP(tbl_subscription[[#This Row],[Customer_ID]],tbl_clint[[#This Row],[Customer_ID]],tbl_clint[[#This Row],[Company_Size]])</f>
        <v/>
      </c>
      <c r="M769">
        <f>YEAR(tbl_subscription[[#This Row],[Start_Date]])</f>
        <v/>
      </c>
    </row>
    <row r="770">
      <c r="A770" t="inlineStr">
        <is>
          <t>C0769</t>
        </is>
      </c>
      <c r="B770" t="inlineStr">
        <is>
          <t>Premium</t>
        </is>
      </c>
      <c r="C770" s="4" t="n">
        <v>44713</v>
      </c>
      <c r="D770" s="4" t="n">
        <v>45657</v>
      </c>
      <c r="E770" t="n">
        <v>40</v>
      </c>
      <c r="F770" t="inlineStr">
        <is>
          <t>Active</t>
        </is>
      </c>
      <c r="G770" t="inlineStr">
        <is>
          <t>Referral</t>
        </is>
      </c>
      <c r="H770">
        <f>TEXT(C770,"mmm-yyyy")</f>
        <v/>
      </c>
      <c r="I770">
        <f>TEXT(D770,"mmm-yyyy")</f>
        <v/>
      </c>
      <c r="J770">
        <f>_xlfn.XLOOKUP(tbl_subscription[[#This Row],[Customer_ID]],tbl_clint[Customer_ID],tbl_clint[Country])</f>
        <v/>
      </c>
      <c r="K770">
        <f>_xlfn.XLOOKUP(tbl_subscription[[#This Row],[Customer_ID]],tbl_clint[[#This Row],[Customer_ID]],tbl_clint[[#This Row],[Industry]])</f>
        <v/>
      </c>
      <c r="L770">
        <f>_xlfn.XLOOKUP(tbl_subscription[[#This Row],[Customer_ID]],tbl_clint[[#This Row],[Customer_ID]],tbl_clint[[#This Row],[Company_Size]])</f>
        <v/>
      </c>
      <c r="M770">
        <f>YEAR(tbl_subscription[[#This Row],[Start_Date]])</f>
        <v/>
      </c>
    </row>
    <row r="771">
      <c r="A771" t="inlineStr">
        <is>
          <t>C0770</t>
        </is>
      </c>
      <c r="B771" t="inlineStr">
        <is>
          <t>Basic</t>
        </is>
      </c>
      <c r="C771" s="4" t="n">
        <v>45470</v>
      </c>
      <c r="D771" s="4" t="n">
        <v>45618</v>
      </c>
      <c r="E771" t="n">
        <v>15</v>
      </c>
      <c r="F771" t="inlineStr">
        <is>
          <t>Churned</t>
        </is>
      </c>
      <c r="G771" t="inlineStr">
        <is>
          <t>Instagram</t>
        </is>
      </c>
      <c r="H771">
        <f>TEXT(C771,"mmm-yyyy")</f>
        <v/>
      </c>
      <c r="I771">
        <f>TEXT(D771,"mmm-yyyy")</f>
        <v/>
      </c>
      <c r="J771">
        <f>_xlfn.XLOOKUP(tbl_subscription[[#This Row],[Customer_ID]],tbl_clint[Customer_ID],tbl_clint[Country])</f>
        <v/>
      </c>
      <c r="K771">
        <f>_xlfn.XLOOKUP(tbl_subscription[[#This Row],[Customer_ID]],tbl_clint[[#This Row],[Customer_ID]],tbl_clint[[#This Row],[Industry]])</f>
        <v/>
      </c>
      <c r="L771">
        <f>_xlfn.XLOOKUP(tbl_subscription[[#This Row],[Customer_ID]],tbl_clint[[#This Row],[Customer_ID]],tbl_clint[[#This Row],[Company_Size]])</f>
        <v/>
      </c>
      <c r="M771">
        <f>YEAR(tbl_subscription[[#This Row],[Start_Date]])</f>
        <v/>
      </c>
    </row>
    <row r="772">
      <c r="A772" t="inlineStr">
        <is>
          <t>C0771</t>
        </is>
      </c>
      <c r="B772" t="inlineStr">
        <is>
          <t>Premium</t>
        </is>
      </c>
      <c r="C772" s="4" t="n">
        <v>44823</v>
      </c>
      <c r="D772" s="4" t="n">
        <v>45657</v>
      </c>
      <c r="E772" t="n">
        <v>40</v>
      </c>
      <c r="F772" t="inlineStr">
        <is>
          <t>Active</t>
        </is>
      </c>
      <c r="G772" t="inlineStr">
        <is>
          <t>Google</t>
        </is>
      </c>
      <c r="H772">
        <f>TEXT(C772,"mmm-yyyy")</f>
        <v/>
      </c>
      <c r="I772">
        <f>TEXT(D772,"mmm-yyyy")</f>
        <v/>
      </c>
      <c r="J772">
        <f>_xlfn.XLOOKUP(tbl_subscription[[#This Row],[Customer_ID]],tbl_clint[Customer_ID],tbl_clint[Country])</f>
        <v/>
      </c>
      <c r="K772">
        <f>_xlfn.XLOOKUP(tbl_subscription[[#This Row],[Customer_ID]],tbl_clint[[#This Row],[Customer_ID]],tbl_clint[[#This Row],[Industry]])</f>
        <v/>
      </c>
      <c r="L772">
        <f>_xlfn.XLOOKUP(tbl_subscription[[#This Row],[Customer_ID]],tbl_clint[[#This Row],[Customer_ID]],tbl_clint[[#This Row],[Company_Size]])</f>
        <v/>
      </c>
      <c r="M772">
        <f>YEAR(tbl_subscription[[#This Row],[Start_Date]])</f>
        <v/>
      </c>
    </row>
    <row r="773">
      <c r="A773" t="inlineStr">
        <is>
          <t>C0772</t>
        </is>
      </c>
      <c r="B773" t="inlineStr">
        <is>
          <t>Standard</t>
        </is>
      </c>
      <c r="C773" s="4" t="n">
        <v>44940</v>
      </c>
      <c r="D773" s="4" t="n">
        <v>45657</v>
      </c>
      <c r="E773" t="n">
        <v>25</v>
      </c>
      <c r="F773" t="inlineStr">
        <is>
          <t>Active</t>
        </is>
      </c>
      <c r="G773" t="inlineStr">
        <is>
          <t>Google</t>
        </is>
      </c>
      <c r="H773">
        <f>TEXT(C773,"mmm-yyyy")</f>
        <v/>
      </c>
      <c r="I773">
        <f>TEXT(D773,"mmm-yyyy")</f>
        <v/>
      </c>
      <c r="J773">
        <f>_xlfn.XLOOKUP(tbl_subscription[[#This Row],[Customer_ID]],tbl_clint[Customer_ID],tbl_clint[Country])</f>
        <v/>
      </c>
      <c r="K773">
        <f>_xlfn.XLOOKUP(tbl_subscription[[#This Row],[Customer_ID]],tbl_clint[[#This Row],[Customer_ID]],tbl_clint[[#This Row],[Industry]])</f>
        <v/>
      </c>
      <c r="L773">
        <f>_xlfn.XLOOKUP(tbl_subscription[[#This Row],[Customer_ID]],tbl_clint[[#This Row],[Customer_ID]],tbl_clint[[#This Row],[Company_Size]])</f>
        <v/>
      </c>
      <c r="M773">
        <f>YEAR(tbl_subscription[[#This Row],[Start_Date]])</f>
        <v/>
      </c>
    </row>
    <row r="774">
      <c r="A774" t="inlineStr">
        <is>
          <t>C0773</t>
        </is>
      </c>
      <c r="B774" t="inlineStr">
        <is>
          <t>Standard</t>
        </is>
      </c>
      <c r="C774" s="4" t="n">
        <v>45316</v>
      </c>
      <c r="D774" s="4" t="n">
        <v>45657</v>
      </c>
      <c r="E774" t="n">
        <v>25</v>
      </c>
      <c r="F774" t="inlineStr">
        <is>
          <t>Churned</t>
        </is>
      </c>
      <c r="G774" t="inlineStr">
        <is>
          <t>Facebook</t>
        </is>
      </c>
      <c r="H774">
        <f>TEXT(C774,"mmm-yyyy")</f>
        <v/>
      </c>
      <c r="I774">
        <f>TEXT(D774,"mmm-yyyy")</f>
        <v/>
      </c>
      <c r="J774">
        <f>_xlfn.XLOOKUP(tbl_subscription[[#This Row],[Customer_ID]],tbl_clint[Customer_ID],tbl_clint[Country])</f>
        <v/>
      </c>
      <c r="K774">
        <f>_xlfn.XLOOKUP(tbl_subscription[[#This Row],[Customer_ID]],tbl_clint[[#This Row],[Customer_ID]],tbl_clint[[#This Row],[Industry]])</f>
        <v/>
      </c>
      <c r="L774">
        <f>_xlfn.XLOOKUP(tbl_subscription[[#This Row],[Customer_ID]],tbl_clint[[#This Row],[Customer_ID]],tbl_clint[[#This Row],[Company_Size]])</f>
        <v/>
      </c>
      <c r="M774">
        <f>YEAR(tbl_subscription[[#This Row],[Start_Date]])</f>
        <v/>
      </c>
    </row>
    <row r="775">
      <c r="A775" t="inlineStr">
        <is>
          <t>C0774</t>
        </is>
      </c>
      <c r="B775" t="inlineStr">
        <is>
          <t>Standard</t>
        </is>
      </c>
      <c r="C775" s="4" t="n">
        <v>44441</v>
      </c>
      <c r="D775" s="4" t="n">
        <v>44614</v>
      </c>
      <c r="E775" t="n">
        <v>25</v>
      </c>
      <c r="F775" t="inlineStr">
        <is>
          <t>Churned</t>
        </is>
      </c>
      <c r="G775" t="inlineStr">
        <is>
          <t>Instagram</t>
        </is>
      </c>
      <c r="H775">
        <f>TEXT(C775,"mmm-yyyy")</f>
        <v/>
      </c>
      <c r="I775">
        <f>TEXT(D775,"mmm-yyyy")</f>
        <v/>
      </c>
      <c r="J775">
        <f>_xlfn.XLOOKUP(tbl_subscription[[#This Row],[Customer_ID]],tbl_clint[Customer_ID],tbl_clint[Country])</f>
        <v/>
      </c>
      <c r="K775">
        <f>_xlfn.XLOOKUP(tbl_subscription[[#This Row],[Customer_ID]],tbl_clint[[#This Row],[Customer_ID]],tbl_clint[[#This Row],[Industry]])</f>
        <v/>
      </c>
      <c r="L775">
        <f>_xlfn.XLOOKUP(tbl_subscription[[#This Row],[Customer_ID]],tbl_clint[[#This Row],[Customer_ID]],tbl_clint[[#This Row],[Company_Size]])</f>
        <v/>
      </c>
      <c r="M775">
        <f>YEAR(tbl_subscription[[#This Row],[Start_Date]])</f>
        <v/>
      </c>
    </row>
    <row r="776">
      <c r="A776" t="inlineStr">
        <is>
          <t>C0775</t>
        </is>
      </c>
      <c r="B776" t="inlineStr">
        <is>
          <t>Basic</t>
        </is>
      </c>
      <c r="C776" s="4" t="n">
        <v>44915</v>
      </c>
      <c r="D776" s="4" t="n">
        <v>45657</v>
      </c>
      <c r="E776" t="n">
        <v>15</v>
      </c>
      <c r="F776" t="inlineStr">
        <is>
          <t>Active</t>
        </is>
      </c>
      <c r="G776" t="inlineStr">
        <is>
          <t>LinkedIn</t>
        </is>
      </c>
      <c r="H776">
        <f>TEXT(C776,"mmm-yyyy")</f>
        <v/>
      </c>
      <c r="I776">
        <f>TEXT(D776,"mmm-yyyy")</f>
        <v/>
      </c>
      <c r="J776">
        <f>_xlfn.XLOOKUP(tbl_subscription[[#This Row],[Customer_ID]],tbl_clint[Customer_ID],tbl_clint[Country])</f>
        <v/>
      </c>
      <c r="K776">
        <f>_xlfn.XLOOKUP(tbl_subscription[[#This Row],[Customer_ID]],tbl_clint[[#This Row],[Customer_ID]],tbl_clint[[#This Row],[Industry]])</f>
        <v/>
      </c>
      <c r="L776">
        <f>_xlfn.XLOOKUP(tbl_subscription[[#This Row],[Customer_ID]],tbl_clint[[#This Row],[Customer_ID]],tbl_clint[[#This Row],[Company_Size]])</f>
        <v/>
      </c>
      <c r="M776">
        <f>YEAR(tbl_subscription[[#This Row],[Start_Date]])</f>
        <v/>
      </c>
    </row>
    <row r="777">
      <c r="A777" t="inlineStr">
        <is>
          <t>C0776</t>
        </is>
      </c>
      <c r="B777" t="inlineStr">
        <is>
          <t>Standard</t>
        </is>
      </c>
      <c r="C777" s="4" t="n">
        <v>44080</v>
      </c>
      <c r="D777" s="4" t="n">
        <v>44949</v>
      </c>
      <c r="E777" t="n">
        <v>25</v>
      </c>
      <c r="F777" t="inlineStr">
        <is>
          <t>Churned</t>
        </is>
      </c>
      <c r="G777" t="inlineStr">
        <is>
          <t>Instagram</t>
        </is>
      </c>
      <c r="H777">
        <f>TEXT(C777,"mmm-yyyy")</f>
        <v/>
      </c>
      <c r="I777">
        <f>TEXT(D777,"mmm-yyyy")</f>
        <v/>
      </c>
      <c r="J777">
        <f>_xlfn.XLOOKUP(tbl_subscription[[#This Row],[Customer_ID]],tbl_clint[Customer_ID],tbl_clint[Country])</f>
        <v/>
      </c>
      <c r="K777">
        <f>_xlfn.XLOOKUP(tbl_subscription[[#This Row],[Customer_ID]],tbl_clint[[#This Row],[Customer_ID]],tbl_clint[[#This Row],[Industry]])</f>
        <v/>
      </c>
      <c r="L777">
        <f>_xlfn.XLOOKUP(tbl_subscription[[#This Row],[Customer_ID]],tbl_clint[[#This Row],[Customer_ID]],tbl_clint[[#This Row],[Company_Size]])</f>
        <v/>
      </c>
      <c r="M777">
        <f>YEAR(tbl_subscription[[#This Row],[Start_Date]])</f>
        <v/>
      </c>
    </row>
    <row r="778">
      <c r="A778" t="inlineStr">
        <is>
          <t>C0777</t>
        </is>
      </c>
      <c r="B778" t="inlineStr">
        <is>
          <t>Standard</t>
        </is>
      </c>
      <c r="C778" s="4" t="n">
        <v>44770</v>
      </c>
      <c r="D778" s="4" t="n">
        <v>45657</v>
      </c>
      <c r="E778" t="n">
        <v>25</v>
      </c>
      <c r="F778" t="inlineStr">
        <is>
          <t>Active</t>
        </is>
      </c>
      <c r="G778" t="inlineStr">
        <is>
          <t>Referral</t>
        </is>
      </c>
      <c r="H778">
        <f>TEXT(C778,"mmm-yyyy")</f>
        <v/>
      </c>
      <c r="I778">
        <f>TEXT(D778,"mmm-yyyy")</f>
        <v/>
      </c>
      <c r="J778">
        <f>_xlfn.XLOOKUP(tbl_subscription[[#This Row],[Customer_ID]],tbl_clint[Customer_ID],tbl_clint[Country])</f>
        <v/>
      </c>
      <c r="K778">
        <f>_xlfn.XLOOKUP(tbl_subscription[[#This Row],[Customer_ID]],tbl_clint[[#This Row],[Customer_ID]],tbl_clint[[#This Row],[Industry]])</f>
        <v/>
      </c>
      <c r="L778">
        <f>_xlfn.XLOOKUP(tbl_subscription[[#This Row],[Customer_ID]],tbl_clint[[#This Row],[Customer_ID]],tbl_clint[[#This Row],[Company_Size]])</f>
        <v/>
      </c>
      <c r="M778">
        <f>YEAR(tbl_subscription[[#This Row],[Start_Date]])</f>
        <v/>
      </c>
    </row>
    <row r="779">
      <c r="A779" t="inlineStr">
        <is>
          <t>C0778</t>
        </is>
      </c>
      <c r="B779" t="inlineStr">
        <is>
          <t>Premium</t>
        </is>
      </c>
      <c r="C779" s="4" t="n">
        <v>44478</v>
      </c>
      <c r="D779" s="4" t="n">
        <v>45657</v>
      </c>
      <c r="E779" t="n">
        <v>40</v>
      </c>
      <c r="F779" t="inlineStr">
        <is>
          <t>Active</t>
        </is>
      </c>
      <c r="G779" t="inlineStr">
        <is>
          <t>Referral</t>
        </is>
      </c>
      <c r="H779">
        <f>TEXT(C779,"mmm-yyyy")</f>
        <v/>
      </c>
      <c r="I779">
        <f>TEXT(D779,"mmm-yyyy")</f>
        <v/>
      </c>
      <c r="J779">
        <f>_xlfn.XLOOKUP(tbl_subscription[[#This Row],[Customer_ID]],tbl_clint[Customer_ID],tbl_clint[Country])</f>
        <v/>
      </c>
      <c r="K779">
        <f>_xlfn.XLOOKUP(tbl_subscription[[#This Row],[Customer_ID]],tbl_clint[[#This Row],[Customer_ID]],tbl_clint[[#This Row],[Industry]])</f>
        <v/>
      </c>
      <c r="L779">
        <f>_xlfn.XLOOKUP(tbl_subscription[[#This Row],[Customer_ID]],tbl_clint[[#This Row],[Customer_ID]],tbl_clint[[#This Row],[Company_Size]])</f>
        <v/>
      </c>
      <c r="M779">
        <f>YEAR(tbl_subscription[[#This Row],[Start_Date]])</f>
        <v/>
      </c>
    </row>
    <row r="780">
      <c r="A780" t="inlineStr">
        <is>
          <t>C0779</t>
        </is>
      </c>
      <c r="B780" t="inlineStr">
        <is>
          <t>Premium</t>
        </is>
      </c>
      <c r="C780" s="4" t="n">
        <v>44209</v>
      </c>
      <c r="D780" s="4" t="n">
        <v>45657</v>
      </c>
      <c r="E780" t="n">
        <v>40</v>
      </c>
      <c r="F780" t="inlineStr">
        <is>
          <t>Active</t>
        </is>
      </c>
      <c r="G780" t="inlineStr">
        <is>
          <t>LinkedIn</t>
        </is>
      </c>
      <c r="H780">
        <f>TEXT(C780,"mmm-yyyy")</f>
        <v/>
      </c>
      <c r="I780">
        <f>TEXT(D780,"mmm-yyyy")</f>
        <v/>
      </c>
      <c r="J780">
        <f>_xlfn.XLOOKUP(tbl_subscription[[#This Row],[Customer_ID]],tbl_clint[Customer_ID],tbl_clint[Country])</f>
        <v/>
      </c>
      <c r="K780">
        <f>_xlfn.XLOOKUP(tbl_subscription[[#This Row],[Customer_ID]],tbl_clint[[#This Row],[Customer_ID]],tbl_clint[[#This Row],[Industry]])</f>
        <v/>
      </c>
      <c r="L780">
        <f>_xlfn.XLOOKUP(tbl_subscription[[#This Row],[Customer_ID]],tbl_clint[[#This Row],[Customer_ID]],tbl_clint[[#This Row],[Company_Size]])</f>
        <v/>
      </c>
      <c r="M780">
        <f>YEAR(tbl_subscription[[#This Row],[Start_Date]])</f>
        <v/>
      </c>
    </row>
    <row r="781">
      <c r="A781" t="inlineStr">
        <is>
          <t>C0780</t>
        </is>
      </c>
      <c r="B781" t="inlineStr">
        <is>
          <t>Premium</t>
        </is>
      </c>
      <c r="C781" s="4" t="n">
        <v>43971</v>
      </c>
      <c r="D781" s="4" t="n">
        <v>44353</v>
      </c>
      <c r="E781" t="n">
        <v>40</v>
      </c>
      <c r="F781" t="inlineStr">
        <is>
          <t>Churned</t>
        </is>
      </c>
      <c r="G781" t="inlineStr">
        <is>
          <t>LinkedIn</t>
        </is>
      </c>
      <c r="H781">
        <f>TEXT(C781,"mmm-yyyy")</f>
        <v/>
      </c>
      <c r="I781">
        <f>TEXT(D781,"mmm-yyyy")</f>
        <v/>
      </c>
      <c r="J781">
        <f>_xlfn.XLOOKUP(tbl_subscription[[#This Row],[Customer_ID]],tbl_clint[Customer_ID],tbl_clint[Country])</f>
        <v/>
      </c>
      <c r="K781">
        <f>_xlfn.XLOOKUP(tbl_subscription[[#This Row],[Customer_ID]],tbl_clint[[#This Row],[Customer_ID]],tbl_clint[[#This Row],[Industry]])</f>
        <v/>
      </c>
      <c r="L781">
        <f>_xlfn.XLOOKUP(tbl_subscription[[#This Row],[Customer_ID]],tbl_clint[[#This Row],[Customer_ID]],tbl_clint[[#This Row],[Company_Size]])</f>
        <v/>
      </c>
      <c r="M781">
        <f>YEAR(tbl_subscription[[#This Row],[Start_Date]])</f>
        <v/>
      </c>
    </row>
    <row r="782">
      <c r="A782" t="inlineStr">
        <is>
          <t>C0781</t>
        </is>
      </c>
      <c r="B782" t="inlineStr">
        <is>
          <t>Basic</t>
        </is>
      </c>
      <c r="C782" s="4" t="n">
        <v>45401</v>
      </c>
      <c r="D782" s="4" t="n">
        <v>45657</v>
      </c>
      <c r="E782" t="n">
        <v>15</v>
      </c>
      <c r="F782" t="inlineStr">
        <is>
          <t>Active</t>
        </is>
      </c>
      <c r="G782" t="inlineStr">
        <is>
          <t>Facebook</t>
        </is>
      </c>
      <c r="H782">
        <f>TEXT(C782,"mmm-yyyy")</f>
        <v/>
      </c>
      <c r="I782">
        <f>TEXT(D782,"mmm-yyyy")</f>
        <v/>
      </c>
      <c r="J782">
        <f>_xlfn.XLOOKUP(tbl_subscription[[#This Row],[Customer_ID]],tbl_clint[Customer_ID],tbl_clint[Country])</f>
        <v/>
      </c>
      <c r="K782">
        <f>_xlfn.XLOOKUP(tbl_subscription[[#This Row],[Customer_ID]],tbl_clint[[#This Row],[Customer_ID]],tbl_clint[[#This Row],[Industry]])</f>
        <v/>
      </c>
      <c r="L782">
        <f>_xlfn.XLOOKUP(tbl_subscription[[#This Row],[Customer_ID]],tbl_clint[[#This Row],[Customer_ID]],tbl_clint[[#This Row],[Company_Size]])</f>
        <v/>
      </c>
      <c r="M782">
        <f>YEAR(tbl_subscription[[#This Row],[Start_Date]])</f>
        <v/>
      </c>
    </row>
    <row r="783">
      <c r="A783" t="inlineStr">
        <is>
          <t>C0782</t>
        </is>
      </c>
      <c r="B783" t="inlineStr">
        <is>
          <t>Standard</t>
        </is>
      </c>
      <c r="C783" s="4" t="n">
        <v>44077</v>
      </c>
      <c r="D783" s="4" t="n">
        <v>45657</v>
      </c>
      <c r="E783" t="n">
        <v>25</v>
      </c>
      <c r="F783" t="inlineStr">
        <is>
          <t>Active</t>
        </is>
      </c>
      <c r="G783" t="inlineStr">
        <is>
          <t>Instagram</t>
        </is>
      </c>
      <c r="H783">
        <f>TEXT(C783,"mmm-yyyy")</f>
        <v/>
      </c>
      <c r="I783">
        <f>TEXT(D783,"mmm-yyyy")</f>
        <v/>
      </c>
      <c r="J783">
        <f>_xlfn.XLOOKUP(tbl_subscription[[#This Row],[Customer_ID]],tbl_clint[Customer_ID],tbl_clint[Country])</f>
        <v/>
      </c>
      <c r="K783">
        <f>_xlfn.XLOOKUP(tbl_subscription[[#This Row],[Customer_ID]],tbl_clint[[#This Row],[Customer_ID]],tbl_clint[[#This Row],[Industry]])</f>
        <v/>
      </c>
      <c r="L783">
        <f>_xlfn.XLOOKUP(tbl_subscription[[#This Row],[Customer_ID]],tbl_clint[[#This Row],[Customer_ID]],tbl_clint[[#This Row],[Company_Size]])</f>
        <v/>
      </c>
      <c r="M783">
        <f>YEAR(tbl_subscription[[#This Row],[Start_Date]])</f>
        <v/>
      </c>
    </row>
    <row r="784">
      <c r="A784" t="inlineStr">
        <is>
          <t>C0783</t>
        </is>
      </c>
      <c r="B784" t="inlineStr">
        <is>
          <t>Premium</t>
        </is>
      </c>
      <c r="C784" s="4" t="n">
        <v>44345</v>
      </c>
      <c r="D784" s="4" t="n">
        <v>45657</v>
      </c>
      <c r="E784" t="n">
        <v>40</v>
      </c>
      <c r="F784" t="inlineStr">
        <is>
          <t>Active</t>
        </is>
      </c>
      <c r="G784" t="inlineStr">
        <is>
          <t>Facebook</t>
        </is>
      </c>
      <c r="H784">
        <f>TEXT(C784,"mmm-yyyy")</f>
        <v/>
      </c>
      <c r="I784">
        <f>TEXT(D784,"mmm-yyyy")</f>
        <v/>
      </c>
      <c r="J784">
        <f>_xlfn.XLOOKUP(tbl_subscription[[#This Row],[Customer_ID]],tbl_clint[Customer_ID],tbl_clint[Country])</f>
        <v/>
      </c>
      <c r="K784">
        <f>_xlfn.XLOOKUP(tbl_subscription[[#This Row],[Customer_ID]],tbl_clint[[#This Row],[Customer_ID]],tbl_clint[[#This Row],[Industry]])</f>
        <v/>
      </c>
      <c r="L784">
        <f>_xlfn.XLOOKUP(tbl_subscription[[#This Row],[Customer_ID]],tbl_clint[[#This Row],[Customer_ID]],tbl_clint[[#This Row],[Company_Size]])</f>
        <v/>
      </c>
      <c r="M784">
        <f>YEAR(tbl_subscription[[#This Row],[Start_Date]])</f>
        <v/>
      </c>
    </row>
    <row r="785">
      <c r="A785" t="inlineStr">
        <is>
          <t>C0784</t>
        </is>
      </c>
      <c r="B785" t="inlineStr">
        <is>
          <t>Premium</t>
        </is>
      </c>
      <c r="C785" s="4" t="n">
        <v>45056</v>
      </c>
      <c r="D785" s="4" t="n">
        <v>45657</v>
      </c>
      <c r="E785" t="n">
        <v>40</v>
      </c>
      <c r="F785" t="inlineStr">
        <is>
          <t>Active</t>
        </is>
      </c>
      <c r="G785" t="inlineStr">
        <is>
          <t>Referral</t>
        </is>
      </c>
      <c r="H785">
        <f>TEXT(C785,"mmm-yyyy")</f>
        <v/>
      </c>
      <c r="I785">
        <f>TEXT(D785,"mmm-yyyy")</f>
        <v/>
      </c>
      <c r="J785">
        <f>_xlfn.XLOOKUP(tbl_subscription[[#This Row],[Customer_ID]],tbl_clint[Customer_ID],tbl_clint[Country])</f>
        <v/>
      </c>
      <c r="K785">
        <f>_xlfn.XLOOKUP(tbl_subscription[[#This Row],[Customer_ID]],tbl_clint[[#This Row],[Customer_ID]],tbl_clint[[#This Row],[Industry]])</f>
        <v/>
      </c>
      <c r="L785">
        <f>_xlfn.XLOOKUP(tbl_subscription[[#This Row],[Customer_ID]],tbl_clint[[#This Row],[Customer_ID]],tbl_clint[[#This Row],[Company_Size]])</f>
        <v/>
      </c>
      <c r="M785">
        <f>YEAR(tbl_subscription[[#This Row],[Start_Date]])</f>
        <v/>
      </c>
    </row>
    <row r="786">
      <c r="A786" t="inlineStr">
        <is>
          <t>C0785</t>
        </is>
      </c>
      <c r="B786" t="inlineStr">
        <is>
          <t>Basic</t>
        </is>
      </c>
      <c r="C786" s="4" t="n">
        <v>44499</v>
      </c>
      <c r="D786" s="4" t="n">
        <v>45657</v>
      </c>
      <c r="E786" t="n">
        <v>15</v>
      </c>
      <c r="F786" t="inlineStr">
        <is>
          <t>Active</t>
        </is>
      </c>
      <c r="G786" t="inlineStr">
        <is>
          <t>Referral</t>
        </is>
      </c>
      <c r="H786">
        <f>TEXT(C786,"mmm-yyyy")</f>
        <v/>
      </c>
      <c r="I786">
        <f>TEXT(D786,"mmm-yyyy")</f>
        <v/>
      </c>
      <c r="J786">
        <f>_xlfn.XLOOKUP(tbl_subscription[[#This Row],[Customer_ID]],tbl_clint[Customer_ID],tbl_clint[Country])</f>
        <v/>
      </c>
      <c r="K786">
        <f>_xlfn.XLOOKUP(tbl_subscription[[#This Row],[Customer_ID]],tbl_clint[[#This Row],[Customer_ID]],tbl_clint[[#This Row],[Industry]])</f>
        <v/>
      </c>
      <c r="L786">
        <f>_xlfn.XLOOKUP(tbl_subscription[[#This Row],[Customer_ID]],tbl_clint[[#This Row],[Customer_ID]],tbl_clint[[#This Row],[Company_Size]])</f>
        <v/>
      </c>
      <c r="M786">
        <f>YEAR(tbl_subscription[[#This Row],[Start_Date]])</f>
        <v/>
      </c>
    </row>
    <row r="787">
      <c r="A787" t="inlineStr">
        <is>
          <t>C0786</t>
        </is>
      </c>
      <c r="B787" t="inlineStr">
        <is>
          <t>Basic</t>
        </is>
      </c>
      <c r="C787" s="4" t="n">
        <v>44255</v>
      </c>
      <c r="D787" s="4" t="n">
        <v>45657</v>
      </c>
      <c r="E787" t="n">
        <v>15</v>
      </c>
      <c r="F787" t="inlineStr">
        <is>
          <t>Active</t>
        </is>
      </c>
      <c r="G787" t="inlineStr">
        <is>
          <t>Facebook</t>
        </is>
      </c>
      <c r="H787">
        <f>TEXT(C787,"mmm-yyyy")</f>
        <v/>
      </c>
      <c r="I787">
        <f>TEXT(D787,"mmm-yyyy")</f>
        <v/>
      </c>
      <c r="J787">
        <f>_xlfn.XLOOKUP(tbl_subscription[[#This Row],[Customer_ID]],tbl_clint[Customer_ID],tbl_clint[Country])</f>
        <v/>
      </c>
      <c r="K787">
        <f>_xlfn.XLOOKUP(tbl_subscription[[#This Row],[Customer_ID]],tbl_clint[[#This Row],[Customer_ID]],tbl_clint[[#This Row],[Industry]])</f>
        <v/>
      </c>
      <c r="L787">
        <f>_xlfn.XLOOKUP(tbl_subscription[[#This Row],[Customer_ID]],tbl_clint[[#This Row],[Customer_ID]],tbl_clint[[#This Row],[Company_Size]])</f>
        <v/>
      </c>
      <c r="M787">
        <f>YEAR(tbl_subscription[[#This Row],[Start_Date]])</f>
        <v/>
      </c>
    </row>
    <row r="788">
      <c r="A788" t="inlineStr">
        <is>
          <t>C0787</t>
        </is>
      </c>
      <c r="B788" t="inlineStr">
        <is>
          <t>Premium</t>
        </is>
      </c>
      <c r="C788" s="4" t="n">
        <v>44179</v>
      </c>
      <c r="D788" s="4" t="n">
        <v>44484</v>
      </c>
      <c r="E788" t="n">
        <v>40</v>
      </c>
      <c r="F788" t="inlineStr">
        <is>
          <t>Churned</t>
        </is>
      </c>
      <c r="G788" t="inlineStr">
        <is>
          <t>LinkedIn</t>
        </is>
      </c>
      <c r="H788">
        <f>TEXT(C788,"mmm-yyyy")</f>
        <v/>
      </c>
      <c r="I788">
        <f>TEXT(D788,"mmm-yyyy")</f>
        <v/>
      </c>
      <c r="J788">
        <f>_xlfn.XLOOKUP(tbl_subscription[[#This Row],[Customer_ID]],tbl_clint[Customer_ID],tbl_clint[Country])</f>
        <v/>
      </c>
      <c r="K788">
        <f>_xlfn.XLOOKUP(tbl_subscription[[#This Row],[Customer_ID]],tbl_clint[[#This Row],[Customer_ID]],tbl_clint[[#This Row],[Industry]])</f>
        <v/>
      </c>
      <c r="L788">
        <f>_xlfn.XLOOKUP(tbl_subscription[[#This Row],[Customer_ID]],tbl_clint[[#This Row],[Customer_ID]],tbl_clint[[#This Row],[Company_Size]])</f>
        <v/>
      </c>
      <c r="M788">
        <f>YEAR(tbl_subscription[[#This Row],[Start_Date]])</f>
        <v/>
      </c>
    </row>
    <row r="789">
      <c r="A789" t="inlineStr">
        <is>
          <t>C0788</t>
        </is>
      </c>
      <c r="B789" t="inlineStr">
        <is>
          <t>Standard</t>
        </is>
      </c>
      <c r="C789" s="4" t="n">
        <v>44034</v>
      </c>
      <c r="D789" s="4" t="n">
        <v>45657</v>
      </c>
      <c r="E789" t="n">
        <v>25</v>
      </c>
      <c r="F789" t="inlineStr">
        <is>
          <t>Active</t>
        </is>
      </c>
      <c r="G789" t="inlineStr">
        <is>
          <t>Referral</t>
        </is>
      </c>
      <c r="H789">
        <f>TEXT(C789,"mmm-yyyy")</f>
        <v/>
      </c>
      <c r="I789">
        <f>TEXT(D789,"mmm-yyyy")</f>
        <v/>
      </c>
      <c r="J789">
        <f>_xlfn.XLOOKUP(tbl_subscription[[#This Row],[Customer_ID]],tbl_clint[Customer_ID],tbl_clint[Country])</f>
        <v/>
      </c>
      <c r="K789">
        <f>_xlfn.XLOOKUP(tbl_subscription[[#This Row],[Customer_ID]],tbl_clint[[#This Row],[Customer_ID]],tbl_clint[[#This Row],[Industry]])</f>
        <v/>
      </c>
      <c r="L789">
        <f>_xlfn.XLOOKUP(tbl_subscription[[#This Row],[Customer_ID]],tbl_clint[[#This Row],[Customer_ID]],tbl_clint[[#This Row],[Company_Size]])</f>
        <v/>
      </c>
      <c r="M789">
        <f>YEAR(tbl_subscription[[#This Row],[Start_Date]])</f>
        <v/>
      </c>
    </row>
    <row r="790">
      <c r="A790" t="inlineStr">
        <is>
          <t>C0789</t>
        </is>
      </c>
      <c r="B790" t="inlineStr">
        <is>
          <t>Basic</t>
        </is>
      </c>
      <c r="C790" s="4" t="n">
        <v>43888</v>
      </c>
      <c r="D790" s="4" t="n">
        <v>45657</v>
      </c>
      <c r="E790" t="n">
        <v>15</v>
      </c>
      <c r="F790" t="inlineStr">
        <is>
          <t>Active</t>
        </is>
      </c>
      <c r="G790" t="inlineStr">
        <is>
          <t>LinkedIn</t>
        </is>
      </c>
      <c r="H790">
        <f>TEXT(C790,"mmm-yyyy")</f>
        <v/>
      </c>
      <c r="I790">
        <f>TEXT(D790,"mmm-yyyy")</f>
        <v/>
      </c>
      <c r="J790">
        <f>_xlfn.XLOOKUP(tbl_subscription[[#This Row],[Customer_ID]],tbl_clint[Customer_ID],tbl_clint[Country])</f>
        <v/>
      </c>
      <c r="K790">
        <f>_xlfn.XLOOKUP(tbl_subscription[[#This Row],[Customer_ID]],tbl_clint[[#This Row],[Customer_ID]],tbl_clint[[#This Row],[Industry]])</f>
        <v/>
      </c>
      <c r="L790">
        <f>_xlfn.XLOOKUP(tbl_subscription[[#This Row],[Customer_ID]],tbl_clint[[#This Row],[Customer_ID]],tbl_clint[[#This Row],[Company_Size]])</f>
        <v/>
      </c>
      <c r="M790">
        <f>YEAR(tbl_subscription[[#This Row],[Start_Date]])</f>
        <v/>
      </c>
    </row>
    <row r="791">
      <c r="A791" t="inlineStr">
        <is>
          <t>C0790</t>
        </is>
      </c>
      <c r="B791" t="inlineStr">
        <is>
          <t>Basic</t>
        </is>
      </c>
      <c r="C791" s="4" t="n">
        <v>44365</v>
      </c>
      <c r="D791" s="4" t="n">
        <v>45657</v>
      </c>
      <c r="E791" t="n">
        <v>15</v>
      </c>
      <c r="F791" t="inlineStr">
        <is>
          <t>Active</t>
        </is>
      </c>
      <c r="G791" t="inlineStr">
        <is>
          <t>Instagram</t>
        </is>
      </c>
      <c r="H791">
        <f>TEXT(C791,"mmm-yyyy")</f>
        <v/>
      </c>
      <c r="I791">
        <f>TEXT(D791,"mmm-yyyy")</f>
        <v/>
      </c>
      <c r="J791">
        <f>_xlfn.XLOOKUP(tbl_subscription[[#This Row],[Customer_ID]],tbl_clint[Customer_ID],tbl_clint[Country])</f>
        <v/>
      </c>
      <c r="K791">
        <f>_xlfn.XLOOKUP(tbl_subscription[[#This Row],[Customer_ID]],tbl_clint[[#This Row],[Customer_ID]],tbl_clint[[#This Row],[Industry]])</f>
        <v/>
      </c>
      <c r="L791">
        <f>_xlfn.XLOOKUP(tbl_subscription[[#This Row],[Customer_ID]],tbl_clint[[#This Row],[Customer_ID]],tbl_clint[[#This Row],[Company_Size]])</f>
        <v/>
      </c>
      <c r="M791">
        <f>YEAR(tbl_subscription[[#This Row],[Start_Date]])</f>
        <v/>
      </c>
    </row>
    <row r="792">
      <c r="A792" t="inlineStr">
        <is>
          <t>C0791</t>
        </is>
      </c>
      <c r="B792" t="inlineStr">
        <is>
          <t>Basic</t>
        </is>
      </c>
      <c r="C792" s="4" t="n">
        <v>44038</v>
      </c>
      <c r="D792" s="4" t="n">
        <v>45657</v>
      </c>
      <c r="E792" t="n">
        <v>15</v>
      </c>
      <c r="F792" t="inlineStr">
        <is>
          <t>Active</t>
        </is>
      </c>
      <c r="G792" t="inlineStr">
        <is>
          <t>Google</t>
        </is>
      </c>
      <c r="H792">
        <f>TEXT(C792,"mmm-yyyy")</f>
        <v/>
      </c>
      <c r="I792">
        <f>TEXT(D792,"mmm-yyyy")</f>
        <v/>
      </c>
      <c r="J792">
        <f>_xlfn.XLOOKUP(tbl_subscription[[#This Row],[Customer_ID]],tbl_clint[Customer_ID],tbl_clint[Country])</f>
        <v/>
      </c>
      <c r="K792">
        <f>_xlfn.XLOOKUP(tbl_subscription[[#This Row],[Customer_ID]],tbl_clint[[#This Row],[Customer_ID]],tbl_clint[[#This Row],[Industry]])</f>
        <v/>
      </c>
      <c r="L792">
        <f>_xlfn.XLOOKUP(tbl_subscription[[#This Row],[Customer_ID]],tbl_clint[[#This Row],[Customer_ID]],tbl_clint[[#This Row],[Company_Size]])</f>
        <v/>
      </c>
      <c r="M792">
        <f>YEAR(tbl_subscription[[#This Row],[Start_Date]])</f>
        <v/>
      </c>
    </row>
    <row r="793">
      <c r="A793" t="inlineStr">
        <is>
          <t>C0792</t>
        </is>
      </c>
      <c r="B793" t="inlineStr">
        <is>
          <t>Standard</t>
        </is>
      </c>
      <c r="C793" s="4" t="n">
        <v>44072</v>
      </c>
      <c r="D793" s="4" t="n">
        <v>45657</v>
      </c>
      <c r="E793" t="n">
        <v>25</v>
      </c>
      <c r="F793" t="inlineStr">
        <is>
          <t>Active</t>
        </is>
      </c>
      <c r="G793" t="inlineStr">
        <is>
          <t>LinkedIn</t>
        </is>
      </c>
      <c r="H793">
        <f>TEXT(C793,"mmm-yyyy")</f>
        <v/>
      </c>
      <c r="I793">
        <f>TEXT(D793,"mmm-yyyy")</f>
        <v/>
      </c>
      <c r="J793">
        <f>_xlfn.XLOOKUP(tbl_subscription[[#This Row],[Customer_ID]],tbl_clint[Customer_ID],tbl_clint[Country])</f>
        <v/>
      </c>
      <c r="K793">
        <f>_xlfn.XLOOKUP(tbl_subscription[[#This Row],[Customer_ID]],tbl_clint[[#This Row],[Customer_ID]],tbl_clint[[#This Row],[Industry]])</f>
        <v/>
      </c>
      <c r="L793">
        <f>_xlfn.XLOOKUP(tbl_subscription[[#This Row],[Customer_ID]],tbl_clint[[#This Row],[Customer_ID]],tbl_clint[[#This Row],[Company_Size]])</f>
        <v/>
      </c>
      <c r="M793">
        <f>YEAR(tbl_subscription[[#This Row],[Start_Date]])</f>
        <v/>
      </c>
    </row>
    <row r="794">
      <c r="A794" t="inlineStr">
        <is>
          <t>C0793</t>
        </is>
      </c>
      <c r="B794" t="inlineStr">
        <is>
          <t>Basic</t>
        </is>
      </c>
      <c r="C794" s="4" t="n">
        <v>45153</v>
      </c>
      <c r="D794" s="4" t="n">
        <v>45657</v>
      </c>
      <c r="E794" t="n">
        <v>15</v>
      </c>
      <c r="F794" t="inlineStr">
        <is>
          <t>Active</t>
        </is>
      </c>
      <c r="G794" t="inlineStr">
        <is>
          <t>Facebook</t>
        </is>
      </c>
      <c r="H794">
        <f>TEXT(C794,"mmm-yyyy")</f>
        <v/>
      </c>
      <c r="I794">
        <f>TEXT(D794,"mmm-yyyy")</f>
        <v/>
      </c>
      <c r="J794">
        <f>_xlfn.XLOOKUP(tbl_subscription[[#This Row],[Customer_ID]],tbl_clint[Customer_ID],tbl_clint[Country])</f>
        <v/>
      </c>
      <c r="K794">
        <f>_xlfn.XLOOKUP(tbl_subscription[[#This Row],[Customer_ID]],tbl_clint[[#This Row],[Customer_ID]],tbl_clint[[#This Row],[Industry]])</f>
        <v/>
      </c>
      <c r="L794">
        <f>_xlfn.XLOOKUP(tbl_subscription[[#This Row],[Customer_ID]],tbl_clint[[#This Row],[Customer_ID]],tbl_clint[[#This Row],[Company_Size]])</f>
        <v/>
      </c>
      <c r="M794">
        <f>YEAR(tbl_subscription[[#This Row],[Start_Date]])</f>
        <v/>
      </c>
    </row>
    <row r="795">
      <c r="A795" t="inlineStr">
        <is>
          <t>C0794</t>
        </is>
      </c>
      <c r="B795" t="inlineStr">
        <is>
          <t>Premium</t>
        </is>
      </c>
      <c r="C795" s="4" t="n">
        <v>44465</v>
      </c>
      <c r="D795" s="4" t="n">
        <v>45657</v>
      </c>
      <c r="E795" t="n">
        <v>40</v>
      </c>
      <c r="F795" t="inlineStr">
        <is>
          <t>Active</t>
        </is>
      </c>
      <c r="G795" t="inlineStr">
        <is>
          <t>Instagram</t>
        </is>
      </c>
      <c r="H795">
        <f>TEXT(C795,"mmm-yyyy")</f>
        <v/>
      </c>
      <c r="I795">
        <f>TEXT(D795,"mmm-yyyy")</f>
        <v/>
      </c>
      <c r="J795">
        <f>_xlfn.XLOOKUP(tbl_subscription[[#This Row],[Customer_ID]],tbl_clint[Customer_ID],tbl_clint[Country])</f>
        <v/>
      </c>
      <c r="K795">
        <f>_xlfn.XLOOKUP(tbl_subscription[[#This Row],[Customer_ID]],tbl_clint[[#This Row],[Customer_ID]],tbl_clint[[#This Row],[Industry]])</f>
        <v/>
      </c>
      <c r="L795">
        <f>_xlfn.XLOOKUP(tbl_subscription[[#This Row],[Customer_ID]],tbl_clint[[#This Row],[Customer_ID]],tbl_clint[[#This Row],[Company_Size]])</f>
        <v/>
      </c>
      <c r="M795">
        <f>YEAR(tbl_subscription[[#This Row],[Start_Date]])</f>
        <v/>
      </c>
    </row>
    <row r="796">
      <c r="A796" t="inlineStr">
        <is>
          <t>C0795</t>
        </is>
      </c>
      <c r="B796" t="inlineStr">
        <is>
          <t>Basic</t>
        </is>
      </c>
      <c r="C796" s="4" t="n">
        <v>44711</v>
      </c>
      <c r="D796" s="4" t="n">
        <v>45657</v>
      </c>
      <c r="E796" t="n">
        <v>15</v>
      </c>
      <c r="F796" t="inlineStr">
        <is>
          <t>Active</t>
        </is>
      </c>
      <c r="G796" t="inlineStr">
        <is>
          <t>Referral</t>
        </is>
      </c>
      <c r="H796">
        <f>TEXT(C796,"mmm-yyyy")</f>
        <v/>
      </c>
      <c r="I796">
        <f>TEXT(D796,"mmm-yyyy")</f>
        <v/>
      </c>
      <c r="J796">
        <f>_xlfn.XLOOKUP(tbl_subscription[[#This Row],[Customer_ID]],tbl_clint[Customer_ID],tbl_clint[Country])</f>
        <v/>
      </c>
      <c r="K796">
        <f>_xlfn.XLOOKUP(tbl_subscription[[#This Row],[Customer_ID]],tbl_clint[[#This Row],[Customer_ID]],tbl_clint[[#This Row],[Industry]])</f>
        <v/>
      </c>
      <c r="L796">
        <f>_xlfn.XLOOKUP(tbl_subscription[[#This Row],[Customer_ID]],tbl_clint[[#This Row],[Customer_ID]],tbl_clint[[#This Row],[Company_Size]])</f>
        <v/>
      </c>
      <c r="M796">
        <f>YEAR(tbl_subscription[[#This Row],[Start_Date]])</f>
        <v/>
      </c>
    </row>
    <row r="797">
      <c r="A797" t="inlineStr">
        <is>
          <t>C0796</t>
        </is>
      </c>
      <c r="B797" t="inlineStr">
        <is>
          <t>Basic</t>
        </is>
      </c>
      <c r="C797" s="4" t="n">
        <v>44837</v>
      </c>
      <c r="D797" s="4" t="n">
        <v>45657</v>
      </c>
      <c r="E797" t="n">
        <v>15</v>
      </c>
      <c r="F797" t="inlineStr">
        <is>
          <t>Churned</t>
        </is>
      </c>
      <c r="G797" t="inlineStr">
        <is>
          <t>LinkedIn</t>
        </is>
      </c>
      <c r="H797">
        <f>TEXT(C797,"mmm-yyyy")</f>
        <v/>
      </c>
      <c r="I797">
        <f>TEXT(D797,"mmm-yyyy")</f>
        <v/>
      </c>
      <c r="J797">
        <f>_xlfn.XLOOKUP(tbl_subscription[[#This Row],[Customer_ID]],tbl_clint[Customer_ID],tbl_clint[Country])</f>
        <v/>
      </c>
      <c r="K797">
        <f>_xlfn.XLOOKUP(tbl_subscription[[#This Row],[Customer_ID]],tbl_clint[[#This Row],[Customer_ID]],tbl_clint[[#This Row],[Industry]])</f>
        <v/>
      </c>
      <c r="L797">
        <f>_xlfn.XLOOKUP(tbl_subscription[[#This Row],[Customer_ID]],tbl_clint[[#This Row],[Customer_ID]],tbl_clint[[#This Row],[Company_Size]])</f>
        <v/>
      </c>
      <c r="M797">
        <f>YEAR(tbl_subscription[[#This Row],[Start_Date]])</f>
        <v/>
      </c>
    </row>
    <row r="798">
      <c r="A798" t="inlineStr">
        <is>
          <t>C0797</t>
        </is>
      </c>
      <c r="B798" t="inlineStr">
        <is>
          <t>Standard</t>
        </is>
      </c>
      <c r="C798" s="4" t="n">
        <v>44440</v>
      </c>
      <c r="D798" s="4" t="n">
        <v>45167</v>
      </c>
      <c r="E798" t="n">
        <v>25</v>
      </c>
      <c r="F798" t="inlineStr">
        <is>
          <t>Churned</t>
        </is>
      </c>
      <c r="G798" t="inlineStr">
        <is>
          <t>Google</t>
        </is>
      </c>
      <c r="H798">
        <f>TEXT(C798,"mmm-yyyy")</f>
        <v/>
      </c>
      <c r="I798">
        <f>TEXT(D798,"mmm-yyyy")</f>
        <v/>
      </c>
      <c r="J798">
        <f>_xlfn.XLOOKUP(tbl_subscription[[#This Row],[Customer_ID]],tbl_clint[Customer_ID],tbl_clint[Country])</f>
        <v/>
      </c>
      <c r="K798">
        <f>_xlfn.XLOOKUP(tbl_subscription[[#This Row],[Customer_ID]],tbl_clint[[#This Row],[Customer_ID]],tbl_clint[[#This Row],[Industry]])</f>
        <v/>
      </c>
      <c r="L798">
        <f>_xlfn.XLOOKUP(tbl_subscription[[#This Row],[Customer_ID]],tbl_clint[[#This Row],[Customer_ID]],tbl_clint[[#This Row],[Company_Size]])</f>
        <v/>
      </c>
      <c r="M798">
        <f>YEAR(tbl_subscription[[#This Row],[Start_Date]])</f>
        <v/>
      </c>
    </row>
    <row r="799">
      <c r="A799" t="inlineStr">
        <is>
          <t>C0798</t>
        </is>
      </c>
      <c r="B799" t="inlineStr">
        <is>
          <t>Premium</t>
        </is>
      </c>
      <c r="C799" s="4" t="n">
        <v>44921</v>
      </c>
      <c r="D799" s="4" t="n">
        <v>45657</v>
      </c>
      <c r="E799" t="n">
        <v>40</v>
      </c>
      <c r="F799" t="inlineStr">
        <is>
          <t>Active</t>
        </is>
      </c>
      <c r="G799" t="inlineStr">
        <is>
          <t>Facebook</t>
        </is>
      </c>
      <c r="H799">
        <f>TEXT(C799,"mmm-yyyy")</f>
        <v/>
      </c>
      <c r="I799">
        <f>TEXT(D799,"mmm-yyyy")</f>
        <v/>
      </c>
      <c r="J799">
        <f>_xlfn.XLOOKUP(tbl_subscription[[#This Row],[Customer_ID]],tbl_clint[Customer_ID],tbl_clint[Country])</f>
        <v/>
      </c>
      <c r="K799">
        <f>_xlfn.XLOOKUP(tbl_subscription[[#This Row],[Customer_ID]],tbl_clint[[#This Row],[Customer_ID]],tbl_clint[[#This Row],[Industry]])</f>
        <v/>
      </c>
      <c r="L799">
        <f>_xlfn.XLOOKUP(tbl_subscription[[#This Row],[Customer_ID]],tbl_clint[[#This Row],[Customer_ID]],tbl_clint[[#This Row],[Company_Size]])</f>
        <v/>
      </c>
      <c r="M799">
        <f>YEAR(tbl_subscription[[#This Row],[Start_Date]])</f>
        <v/>
      </c>
    </row>
    <row r="800">
      <c r="A800" t="inlineStr">
        <is>
          <t>C0799</t>
        </is>
      </c>
      <c r="B800" t="inlineStr">
        <is>
          <t>Standard</t>
        </is>
      </c>
      <c r="C800" s="4" t="n">
        <v>44889</v>
      </c>
      <c r="D800" s="4" t="n">
        <v>45084</v>
      </c>
      <c r="E800" t="n">
        <v>25</v>
      </c>
      <c r="F800" t="inlineStr">
        <is>
          <t>Churned</t>
        </is>
      </c>
      <c r="G800" t="inlineStr">
        <is>
          <t>Referral</t>
        </is>
      </c>
      <c r="H800">
        <f>TEXT(C800,"mmm-yyyy")</f>
        <v/>
      </c>
      <c r="I800">
        <f>TEXT(D800,"mmm-yyyy")</f>
        <v/>
      </c>
      <c r="J800">
        <f>_xlfn.XLOOKUP(tbl_subscription[[#This Row],[Customer_ID]],tbl_clint[Customer_ID],tbl_clint[Country])</f>
        <v/>
      </c>
      <c r="K800">
        <f>_xlfn.XLOOKUP(tbl_subscription[[#This Row],[Customer_ID]],tbl_clint[[#This Row],[Customer_ID]],tbl_clint[[#This Row],[Industry]])</f>
        <v/>
      </c>
      <c r="L800">
        <f>_xlfn.XLOOKUP(tbl_subscription[[#This Row],[Customer_ID]],tbl_clint[[#This Row],[Customer_ID]],tbl_clint[[#This Row],[Company_Size]])</f>
        <v/>
      </c>
      <c r="M800">
        <f>YEAR(tbl_subscription[[#This Row],[Start_Date]])</f>
        <v/>
      </c>
    </row>
    <row r="801">
      <c r="A801" t="inlineStr">
        <is>
          <t>C0800</t>
        </is>
      </c>
      <c r="B801" t="inlineStr">
        <is>
          <t>Basic</t>
        </is>
      </c>
      <c r="C801" s="4" t="n">
        <v>45389</v>
      </c>
      <c r="D801" s="4" t="n">
        <v>45657</v>
      </c>
      <c r="E801" t="n">
        <v>15</v>
      </c>
      <c r="F801" t="inlineStr">
        <is>
          <t>Churned</t>
        </is>
      </c>
      <c r="G801" t="inlineStr">
        <is>
          <t>LinkedIn</t>
        </is>
      </c>
      <c r="H801">
        <f>TEXT(C801,"mmm-yyyy")</f>
        <v/>
      </c>
      <c r="I801">
        <f>TEXT(D801,"mmm-yyyy")</f>
        <v/>
      </c>
      <c r="J801">
        <f>_xlfn.XLOOKUP(tbl_subscription[[#This Row],[Customer_ID]],tbl_clint[Customer_ID],tbl_clint[Country])</f>
        <v/>
      </c>
      <c r="K801">
        <f>_xlfn.XLOOKUP(tbl_subscription[[#This Row],[Customer_ID]],tbl_clint[[#This Row],[Customer_ID]],tbl_clint[[#This Row],[Industry]])</f>
        <v/>
      </c>
      <c r="L801">
        <f>_xlfn.XLOOKUP(tbl_subscription[[#This Row],[Customer_ID]],tbl_clint[[#This Row],[Customer_ID]],tbl_clint[[#This Row],[Company_Size]])</f>
        <v/>
      </c>
      <c r="M801">
        <f>YEAR(tbl_subscription[[#This Row],[Start_Date]])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1"/>
  <sheetViews>
    <sheetView workbookViewId="0">
      <selection activeCell="E5" sqref="E5"/>
    </sheetView>
  </sheetViews>
  <sheetFormatPr baseColWidth="8" defaultRowHeight="15"/>
  <cols>
    <col width="19.140625" customWidth="1" min="1" max="1"/>
    <col width="12.85546875" customWidth="1" min="2" max="2"/>
    <col width="13.28515625" customWidth="1" min="3" max="3"/>
    <col width="21" customWidth="1" min="4" max="4"/>
  </cols>
  <sheetData>
    <row r="1" ht="21" customHeight="1">
      <c r="A1" s="2" t="inlineStr">
        <is>
          <t>Customer_ID</t>
        </is>
      </c>
      <c r="B1" s="2" t="inlineStr">
        <is>
          <t>Country</t>
        </is>
      </c>
      <c r="C1" s="2" t="inlineStr">
        <is>
          <t>Industry</t>
        </is>
      </c>
      <c r="D1" s="2" t="inlineStr">
        <is>
          <t>Company_Size</t>
        </is>
      </c>
    </row>
    <row r="2">
      <c r="A2" t="inlineStr">
        <is>
          <t>C0001</t>
        </is>
      </c>
      <c r="B2" t="inlineStr">
        <is>
          <t>Sweden</t>
        </is>
      </c>
      <c r="C2" t="inlineStr">
        <is>
          <t>Finance</t>
        </is>
      </c>
      <c r="D2" t="inlineStr">
        <is>
          <t>Large</t>
        </is>
      </c>
    </row>
    <row r="3">
      <c r="A3" t="inlineStr">
        <is>
          <t>C0002</t>
        </is>
      </c>
      <c r="B3" t="inlineStr">
        <is>
          <t>Netherlands</t>
        </is>
      </c>
      <c r="C3" t="inlineStr">
        <is>
          <t>Finance</t>
        </is>
      </c>
      <c r="D3" t="inlineStr">
        <is>
          <t>Enterprise</t>
        </is>
      </c>
    </row>
    <row r="4">
      <c r="A4" t="inlineStr">
        <is>
          <t>C0003</t>
        </is>
      </c>
      <c r="B4" t="inlineStr">
        <is>
          <t>Germany</t>
        </is>
      </c>
      <c r="C4" t="inlineStr">
        <is>
          <t>Retail</t>
        </is>
      </c>
      <c r="D4" t="inlineStr">
        <is>
          <t>Small</t>
        </is>
      </c>
    </row>
    <row r="5">
      <c r="A5" t="inlineStr">
        <is>
          <t>C0004</t>
        </is>
      </c>
      <c r="B5" t="inlineStr">
        <is>
          <t>Italy</t>
        </is>
      </c>
      <c r="C5" t="inlineStr">
        <is>
          <t>Healthcare</t>
        </is>
      </c>
      <c r="D5" t="inlineStr">
        <is>
          <t>Enterprise</t>
        </is>
      </c>
    </row>
    <row r="6">
      <c r="A6" t="inlineStr">
        <is>
          <t>C0005</t>
        </is>
      </c>
      <c r="B6" t="inlineStr">
        <is>
          <t>France</t>
        </is>
      </c>
      <c r="C6" t="inlineStr">
        <is>
          <t>Education</t>
        </is>
      </c>
      <c r="D6" t="inlineStr">
        <is>
          <t>Large</t>
        </is>
      </c>
    </row>
    <row r="7">
      <c r="A7" t="inlineStr">
        <is>
          <t>C0006</t>
        </is>
      </c>
      <c r="B7" t="inlineStr">
        <is>
          <t>Italy</t>
        </is>
      </c>
      <c r="C7" t="inlineStr">
        <is>
          <t>Retail</t>
        </is>
      </c>
      <c r="D7" t="inlineStr">
        <is>
          <t>Medium</t>
        </is>
      </c>
    </row>
    <row r="8">
      <c r="A8" t="inlineStr">
        <is>
          <t>C0007</t>
        </is>
      </c>
      <c r="B8" t="inlineStr">
        <is>
          <t>Netherlands</t>
        </is>
      </c>
      <c r="C8" t="inlineStr">
        <is>
          <t>Tech</t>
        </is>
      </c>
      <c r="D8" t="inlineStr">
        <is>
          <t>Enterprise</t>
        </is>
      </c>
    </row>
    <row r="9">
      <c r="A9" t="inlineStr">
        <is>
          <t>C0008</t>
        </is>
      </c>
      <c r="B9" t="inlineStr">
        <is>
          <t>France</t>
        </is>
      </c>
      <c r="C9" t="inlineStr">
        <is>
          <t>Retail</t>
        </is>
      </c>
      <c r="D9" t="inlineStr">
        <is>
          <t>Large</t>
        </is>
      </c>
    </row>
    <row r="10">
      <c r="A10" t="inlineStr">
        <is>
          <t>C0009</t>
        </is>
      </c>
      <c r="B10" t="inlineStr">
        <is>
          <t>Germany</t>
        </is>
      </c>
      <c r="C10" t="inlineStr">
        <is>
          <t>E-commerce</t>
        </is>
      </c>
      <c r="D10" t="inlineStr">
        <is>
          <t>Small</t>
        </is>
      </c>
    </row>
    <row r="11">
      <c r="A11" t="inlineStr">
        <is>
          <t>C0010</t>
        </is>
      </c>
      <c r="B11" t="inlineStr">
        <is>
          <t>France</t>
        </is>
      </c>
      <c r="C11" t="inlineStr">
        <is>
          <t>E-commerce</t>
        </is>
      </c>
      <c r="D11" t="inlineStr">
        <is>
          <t>Large</t>
        </is>
      </c>
    </row>
    <row r="12">
      <c r="A12" t="inlineStr">
        <is>
          <t>C0011</t>
        </is>
      </c>
      <c r="B12" t="inlineStr">
        <is>
          <t>Spain</t>
        </is>
      </c>
      <c r="C12" t="inlineStr">
        <is>
          <t>Finance</t>
        </is>
      </c>
      <c r="D12" t="inlineStr">
        <is>
          <t>Small</t>
        </is>
      </c>
    </row>
    <row r="13">
      <c r="A13" t="inlineStr">
        <is>
          <t>C0012</t>
        </is>
      </c>
      <c r="B13" t="inlineStr">
        <is>
          <t>Sweden</t>
        </is>
      </c>
      <c r="C13" t="inlineStr">
        <is>
          <t>Finance</t>
        </is>
      </c>
      <c r="D13" t="inlineStr">
        <is>
          <t>Enterprise</t>
        </is>
      </c>
    </row>
    <row r="14">
      <c r="A14" t="inlineStr">
        <is>
          <t>C0013</t>
        </is>
      </c>
      <c r="B14" t="inlineStr">
        <is>
          <t>Spain</t>
        </is>
      </c>
      <c r="C14" t="inlineStr">
        <is>
          <t>Healthcare</t>
        </is>
      </c>
      <c r="D14" t="inlineStr">
        <is>
          <t>Enterprise</t>
        </is>
      </c>
    </row>
    <row r="15">
      <c r="A15" t="inlineStr">
        <is>
          <t>C0014</t>
        </is>
      </c>
      <c r="B15" t="inlineStr">
        <is>
          <t>Sweden</t>
        </is>
      </c>
      <c r="C15" t="inlineStr">
        <is>
          <t>E-commerce</t>
        </is>
      </c>
      <c r="D15" t="inlineStr">
        <is>
          <t>Small</t>
        </is>
      </c>
    </row>
    <row r="16">
      <c r="A16" t="inlineStr">
        <is>
          <t>C0015</t>
        </is>
      </c>
      <c r="B16" t="inlineStr">
        <is>
          <t>Netherlands</t>
        </is>
      </c>
      <c r="C16" t="inlineStr">
        <is>
          <t>E-commerce</t>
        </is>
      </c>
      <c r="D16" t="inlineStr">
        <is>
          <t>Large</t>
        </is>
      </c>
    </row>
    <row r="17">
      <c r="A17" t="inlineStr">
        <is>
          <t>C0016</t>
        </is>
      </c>
      <c r="B17" t="inlineStr">
        <is>
          <t>Italy</t>
        </is>
      </c>
      <c r="C17" t="inlineStr">
        <is>
          <t>Education</t>
        </is>
      </c>
      <c r="D17" t="inlineStr">
        <is>
          <t>Small</t>
        </is>
      </c>
    </row>
    <row r="18">
      <c r="A18" t="inlineStr">
        <is>
          <t>C0017</t>
        </is>
      </c>
      <c r="B18" t="inlineStr">
        <is>
          <t>Netherlands</t>
        </is>
      </c>
      <c r="C18" t="inlineStr">
        <is>
          <t>Tech</t>
        </is>
      </c>
      <c r="D18" t="inlineStr">
        <is>
          <t>Enterprise</t>
        </is>
      </c>
    </row>
    <row r="19">
      <c r="A19" t="inlineStr">
        <is>
          <t>C0018</t>
        </is>
      </c>
      <c r="B19" t="inlineStr">
        <is>
          <t>France</t>
        </is>
      </c>
      <c r="C19" t="inlineStr">
        <is>
          <t>Tech</t>
        </is>
      </c>
      <c r="D19" t="inlineStr">
        <is>
          <t>Small</t>
        </is>
      </c>
    </row>
    <row r="20">
      <c r="A20" t="inlineStr">
        <is>
          <t>C0019</t>
        </is>
      </c>
      <c r="B20" t="inlineStr">
        <is>
          <t>Italy</t>
        </is>
      </c>
      <c r="C20" t="inlineStr">
        <is>
          <t>Tech</t>
        </is>
      </c>
      <c r="D20" t="inlineStr">
        <is>
          <t>Enterprise</t>
        </is>
      </c>
    </row>
    <row r="21">
      <c r="A21" t="inlineStr">
        <is>
          <t>C0020</t>
        </is>
      </c>
      <c r="B21" t="inlineStr">
        <is>
          <t>Netherlands</t>
        </is>
      </c>
      <c r="C21" t="inlineStr">
        <is>
          <t>Retail</t>
        </is>
      </c>
      <c r="D21" t="inlineStr">
        <is>
          <t>Large</t>
        </is>
      </c>
    </row>
    <row r="22">
      <c r="A22" t="inlineStr">
        <is>
          <t>C0021</t>
        </is>
      </c>
      <c r="B22" t="inlineStr">
        <is>
          <t>France</t>
        </is>
      </c>
      <c r="C22" t="inlineStr">
        <is>
          <t>Retail</t>
        </is>
      </c>
      <c r="D22" t="inlineStr">
        <is>
          <t>Small</t>
        </is>
      </c>
    </row>
    <row r="23">
      <c r="A23" t="inlineStr">
        <is>
          <t>C0022</t>
        </is>
      </c>
      <c r="B23" t="inlineStr">
        <is>
          <t>Germany</t>
        </is>
      </c>
      <c r="C23" t="inlineStr">
        <is>
          <t>E-commerce</t>
        </is>
      </c>
      <c r="D23" t="inlineStr">
        <is>
          <t>Large</t>
        </is>
      </c>
    </row>
    <row r="24">
      <c r="A24" t="inlineStr">
        <is>
          <t>C0023</t>
        </is>
      </c>
      <c r="B24" t="inlineStr">
        <is>
          <t>Sweden</t>
        </is>
      </c>
      <c r="C24" t="inlineStr">
        <is>
          <t>Retail</t>
        </is>
      </c>
      <c r="D24" t="inlineStr">
        <is>
          <t>Large</t>
        </is>
      </c>
    </row>
    <row r="25">
      <c r="A25" t="inlineStr">
        <is>
          <t>C0024</t>
        </is>
      </c>
      <c r="B25" t="inlineStr">
        <is>
          <t>Italy</t>
        </is>
      </c>
      <c r="C25" t="inlineStr">
        <is>
          <t>Tech</t>
        </is>
      </c>
      <c r="D25" t="inlineStr">
        <is>
          <t>Large</t>
        </is>
      </c>
    </row>
    <row r="26">
      <c r="A26" t="inlineStr">
        <is>
          <t>C0025</t>
        </is>
      </c>
      <c r="B26" t="inlineStr">
        <is>
          <t>Netherlands</t>
        </is>
      </c>
      <c r="C26" t="inlineStr">
        <is>
          <t>Retail</t>
        </is>
      </c>
      <c r="D26" t="inlineStr">
        <is>
          <t>Enterprise</t>
        </is>
      </c>
    </row>
    <row r="27">
      <c r="A27" t="inlineStr">
        <is>
          <t>C0026</t>
        </is>
      </c>
      <c r="B27" t="inlineStr">
        <is>
          <t>Netherlands</t>
        </is>
      </c>
      <c r="C27" t="inlineStr">
        <is>
          <t>Retail</t>
        </is>
      </c>
      <c r="D27" t="inlineStr">
        <is>
          <t>Small</t>
        </is>
      </c>
    </row>
    <row r="28">
      <c r="A28" t="inlineStr">
        <is>
          <t>C0027</t>
        </is>
      </c>
      <c r="B28" t="inlineStr">
        <is>
          <t>Germany</t>
        </is>
      </c>
      <c r="C28" t="inlineStr">
        <is>
          <t>E-commerce</t>
        </is>
      </c>
      <c r="D28" t="inlineStr">
        <is>
          <t>Medium</t>
        </is>
      </c>
    </row>
    <row r="29">
      <c r="A29" t="inlineStr">
        <is>
          <t>C0028</t>
        </is>
      </c>
      <c r="B29" t="inlineStr">
        <is>
          <t>Sweden</t>
        </is>
      </c>
      <c r="C29" t="inlineStr">
        <is>
          <t>Finance</t>
        </is>
      </c>
      <c r="D29" t="inlineStr">
        <is>
          <t>Medium</t>
        </is>
      </c>
    </row>
    <row r="30">
      <c r="A30" t="inlineStr">
        <is>
          <t>C0029</t>
        </is>
      </c>
      <c r="B30" t="inlineStr">
        <is>
          <t>Netherlands</t>
        </is>
      </c>
      <c r="C30" t="inlineStr">
        <is>
          <t>Tech</t>
        </is>
      </c>
      <c r="D30" t="inlineStr">
        <is>
          <t>Large</t>
        </is>
      </c>
    </row>
    <row r="31">
      <c r="A31" t="inlineStr">
        <is>
          <t>C0030</t>
        </is>
      </c>
      <c r="B31" t="inlineStr">
        <is>
          <t>France</t>
        </is>
      </c>
      <c r="C31" t="inlineStr">
        <is>
          <t>Healthcare</t>
        </is>
      </c>
      <c r="D31" t="inlineStr">
        <is>
          <t>Small</t>
        </is>
      </c>
    </row>
    <row r="32">
      <c r="A32" t="inlineStr">
        <is>
          <t>C0031</t>
        </is>
      </c>
      <c r="B32" t="inlineStr">
        <is>
          <t>Sweden</t>
        </is>
      </c>
      <c r="C32" t="inlineStr">
        <is>
          <t>Tech</t>
        </is>
      </c>
      <c r="D32" t="inlineStr">
        <is>
          <t>Medium</t>
        </is>
      </c>
    </row>
    <row r="33">
      <c r="A33" t="inlineStr">
        <is>
          <t>C0032</t>
        </is>
      </c>
      <c r="B33" t="inlineStr">
        <is>
          <t>Italy</t>
        </is>
      </c>
      <c r="C33" t="inlineStr">
        <is>
          <t>Education</t>
        </is>
      </c>
      <c r="D33" t="inlineStr">
        <is>
          <t>Large</t>
        </is>
      </c>
    </row>
    <row r="34">
      <c r="A34" t="inlineStr">
        <is>
          <t>C0033</t>
        </is>
      </c>
      <c r="B34" t="inlineStr">
        <is>
          <t>Sweden</t>
        </is>
      </c>
      <c r="C34" t="inlineStr">
        <is>
          <t>Healthcare</t>
        </is>
      </c>
      <c r="D34" t="inlineStr">
        <is>
          <t>Large</t>
        </is>
      </c>
    </row>
    <row r="35">
      <c r="A35" t="inlineStr">
        <is>
          <t>C0034</t>
        </is>
      </c>
      <c r="B35" t="inlineStr">
        <is>
          <t>Spain</t>
        </is>
      </c>
      <c r="C35" t="inlineStr">
        <is>
          <t>Finance</t>
        </is>
      </c>
      <c r="D35" t="inlineStr">
        <is>
          <t>Large</t>
        </is>
      </c>
    </row>
    <row r="36">
      <c r="A36" t="inlineStr">
        <is>
          <t>C0035</t>
        </is>
      </c>
      <c r="B36" t="inlineStr">
        <is>
          <t>France</t>
        </is>
      </c>
      <c r="C36" t="inlineStr">
        <is>
          <t>Education</t>
        </is>
      </c>
      <c r="D36" t="inlineStr">
        <is>
          <t>Small</t>
        </is>
      </c>
    </row>
    <row r="37">
      <c r="A37" t="inlineStr">
        <is>
          <t>C0036</t>
        </is>
      </c>
      <c r="B37" t="inlineStr">
        <is>
          <t>Spain</t>
        </is>
      </c>
      <c r="C37" t="inlineStr">
        <is>
          <t>E-commerce</t>
        </is>
      </c>
      <c r="D37" t="inlineStr">
        <is>
          <t>Small</t>
        </is>
      </c>
    </row>
    <row r="38">
      <c r="A38" t="inlineStr">
        <is>
          <t>C0037</t>
        </is>
      </c>
      <c r="B38" t="inlineStr">
        <is>
          <t>France</t>
        </is>
      </c>
      <c r="C38" t="inlineStr">
        <is>
          <t>Retail</t>
        </is>
      </c>
      <c r="D38" t="inlineStr">
        <is>
          <t>Medium</t>
        </is>
      </c>
    </row>
    <row r="39">
      <c r="A39" t="inlineStr">
        <is>
          <t>C0038</t>
        </is>
      </c>
      <c r="B39" t="inlineStr">
        <is>
          <t>Netherlands</t>
        </is>
      </c>
      <c r="C39" t="inlineStr">
        <is>
          <t>Healthcare</t>
        </is>
      </c>
      <c r="D39" t="inlineStr">
        <is>
          <t>Enterprise</t>
        </is>
      </c>
    </row>
    <row r="40">
      <c r="A40" t="inlineStr">
        <is>
          <t>C0039</t>
        </is>
      </c>
      <c r="B40" t="inlineStr">
        <is>
          <t>France</t>
        </is>
      </c>
      <c r="C40" t="inlineStr">
        <is>
          <t>E-commerce</t>
        </is>
      </c>
      <c r="D40" t="inlineStr">
        <is>
          <t>Large</t>
        </is>
      </c>
    </row>
    <row r="41">
      <c r="A41" t="inlineStr">
        <is>
          <t>C0040</t>
        </is>
      </c>
      <c r="B41" t="inlineStr">
        <is>
          <t>Netherlands</t>
        </is>
      </c>
      <c r="C41" t="inlineStr">
        <is>
          <t>Education</t>
        </is>
      </c>
      <c r="D41" t="inlineStr">
        <is>
          <t>Medium</t>
        </is>
      </c>
    </row>
    <row r="42">
      <c r="A42" t="inlineStr">
        <is>
          <t>C0041</t>
        </is>
      </c>
      <c r="B42" t="inlineStr">
        <is>
          <t>France</t>
        </is>
      </c>
      <c r="C42" t="inlineStr">
        <is>
          <t>E-commerce</t>
        </is>
      </c>
      <c r="D42" t="inlineStr">
        <is>
          <t>Small</t>
        </is>
      </c>
    </row>
    <row r="43">
      <c r="A43" t="inlineStr">
        <is>
          <t>C0042</t>
        </is>
      </c>
      <c r="B43" t="inlineStr">
        <is>
          <t>Spain</t>
        </is>
      </c>
      <c r="C43" t="inlineStr">
        <is>
          <t>Tech</t>
        </is>
      </c>
      <c r="D43" t="inlineStr">
        <is>
          <t>Medium</t>
        </is>
      </c>
    </row>
    <row r="44">
      <c r="A44" t="inlineStr">
        <is>
          <t>C0043</t>
        </is>
      </c>
      <c r="B44" t="inlineStr">
        <is>
          <t>Sweden</t>
        </is>
      </c>
      <c r="C44" t="inlineStr">
        <is>
          <t>Finance</t>
        </is>
      </c>
      <c r="D44" t="inlineStr">
        <is>
          <t>Large</t>
        </is>
      </c>
    </row>
    <row r="45">
      <c r="A45" t="inlineStr">
        <is>
          <t>C0044</t>
        </is>
      </c>
      <c r="B45" t="inlineStr">
        <is>
          <t>France</t>
        </is>
      </c>
      <c r="C45" t="inlineStr">
        <is>
          <t>Tech</t>
        </is>
      </c>
      <c r="D45" t="inlineStr">
        <is>
          <t>Medium</t>
        </is>
      </c>
    </row>
    <row r="46">
      <c r="A46" t="inlineStr">
        <is>
          <t>C0045</t>
        </is>
      </c>
      <c r="B46" t="inlineStr">
        <is>
          <t>Sweden</t>
        </is>
      </c>
      <c r="C46" t="inlineStr">
        <is>
          <t>Tech</t>
        </is>
      </c>
      <c r="D46" t="inlineStr">
        <is>
          <t>Small</t>
        </is>
      </c>
    </row>
    <row r="47">
      <c r="A47" t="inlineStr">
        <is>
          <t>C0046</t>
        </is>
      </c>
      <c r="B47" t="inlineStr">
        <is>
          <t>Italy</t>
        </is>
      </c>
      <c r="C47" t="inlineStr">
        <is>
          <t>Healthcare</t>
        </is>
      </c>
      <c r="D47" t="inlineStr">
        <is>
          <t>Large</t>
        </is>
      </c>
    </row>
    <row r="48">
      <c r="A48" t="inlineStr">
        <is>
          <t>C0047</t>
        </is>
      </c>
      <c r="B48" t="inlineStr">
        <is>
          <t>Germany</t>
        </is>
      </c>
      <c r="C48" t="inlineStr">
        <is>
          <t>Healthcare</t>
        </is>
      </c>
      <c r="D48" t="inlineStr">
        <is>
          <t>Medium</t>
        </is>
      </c>
    </row>
    <row r="49">
      <c r="A49" t="inlineStr">
        <is>
          <t>C0048</t>
        </is>
      </c>
      <c r="B49" t="inlineStr">
        <is>
          <t>Netherlands</t>
        </is>
      </c>
      <c r="C49" t="inlineStr">
        <is>
          <t>Finance</t>
        </is>
      </c>
      <c r="D49" t="inlineStr">
        <is>
          <t>Small</t>
        </is>
      </c>
    </row>
    <row r="50">
      <c r="A50" t="inlineStr">
        <is>
          <t>C0049</t>
        </is>
      </c>
      <c r="B50" t="inlineStr">
        <is>
          <t>France</t>
        </is>
      </c>
      <c r="C50" t="inlineStr">
        <is>
          <t>Tech</t>
        </is>
      </c>
      <c r="D50" t="inlineStr">
        <is>
          <t>Enterprise</t>
        </is>
      </c>
    </row>
    <row r="51">
      <c r="A51" t="inlineStr">
        <is>
          <t>C0050</t>
        </is>
      </c>
      <c r="B51" t="inlineStr">
        <is>
          <t>Sweden</t>
        </is>
      </c>
      <c r="C51" t="inlineStr">
        <is>
          <t>Healthcare</t>
        </is>
      </c>
      <c r="D51" t="inlineStr">
        <is>
          <t>Small</t>
        </is>
      </c>
    </row>
    <row r="52">
      <c r="A52" t="inlineStr">
        <is>
          <t>C0051</t>
        </is>
      </c>
      <c r="B52" t="inlineStr">
        <is>
          <t>Germany</t>
        </is>
      </c>
      <c r="C52" t="inlineStr">
        <is>
          <t>Tech</t>
        </is>
      </c>
      <c r="D52" t="inlineStr">
        <is>
          <t>Small</t>
        </is>
      </c>
    </row>
    <row r="53">
      <c r="A53" t="inlineStr">
        <is>
          <t>C0052</t>
        </is>
      </c>
      <c r="B53" t="inlineStr">
        <is>
          <t>Sweden</t>
        </is>
      </c>
      <c r="C53" t="inlineStr">
        <is>
          <t>Education</t>
        </is>
      </c>
      <c r="D53" t="inlineStr">
        <is>
          <t>Large</t>
        </is>
      </c>
    </row>
    <row r="54">
      <c r="A54" t="inlineStr">
        <is>
          <t>C0053</t>
        </is>
      </c>
      <c r="B54" t="inlineStr">
        <is>
          <t>Netherlands</t>
        </is>
      </c>
      <c r="C54" t="inlineStr">
        <is>
          <t>Healthcare</t>
        </is>
      </c>
      <c r="D54" t="inlineStr">
        <is>
          <t>Medium</t>
        </is>
      </c>
    </row>
    <row r="55">
      <c r="A55" t="inlineStr">
        <is>
          <t>C0054</t>
        </is>
      </c>
      <c r="B55" t="inlineStr">
        <is>
          <t>Germany</t>
        </is>
      </c>
      <c r="C55" t="inlineStr">
        <is>
          <t>E-commerce</t>
        </is>
      </c>
      <c r="D55" t="inlineStr">
        <is>
          <t>Large</t>
        </is>
      </c>
    </row>
    <row r="56">
      <c r="A56" t="inlineStr">
        <is>
          <t>C0055</t>
        </is>
      </c>
      <c r="B56" t="inlineStr">
        <is>
          <t>Sweden</t>
        </is>
      </c>
      <c r="C56" t="inlineStr">
        <is>
          <t>E-commerce</t>
        </is>
      </c>
      <c r="D56" t="inlineStr">
        <is>
          <t>Large</t>
        </is>
      </c>
    </row>
    <row r="57">
      <c r="A57" t="inlineStr">
        <is>
          <t>C0056</t>
        </is>
      </c>
      <c r="B57" t="inlineStr">
        <is>
          <t>Italy</t>
        </is>
      </c>
      <c r="C57" t="inlineStr">
        <is>
          <t>Tech</t>
        </is>
      </c>
      <c r="D57" t="inlineStr">
        <is>
          <t>Medium</t>
        </is>
      </c>
    </row>
    <row r="58">
      <c r="A58" t="inlineStr">
        <is>
          <t>C0057</t>
        </is>
      </c>
      <c r="B58" t="inlineStr">
        <is>
          <t>Germany</t>
        </is>
      </c>
      <c r="C58" t="inlineStr">
        <is>
          <t>Finance</t>
        </is>
      </c>
      <c r="D58" t="inlineStr">
        <is>
          <t>Medium</t>
        </is>
      </c>
    </row>
    <row r="59">
      <c r="A59" t="inlineStr">
        <is>
          <t>C0058</t>
        </is>
      </c>
      <c r="B59" t="inlineStr">
        <is>
          <t>Spain</t>
        </is>
      </c>
      <c r="C59" t="inlineStr">
        <is>
          <t>Education</t>
        </is>
      </c>
      <c r="D59" t="inlineStr">
        <is>
          <t>Enterprise</t>
        </is>
      </c>
    </row>
    <row r="60">
      <c r="A60" t="inlineStr">
        <is>
          <t>C0059</t>
        </is>
      </c>
      <c r="B60" t="inlineStr">
        <is>
          <t>Spain</t>
        </is>
      </c>
      <c r="C60" t="inlineStr">
        <is>
          <t>E-commerce</t>
        </is>
      </c>
      <c r="D60" t="inlineStr">
        <is>
          <t>Enterprise</t>
        </is>
      </c>
    </row>
    <row r="61">
      <c r="A61" t="inlineStr">
        <is>
          <t>C0060</t>
        </is>
      </c>
      <c r="B61" t="inlineStr">
        <is>
          <t>Spain</t>
        </is>
      </c>
      <c r="C61" t="inlineStr">
        <is>
          <t>Finance</t>
        </is>
      </c>
      <c r="D61" t="inlineStr">
        <is>
          <t>Medium</t>
        </is>
      </c>
    </row>
    <row r="62">
      <c r="A62" t="inlineStr">
        <is>
          <t>C0061</t>
        </is>
      </c>
      <c r="B62" t="inlineStr">
        <is>
          <t>France</t>
        </is>
      </c>
      <c r="C62" t="inlineStr">
        <is>
          <t>Education</t>
        </is>
      </c>
      <c r="D62" t="inlineStr">
        <is>
          <t>Enterprise</t>
        </is>
      </c>
    </row>
    <row r="63">
      <c r="A63" t="inlineStr">
        <is>
          <t>C0062</t>
        </is>
      </c>
      <c r="B63" t="inlineStr">
        <is>
          <t>Italy</t>
        </is>
      </c>
      <c r="C63" t="inlineStr">
        <is>
          <t>E-commerce</t>
        </is>
      </c>
      <c r="D63" t="inlineStr">
        <is>
          <t>Enterprise</t>
        </is>
      </c>
    </row>
    <row r="64">
      <c r="A64" t="inlineStr">
        <is>
          <t>C0063</t>
        </is>
      </c>
      <c r="B64" t="inlineStr">
        <is>
          <t>Sweden</t>
        </is>
      </c>
      <c r="C64" t="inlineStr">
        <is>
          <t>Tech</t>
        </is>
      </c>
      <c r="D64" t="inlineStr">
        <is>
          <t>Medium</t>
        </is>
      </c>
    </row>
    <row r="65">
      <c r="A65" t="inlineStr">
        <is>
          <t>C0064</t>
        </is>
      </c>
      <c r="B65" t="inlineStr">
        <is>
          <t>Spain</t>
        </is>
      </c>
      <c r="C65" t="inlineStr">
        <is>
          <t>Tech</t>
        </is>
      </c>
      <c r="D65" t="inlineStr">
        <is>
          <t>Enterprise</t>
        </is>
      </c>
    </row>
    <row r="66">
      <c r="A66" t="inlineStr">
        <is>
          <t>C0065</t>
        </is>
      </c>
      <c r="B66" t="inlineStr">
        <is>
          <t>Italy</t>
        </is>
      </c>
      <c r="C66" t="inlineStr">
        <is>
          <t>Healthcare</t>
        </is>
      </c>
      <c r="D66" t="inlineStr">
        <is>
          <t>Medium</t>
        </is>
      </c>
    </row>
    <row r="67">
      <c r="A67" t="inlineStr">
        <is>
          <t>C0066</t>
        </is>
      </c>
      <c r="B67" t="inlineStr">
        <is>
          <t>Spain</t>
        </is>
      </c>
      <c r="C67" t="inlineStr">
        <is>
          <t>Healthcare</t>
        </is>
      </c>
      <c r="D67" t="inlineStr">
        <is>
          <t>Large</t>
        </is>
      </c>
    </row>
    <row r="68">
      <c r="A68" t="inlineStr">
        <is>
          <t>C0067</t>
        </is>
      </c>
      <c r="B68" t="inlineStr">
        <is>
          <t>Sweden</t>
        </is>
      </c>
      <c r="C68" t="inlineStr">
        <is>
          <t>Education</t>
        </is>
      </c>
      <c r="D68" t="inlineStr">
        <is>
          <t>Enterprise</t>
        </is>
      </c>
    </row>
    <row r="69">
      <c r="A69" t="inlineStr">
        <is>
          <t>C0068</t>
        </is>
      </c>
      <c r="B69" t="inlineStr">
        <is>
          <t>Netherlands</t>
        </is>
      </c>
      <c r="C69" t="inlineStr">
        <is>
          <t>Healthcare</t>
        </is>
      </c>
      <c r="D69" t="inlineStr">
        <is>
          <t>Small</t>
        </is>
      </c>
    </row>
    <row r="70">
      <c r="A70" t="inlineStr">
        <is>
          <t>C0069</t>
        </is>
      </c>
      <c r="B70" t="inlineStr">
        <is>
          <t>Netherlands</t>
        </is>
      </c>
      <c r="C70" t="inlineStr">
        <is>
          <t>Retail</t>
        </is>
      </c>
      <c r="D70" t="inlineStr">
        <is>
          <t>Medium</t>
        </is>
      </c>
    </row>
    <row r="71">
      <c r="A71" t="inlineStr">
        <is>
          <t>C0070</t>
        </is>
      </c>
      <c r="B71" t="inlineStr">
        <is>
          <t>Spain</t>
        </is>
      </c>
      <c r="C71" t="inlineStr">
        <is>
          <t>Tech</t>
        </is>
      </c>
      <c r="D71" t="inlineStr">
        <is>
          <t>Small</t>
        </is>
      </c>
    </row>
    <row r="72">
      <c r="A72" t="inlineStr">
        <is>
          <t>C0071</t>
        </is>
      </c>
      <c r="B72" t="inlineStr">
        <is>
          <t>Sweden</t>
        </is>
      </c>
      <c r="C72" t="inlineStr">
        <is>
          <t>Healthcare</t>
        </is>
      </c>
      <c r="D72" t="inlineStr">
        <is>
          <t>Medium</t>
        </is>
      </c>
    </row>
    <row r="73">
      <c r="A73" t="inlineStr">
        <is>
          <t>C0072</t>
        </is>
      </c>
      <c r="B73" t="inlineStr">
        <is>
          <t>Sweden</t>
        </is>
      </c>
      <c r="C73" t="inlineStr">
        <is>
          <t>Education</t>
        </is>
      </c>
      <c r="D73" t="inlineStr">
        <is>
          <t>Small</t>
        </is>
      </c>
    </row>
    <row r="74">
      <c r="A74" t="inlineStr">
        <is>
          <t>C0073</t>
        </is>
      </c>
      <c r="B74" t="inlineStr">
        <is>
          <t>Germany</t>
        </is>
      </c>
      <c r="C74" t="inlineStr">
        <is>
          <t>Finance</t>
        </is>
      </c>
      <c r="D74" t="inlineStr">
        <is>
          <t>Large</t>
        </is>
      </c>
    </row>
    <row r="75">
      <c r="A75" t="inlineStr">
        <is>
          <t>C0074</t>
        </is>
      </c>
      <c r="B75" t="inlineStr">
        <is>
          <t>Netherlands</t>
        </is>
      </c>
      <c r="C75" t="inlineStr">
        <is>
          <t>Retail</t>
        </is>
      </c>
      <c r="D75" t="inlineStr">
        <is>
          <t>Small</t>
        </is>
      </c>
    </row>
    <row r="76">
      <c r="A76" t="inlineStr">
        <is>
          <t>C0075</t>
        </is>
      </c>
      <c r="B76" t="inlineStr">
        <is>
          <t>Sweden</t>
        </is>
      </c>
      <c r="C76" t="inlineStr">
        <is>
          <t>Retail</t>
        </is>
      </c>
      <c r="D76" t="inlineStr">
        <is>
          <t>Large</t>
        </is>
      </c>
    </row>
    <row r="77">
      <c r="A77" t="inlineStr">
        <is>
          <t>C0076</t>
        </is>
      </c>
      <c r="B77" t="inlineStr">
        <is>
          <t>Italy</t>
        </is>
      </c>
      <c r="C77" t="inlineStr">
        <is>
          <t>Education</t>
        </is>
      </c>
      <c r="D77" t="inlineStr">
        <is>
          <t>Large</t>
        </is>
      </c>
    </row>
    <row r="78">
      <c r="A78" t="inlineStr">
        <is>
          <t>C0077</t>
        </is>
      </c>
      <c r="B78" t="inlineStr">
        <is>
          <t>Netherlands</t>
        </is>
      </c>
      <c r="C78" t="inlineStr">
        <is>
          <t>Education</t>
        </is>
      </c>
      <c r="D78" t="inlineStr">
        <is>
          <t>Small</t>
        </is>
      </c>
    </row>
    <row r="79">
      <c r="A79" t="inlineStr">
        <is>
          <t>C0078</t>
        </is>
      </c>
      <c r="B79" t="inlineStr">
        <is>
          <t>Sweden</t>
        </is>
      </c>
      <c r="C79" t="inlineStr">
        <is>
          <t>E-commerce</t>
        </is>
      </c>
      <c r="D79" t="inlineStr">
        <is>
          <t>Large</t>
        </is>
      </c>
    </row>
    <row r="80">
      <c r="A80" t="inlineStr">
        <is>
          <t>C0079</t>
        </is>
      </c>
      <c r="B80" t="inlineStr">
        <is>
          <t>Sweden</t>
        </is>
      </c>
      <c r="C80" t="inlineStr">
        <is>
          <t>Healthcare</t>
        </is>
      </c>
      <c r="D80" t="inlineStr">
        <is>
          <t>Small</t>
        </is>
      </c>
    </row>
    <row r="81">
      <c r="A81" t="inlineStr">
        <is>
          <t>C0080</t>
        </is>
      </c>
      <c r="B81" t="inlineStr">
        <is>
          <t>Spain</t>
        </is>
      </c>
      <c r="C81" t="inlineStr">
        <is>
          <t>Healthcare</t>
        </is>
      </c>
      <c r="D81" t="inlineStr">
        <is>
          <t>Enterprise</t>
        </is>
      </c>
    </row>
    <row r="82">
      <c r="A82" t="inlineStr">
        <is>
          <t>C0081</t>
        </is>
      </c>
      <c r="B82" t="inlineStr">
        <is>
          <t>France</t>
        </is>
      </c>
      <c r="C82" t="inlineStr">
        <is>
          <t>Retail</t>
        </is>
      </c>
      <c r="D82" t="inlineStr">
        <is>
          <t>Large</t>
        </is>
      </c>
    </row>
    <row r="83">
      <c r="A83" t="inlineStr">
        <is>
          <t>C0082</t>
        </is>
      </c>
      <c r="B83" t="inlineStr">
        <is>
          <t>Italy</t>
        </is>
      </c>
      <c r="C83" t="inlineStr">
        <is>
          <t>Healthcare</t>
        </is>
      </c>
      <c r="D83" t="inlineStr">
        <is>
          <t>Enterprise</t>
        </is>
      </c>
    </row>
    <row r="84">
      <c r="A84" t="inlineStr">
        <is>
          <t>C0083</t>
        </is>
      </c>
      <c r="B84" t="inlineStr">
        <is>
          <t>Germany</t>
        </is>
      </c>
      <c r="C84" t="inlineStr">
        <is>
          <t>Finance</t>
        </is>
      </c>
      <c r="D84" t="inlineStr">
        <is>
          <t>Medium</t>
        </is>
      </c>
    </row>
    <row r="85">
      <c r="A85" t="inlineStr">
        <is>
          <t>C0084</t>
        </is>
      </c>
      <c r="B85" t="inlineStr">
        <is>
          <t>Italy</t>
        </is>
      </c>
      <c r="C85" t="inlineStr">
        <is>
          <t>Tech</t>
        </is>
      </c>
      <c r="D85" t="inlineStr">
        <is>
          <t>Medium</t>
        </is>
      </c>
    </row>
    <row r="86">
      <c r="A86" t="inlineStr">
        <is>
          <t>C0085</t>
        </is>
      </c>
      <c r="B86" t="inlineStr">
        <is>
          <t>Italy</t>
        </is>
      </c>
      <c r="C86" t="inlineStr">
        <is>
          <t>Healthcare</t>
        </is>
      </c>
      <c r="D86" t="inlineStr">
        <is>
          <t>Small</t>
        </is>
      </c>
    </row>
    <row r="87">
      <c r="A87" t="inlineStr">
        <is>
          <t>C0086</t>
        </is>
      </c>
      <c r="B87" t="inlineStr">
        <is>
          <t>Italy</t>
        </is>
      </c>
      <c r="C87" t="inlineStr">
        <is>
          <t>Finance</t>
        </is>
      </c>
      <c r="D87" t="inlineStr">
        <is>
          <t>Medium</t>
        </is>
      </c>
    </row>
    <row r="88">
      <c r="A88" t="inlineStr">
        <is>
          <t>C0087</t>
        </is>
      </c>
      <c r="B88" t="inlineStr">
        <is>
          <t>Italy</t>
        </is>
      </c>
      <c r="C88" t="inlineStr">
        <is>
          <t>Retail</t>
        </is>
      </c>
      <c r="D88" t="inlineStr">
        <is>
          <t>Large</t>
        </is>
      </c>
    </row>
    <row r="89">
      <c r="A89" t="inlineStr">
        <is>
          <t>C0088</t>
        </is>
      </c>
      <c r="B89" t="inlineStr">
        <is>
          <t>Netherlands</t>
        </is>
      </c>
      <c r="C89" t="inlineStr">
        <is>
          <t>Healthcare</t>
        </is>
      </c>
      <c r="D89" t="inlineStr">
        <is>
          <t>Large</t>
        </is>
      </c>
    </row>
    <row r="90">
      <c r="A90" t="inlineStr">
        <is>
          <t>C0089</t>
        </is>
      </c>
      <c r="B90" t="inlineStr">
        <is>
          <t>Germany</t>
        </is>
      </c>
      <c r="C90" t="inlineStr">
        <is>
          <t>Retail</t>
        </is>
      </c>
      <c r="D90" t="inlineStr">
        <is>
          <t>Medium</t>
        </is>
      </c>
    </row>
    <row r="91">
      <c r="A91" t="inlineStr">
        <is>
          <t>C0090</t>
        </is>
      </c>
      <c r="B91" t="inlineStr">
        <is>
          <t>Italy</t>
        </is>
      </c>
      <c r="C91" t="inlineStr">
        <is>
          <t>E-commerce</t>
        </is>
      </c>
      <c r="D91" t="inlineStr">
        <is>
          <t>Enterprise</t>
        </is>
      </c>
    </row>
    <row r="92">
      <c r="A92" t="inlineStr">
        <is>
          <t>C0091</t>
        </is>
      </c>
      <c r="B92" t="inlineStr">
        <is>
          <t>Netherlands</t>
        </is>
      </c>
      <c r="C92" t="inlineStr">
        <is>
          <t>Retail</t>
        </is>
      </c>
      <c r="D92" t="inlineStr">
        <is>
          <t>Large</t>
        </is>
      </c>
    </row>
    <row r="93">
      <c r="A93" t="inlineStr">
        <is>
          <t>C0092</t>
        </is>
      </c>
      <c r="B93" t="inlineStr">
        <is>
          <t>Italy</t>
        </is>
      </c>
      <c r="C93" t="inlineStr">
        <is>
          <t>Retail</t>
        </is>
      </c>
      <c r="D93" t="inlineStr">
        <is>
          <t>Medium</t>
        </is>
      </c>
    </row>
    <row r="94">
      <c r="A94" t="inlineStr">
        <is>
          <t>C0093</t>
        </is>
      </c>
      <c r="B94" t="inlineStr">
        <is>
          <t>Spain</t>
        </is>
      </c>
      <c r="C94" t="inlineStr">
        <is>
          <t>Healthcare</t>
        </is>
      </c>
      <c r="D94" t="inlineStr">
        <is>
          <t>Large</t>
        </is>
      </c>
    </row>
    <row r="95">
      <c r="A95" t="inlineStr">
        <is>
          <t>C0094</t>
        </is>
      </c>
      <c r="B95" t="inlineStr">
        <is>
          <t>Spain</t>
        </is>
      </c>
      <c r="C95" t="inlineStr">
        <is>
          <t>Retail</t>
        </is>
      </c>
      <c r="D95" t="inlineStr">
        <is>
          <t>Small</t>
        </is>
      </c>
    </row>
    <row r="96">
      <c r="A96" t="inlineStr">
        <is>
          <t>C0095</t>
        </is>
      </c>
      <c r="B96" t="inlineStr">
        <is>
          <t>Spain</t>
        </is>
      </c>
      <c r="C96" t="inlineStr">
        <is>
          <t>Tech</t>
        </is>
      </c>
      <c r="D96" t="inlineStr">
        <is>
          <t>Large</t>
        </is>
      </c>
    </row>
    <row r="97">
      <c r="A97" t="inlineStr">
        <is>
          <t>C0096</t>
        </is>
      </c>
      <c r="B97" t="inlineStr">
        <is>
          <t>Netherlands</t>
        </is>
      </c>
      <c r="C97" t="inlineStr">
        <is>
          <t>Education</t>
        </is>
      </c>
      <c r="D97" t="inlineStr">
        <is>
          <t>Medium</t>
        </is>
      </c>
    </row>
    <row r="98">
      <c r="A98" t="inlineStr">
        <is>
          <t>C0097</t>
        </is>
      </c>
      <c r="B98" t="inlineStr">
        <is>
          <t>Italy</t>
        </is>
      </c>
      <c r="C98" t="inlineStr">
        <is>
          <t>Healthcare</t>
        </is>
      </c>
      <c r="D98" t="inlineStr">
        <is>
          <t>Medium</t>
        </is>
      </c>
    </row>
    <row r="99">
      <c r="A99" t="inlineStr">
        <is>
          <t>C0098</t>
        </is>
      </c>
      <c r="B99" t="inlineStr">
        <is>
          <t>Netherlands</t>
        </is>
      </c>
      <c r="C99" t="inlineStr">
        <is>
          <t>Retail</t>
        </is>
      </c>
      <c r="D99" t="inlineStr">
        <is>
          <t>Enterprise</t>
        </is>
      </c>
    </row>
    <row r="100">
      <c r="A100" t="inlineStr">
        <is>
          <t>C0099</t>
        </is>
      </c>
      <c r="B100" t="inlineStr">
        <is>
          <t>Italy</t>
        </is>
      </c>
      <c r="C100" t="inlineStr">
        <is>
          <t>Healthcare</t>
        </is>
      </c>
      <c r="D100" t="inlineStr">
        <is>
          <t>Enterprise</t>
        </is>
      </c>
    </row>
    <row r="101">
      <c r="A101" t="inlineStr">
        <is>
          <t>C0100</t>
        </is>
      </c>
      <c r="B101" t="inlineStr">
        <is>
          <t>Sweden</t>
        </is>
      </c>
      <c r="C101" t="inlineStr">
        <is>
          <t>Tech</t>
        </is>
      </c>
      <c r="D101" t="inlineStr">
        <is>
          <t>Medium</t>
        </is>
      </c>
    </row>
    <row r="102">
      <c r="A102" t="inlineStr">
        <is>
          <t>C0101</t>
        </is>
      </c>
      <c r="B102" t="inlineStr">
        <is>
          <t>Italy</t>
        </is>
      </c>
      <c r="C102" t="inlineStr">
        <is>
          <t>Retail</t>
        </is>
      </c>
      <c r="D102" t="inlineStr">
        <is>
          <t>Medium</t>
        </is>
      </c>
    </row>
    <row r="103">
      <c r="A103" t="inlineStr">
        <is>
          <t>C0102</t>
        </is>
      </c>
      <c r="B103" t="inlineStr">
        <is>
          <t>Sweden</t>
        </is>
      </c>
      <c r="C103" t="inlineStr">
        <is>
          <t>Healthcare</t>
        </is>
      </c>
      <c r="D103" t="inlineStr">
        <is>
          <t>Enterprise</t>
        </is>
      </c>
    </row>
    <row r="104">
      <c r="A104" t="inlineStr">
        <is>
          <t>C0103</t>
        </is>
      </c>
      <c r="B104" t="inlineStr">
        <is>
          <t>France</t>
        </is>
      </c>
      <c r="C104" t="inlineStr">
        <is>
          <t>Retail</t>
        </is>
      </c>
      <c r="D104" t="inlineStr">
        <is>
          <t>Small</t>
        </is>
      </c>
    </row>
    <row r="105">
      <c r="A105" t="inlineStr">
        <is>
          <t>C0104</t>
        </is>
      </c>
      <c r="B105" t="inlineStr">
        <is>
          <t>Italy</t>
        </is>
      </c>
      <c r="C105" t="inlineStr">
        <is>
          <t>Healthcare</t>
        </is>
      </c>
      <c r="D105" t="inlineStr">
        <is>
          <t>Small</t>
        </is>
      </c>
    </row>
    <row r="106">
      <c r="A106" t="inlineStr">
        <is>
          <t>C0105</t>
        </is>
      </c>
      <c r="B106" t="inlineStr">
        <is>
          <t>Italy</t>
        </is>
      </c>
      <c r="C106" t="inlineStr">
        <is>
          <t>Tech</t>
        </is>
      </c>
      <c r="D106" t="inlineStr">
        <is>
          <t>Enterprise</t>
        </is>
      </c>
    </row>
    <row r="107">
      <c r="A107" t="inlineStr">
        <is>
          <t>C0106</t>
        </is>
      </c>
      <c r="B107" t="inlineStr">
        <is>
          <t>Sweden</t>
        </is>
      </c>
      <c r="C107" t="inlineStr">
        <is>
          <t>Tech</t>
        </is>
      </c>
      <c r="D107" t="inlineStr">
        <is>
          <t>Medium</t>
        </is>
      </c>
    </row>
    <row r="108">
      <c r="A108" t="inlineStr">
        <is>
          <t>C0107</t>
        </is>
      </c>
      <c r="B108" t="inlineStr">
        <is>
          <t>Netherlands</t>
        </is>
      </c>
      <c r="C108" t="inlineStr">
        <is>
          <t>E-commerce</t>
        </is>
      </c>
      <c r="D108" t="inlineStr">
        <is>
          <t>Large</t>
        </is>
      </c>
    </row>
    <row r="109">
      <c r="A109" t="inlineStr">
        <is>
          <t>C0108</t>
        </is>
      </c>
      <c r="B109" t="inlineStr">
        <is>
          <t>Spain</t>
        </is>
      </c>
      <c r="C109" t="inlineStr">
        <is>
          <t>Healthcare</t>
        </is>
      </c>
      <c r="D109" t="inlineStr">
        <is>
          <t>Enterprise</t>
        </is>
      </c>
    </row>
    <row r="110">
      <c r="A110" t="inlineStr">
        <is>
          <t>C0109</t>
        </is>
      </c>
      <c r="B110" t="inlineStr">
        <is>
          <t>Sweden</t>
        </is>
      </c>
      <c r="C110" t="inlineStr">
        <is>
          <t>Retail</t>
        </is>
      </c>
      <c r="D110" t="inlineStr">
        <is>
          <t>Large</t>
        </is>
      </c>
    </row>
    <row r="111">
      <c r="A111" t="inlineStr">
        <is>
          <t>C0110</t>
        </is>
      </c>
      <c r="B111" t="inlineStr">
        <is>
          <t>Spain</t>
        </is>
      </c>
      <c r="C111" t="inlineStr">
        <is>
          <t>Healthcare</t>
        </is>
      </c>
      <c r="D111" t="inlineStr">
        <is>
          <t>Large</t>
        </is>
      </c>
    </row>
    <row r="112">
      <c r="A112" t="inlineStr">
        <is>
          <t>C0111</t>
        </is>
      </c>
      <c r="B112" t="inlineStr">
        <is>
          <t>Spain</t>
        </is>
      </c>
      <c r="C112" t="inlineStr">
        <is>
          <t>Finance</t>
        </is>
      </c>
      <c r="D112" t="inlineStr">
        <is>
          <t>Enterprise</t>
        </is>
      </c>
    </row>
    <row r="113">
      <c r="A113" t="inlineStr">
        <is>
          <t>C0112</t>
        </is>
      </c>
      <c r="B113" t="inlineStr">
        <is>
          <t>Germany</t>
        </is>
      </c>
      <c r="C113" t="inlineStr">
        <is>
          <t>Retail</t>
        </is>
      </c>
      <c r="D113" t="inlineStr">
        <is>
          <t>Medium</t>
        </is>
      </c>
    </row>
    <row r="114">
      <c r="A114" t="inlineStr">
        <is>
          <t>C0113</t>
        </is>
      </c>
      <c r="B114" t="inlineStr">
        <is>
          <t>France</t>
        </is>
      </c>
      <c r="C114" t="inlineStr">
        <is>
          <t>Finance</t>
        </is>
      </c>
      <c r="D114" t="inlineStr">
        <is>
          <t>Enterprise</t>
        </is>
      </c>
    </row>
    <row r="115">
      <c r="A115" t="inlineStr">
        <is>
          <t>C0114</t>
        </is>
      </c>
      <c r="B115" t="inlineStr">
        <is>
          <t>Sweden</t>
        </is>
      </c>
      <c r="C115" t="inlineStr">
        <is>
          <t>Tech</t>
        </is>
      </c>
      <c r="D115" t="inlineStr">
        <is>
          <t>Small</t>
        </is>
      </c>
    </row>
    <row r="116">
      <c r="A116" t="inlineStr">
        <is>
          <t>C0115</t>
        </is>
      </c>
      <c r="B116" t="inlineStr">
        <is>
          <t>Netherlands</t>
        </is>
      </c>
      <c r="C116" t="inlineStr">
        <is>
          <t>Tech</t>
        </is>
      </c>
      <c r="D116" t="inlineStr">
        <is>
          <t>Enterprise</t>
        </is>
      </c>
    </row>
    <row r="117">
      <c r="A117" t="inlineStr">
        <is>
          <t>C0116</t>
        </is>
      </c>
      <c r="B117" t="inlineStr">
        <is>
          <t>Sweden</t>
        </is>
      </c>
      <c r="C117" t="inlineStr">
        <is>
          <t>Retail</t>
        </is>
      </c>
      <c r="D117" t="inlineStr">
        <is>
          <t>Medium</t>
        </is>
      </c>
    </row>
    <row r="118">
      <c r="A118" t="inlineStr">
        <is>
          <t>C0117</t>
        </is>
      </c>
      <c r="B118" t="inlineStr">
        <is>
          <t>Germany</t>
        </is>
      </c>
      <c r="C118" t="inlineStr">
        <is>
          <t>Tech</t>
        </is>
      </c>
      <c r="D118" t="inlineStr">
        <is>
          <t>Small</t>
        </is>
      </c>
    </row>
    <row r="119">
      <c r="A119" t="inlineStr">
        <is>
          <t>C0118</t>
        </is>
      </c>
      <c r="B119" t="inlineStr">
        <is>
          <t>Netherlands</t>
        </is>
      </c>
      <c r="C119" t="inlineStr">
        <is>
          <t>Education</t>
        </is>
      </c>
      <c r="D119" t="inlineStr">
        <is>
          <t>Medium</t>
        </is>
      </c>
    </row>
    <row r="120">
      <c r="A120" t="inlineStr">
        <is>
          <t>C0119</t>
        </is>
      </c>
      <c r="B120" t="inlineStr">
        <is>
          <t>Germany</t>
        </is>
      </c>
      <c r="C120" t="inlineStr">
        <is>
          <t>Education</t>
        </is>
      </c>
      <c r="D120" t="inlineStr">
        <is>
          <t>Large</t>
        </is>
      </c>
    </row>
    <row r="121">
      <c r="A121" t="inlineStr">
        <is>
          <t>C0120</t>
        </is>
      </c>
      <c r="B121" t="inlineStr">
        <is>
          <t>Spain</t>
        </is>
      </c>
      <c r="C121" t="inlineStr">
        <is>
          <t>E-commerce</t>
        </is>
      </c>
      <c r="D121" t="inlineStr">
        <is>
          <t>Medium</t>
        </is>
      </c>
    </row>
    <row r="122">
      <c r="A122" t="inlineStr">
        <is>
          <t>C0121</t>
        </is>
      </c>
      <c r="B122" t="inlineStr">
        <is>
          <t>Italy</t>
        </is>
      </c>
      <c r="C122" t="inlineStr">
        <is>
          <t>Retail</t>
        </is>
      </c>
      <c r="D122" t="inlineStr">
        <is>
          <t>Enterprise</t>
        </is>
      </c>
    </row>
    <row r="123">
      <c r="A123" t="inlineStr">
        <is>
          <t>C0122</t>
        </is>
      </c>
      <c r="B123" t="inlineStr">
        <is>
          <t>Netherlands</t>
        </is>
      </c>
      <c r="C123" t="inlineStr">
        <is>
          <t>Retail</t>
        </is>
      </c>
      <c r="D123" t="inlineStr">
        <is>
          <t>Small</t>
        </is>
      </c>
    </row>
    <row r="124">
      <c r="A124" t="inlineStr">
        <is>
          <t>C0123</t>
        </is>
      </c>
      <c r="B124" t="inlineStr">
        <is>
          <t>Italy</t>
        </is>
      </c>
      <c r="C124" t="inlineStr">
        <is>
          <t>E-commerce</t>
        </is>
      </c>
      <c r="D124" t="inlineStr">
        <is>
          <t>Small</t>
        </is>
      </c>
    </row>
    <row r="125">
      <c r="A125" t="inlineStr">
        <is>
          <t>C0124</t>
        </is>
      </c>
      <c r="B125" t="inlineStr">
        <is>
          <t>Spain</t>
        </is>
      </c>
      <c r="C125" t="inlineStr">
        <is>
          <t>Finance</t>
        </is>
      </c>
      <c r="D125" t="inlineStr">
        <is>
          <t>Enterprise</t>
        </is>
      </c>
    </row>
    <row r="126">
      <c r="A126" t="inlineStr">
        <is>
          <t>C0125</t>
        </is>
      </c>
      <c r="B126" t="inlineStr">
        <is>
          <t>Sweden</t>
        </is>
      </c>
      <c r="C126" t="inlineStr">
        <is>
          <t>Education</t>
        </is>
      </c>
      <c r="D126" t="inlineStr">
        <is>
          <t>Small</t>
        </is>
      </c>
    </row>
    <row r="127">
      <c r="A127" t="inlineStr">
        <is>
          <t>C0126</t>
        </is>
      </c>
      <c r="B127" t="inlineStr">
        <is>
          <t>France</t>
        </is>
      </c>
      <c r="C127" t="inlineStr">
        <is>
          <t>Education</t>
        </is>
      </c>
      <c r="D127" t="inlineStr">
        <is>
          <t>Small</t>
        </is>
      </c>
    </row>
    <row r="128">
      <c r="A128" t="inlineStr">
        <is>
          <t>C0127</t>
        </is>
      </c>
      <c r="B128" t="inlineStr">
        <is>
          <t>Italy</t>
        </is>
      </c>
      <c r="C128" t="inlineStr">
        <is>
          <t>E-commerce</t>
        </is>
      </c>
      <c r="D128" t="inlineStr">
        <is>
          <t>Large</t>
        </is>
      </c>
    </row>
    <row r="129">
      <c r="A129" t="inlineStr">
        <is>
          <t>C0128</t>
        </is>
      </c>
      <c r="B129" t="inlineStr">
        <is>
          <t>Sweden</t>
        </is>
      </c>
      <c r="C129" t="inlineStr">
        <is>
          <t>Education</t>
        </is>
      </c>
      <c r="D129" t="inlineStr">
        <is>
          <t>Medium</t>
        </is>
      </c>
    </row>
    <row r="130">
      <c r="A130" t="inlineStr">
        <is>
          <t>C0129</t>
        </is>
      </c>
      <c r="B130" t="inlineStr">
        <is>
          <t>France</t>
        </is>
      </c>
      <c r="C130" t="inlineStr">
        <is>
          <t>Retail</t>
        </is>
      </c>
      <c r="D130" t="inlineStr">
        <is>
          <t>Small</t>
        </is>
      </c>
    </row>
    <row r="131">
      <c r="A131" t="inlineStr">
        <is>
          <t>C0130</t>
        </is>
      </c>
      <c r="B131" t="inlineStr">
        <is>
          <t>France</t>
        </is>
      </c>
      <c r="C131" t="inlineStr">
        <is>
          <t>Education</t>
        </is>
      </c>
      <c r="D131" t="inlineStr">
        <is>
          <t>Enterprise</t>
        </is>
      </c>
    </row>
    <row r="132">
      <c r="A132" t="inlineStr">
        <is>
          <t>C0131</t>
        </is>
      </c>
      <c r="B132" t="inlineStr">
        <is>
          <t>Italy</t>
        </is>
      </c>
      <c r="C132" t="inlineStr">
        <is>
          <t>E-commerce</t>
        </is>
      </c>
      <c r="D132" t="inlineStr">
        <is>
          <t>Medium</t>
        </is>
      </c>
    </row>
    <row r="133">
      <c r="A133" t="inlineStr">
        <is>
          <t>C0132</t>
        </is>
      </c>
      <c r="B133" t="inlineStr">
        <is>
          <t>Netherlands</t>
        </is>
      </c>
      <c r="C133" t="inlineStr">
        <is>
          <t>E-commerce</t>
        </is>
      </c>
      <c r="D133" t="inlineStr">
        <is>
          <t>Enterprise</t>
        </is>
      </c>
    </row>
    <row r="134">
      <c r="A134" t="inlineStr">
        <is>
          <t>C0133</t>
        </is>
      </c>
      <c r="B134" t="inlineStr">
        <is>
          <t>Italy</t>
        </is>
      </c>
      <c r="C134" t="inlineStr">
        <is>
          <t>Finance</t>
        </is>
      </c>
      <c r="D134" t="inlineStr">
        <is>
          <t>Medium</t>
        </is>
      </c>
    </row>
    <row r="135">
      <c r="A135" t="inlineStr">
        <is>
          <t>C0134</t>
        </is>
      </c>
      <c r="B135" t="inlineStr">
        <is>
          <t>Germany</t>
        </is>
      </c>
      <c r="C135" t="inlineStr">
        <is>
          <t>Finance</t>
        </is>
      </c>
      <c r="D135" t="inlineStr">
        <is>
          <t>Medium</t>
        </is>
      </c>
    </row>
    <row r="136">
      <c r="A136" t="inlineStr">
        <is>
          <t>C0135</t>
        </is>
      </c>
      <c r="B136" t="inlineStr">
        <is>
          <t>Netherlands</t>
        </is>
      </c>
      <c r="C136" t="inlineStr">
        <is>
          <t>Education</t>
        </is>
      </c>
      <c r="D136" t="inlineStr">
        <is>
          <t>Enterprise</t>
        </is>
      </c>
    </row>
    <row r="137">
      <c r="A137" t="inlineStr">
        <is>
          <t>C0136</t>
        </is>
      </c>
      <c r="B137" t="inlineStr">
        <is>
          <t>Sweden</t>
        </is>
      </c>
      <c r="C137" t="inlineStr">
        <is>
          <t>Education</t>
        </is>
      </c>
      <c r="D137" t="inlineStr">
        <is>
          <t>Small</t>
        </is>
      </c>
    </row>
    <row r="138">
      <c r="A138" t="inlineStr">
        <is>
          <t>C0137</t>
        </is>
      </c>
      <c r="B138" t="inlineStr">
        <is>
          <t>Netherlands</t>
        </is>
      </c>
      <c r="C138" t="inlineStr">
        <is>
          <t>Tech</t>
        </is>
      </c>
      <c r="D138" t="inlineStr">
        <is>
          <t>Enterprise</t>
        </is>
      </c>
    </row>
    <row r="139">
      <c r="A139" t="inlineStr">
        <is>
          <t>C0138</t>
        </is>
      </c>
      <c r="B139" t="inlineStr">
        <is>
          <t>Sweden</t>
        </is>
      </c>
      <c r="C139" t="inlineStr">
        <is>
          <t>Tech</t>
        </is>
      </c>
      <c r="D139" t="inlineStr">
        <is>
          <t>Medium</t>
        </is>
      </c>
    </row>
    <row r="140">
      <c r="A140" t="inlineStr">
        <is>
          <t>C0139</t>
        </is>
      </c>
      <c r="B140" t="inlineStr">
        <is>
          <t>Netherlands</t>
        </is>
      </c>
      <c r="C140" t="inlineStr">
        <is>
          <t>Healthcare</t>
        </is>
      </c>
      <c r="D140" t="inlineStr">
        <is>
          <t>Small</t>
        </is>
      </c>
    </row>
    <row r="141">
      <c r="A141" t="inlineStr">
        <is>
          <t>C0140</t>
        </is>
      </c>
      <c r="B141" t="inlineStr">
        <is>
          <t>Netherlands</t>
        </is>
      </c>
      <c r="C141" t="inlineStr">
        <is>
          <t>E-commerce</t>
        </is>
      </c>
      <c r="D141" t="inlineStr">
        <is>
          <t>Large</t>
        </is>
      </c>
    </row>
    <row r="142">
      <c r="A142" t="inlineStr">
        <is>
          <t>C0141</t>
        </is>
      </c>
      <c r="B142" t="inlineStr">
        <is>
          <t>Italy</t>
        </is>
      </c>
      <c r="C142" t="inlineStr">
        <is>
          <t>Finance</t>
        </is>
      </c>
      <c r="D142" t="inlineStr">
        <is>
          <t>Medium</t>
        </is>
      </c>
    </row>
    <row r="143">
      <c r="A143" t="inlineStr">
        <is>
          <t>C0142</t>
        </is>
      </c>
      <c r="B143" t="inlineStr">
        <is>
          <t>France</t>
        </is>
      </c>
      <c r="C143" t="inlineStr">
        <is>
          <t>Healthcare</t>
        </is>
      </c>
      <c r="D143" t="inlineStr">
        <is>
          <t>Large</t>
        </is>
      </c>
    </row>
    <row r="144">
      <c r="A144" t="inlineStr">
        <is>
          <t>C0143</t>
        </is>
      </c>
      <c r="B144" t="inlineStr">
        <is>
          <t>Germany</t>
        </is>
      </c>
      <c r="C144" t="inlineStr">
        <is>
          <t>Retail</t>
        </is>
      </c>
      <c r="D144" t="inlineStr">
        <is>
          <t>Small</t>
        </is>
      </c>
    </row>
    <row r="145">
      <c r="A145" t="inlineStr">
        <is>
          <t>C0144</t>
        </is>
      </c>
      <c r="B145" t="inlineStr">
        <is>
          <t>Sweden</t>
        </is>
      </c>
      <c r="C145" t="inlineStr">
        <is>
          <t>Education</t>
        </is>
      </c>
      <c r="D145" t="inlineStr">
        <is>
          <t>Enterprise</t>
        </is>
      </c>
    </row>
    <row r="146">
      <c r="A146" t="inlineStr">
        <is>
          <t>C0145</t>
        </is>
      </c>
      <c r="B146" t="inlineStr">
        <is>
          <t>France</t>
        </is>
      </c>
      <c r="C146" t="inlineStr">
        <is>
          <t>Retail</t>
        </is>
      </c>
      <c r="D146" t="inlineStr">
        <is>
          <t>Medium</t>
        </is>
      </c>
    </row>
    <row r="147">
      <c r="A147" t="inlineStr">
        <is>
          <t>C0146</t>
        </is>
      </c>
      <c r="B147" t="inlineStr">
        <is>
          <t>France</t>
        </is>
      </c>
      <c r="C147" t="inlineStr">
        <is>
          <t>Tech</t>
        </is>
      </c>
      <c r="D147" t="inlineStr">
        <is>
          <t>Large</t>
        </is>
      </c>
    </row>
    <row r="148">
      <c r="A148" t="inlineStr">
        <is>
          <t>C0147</t>
        </is>
      </c>
      <c r="B148" t="inlineStr">
        <is>
          <t>Sweden</t>
        </is>
      </c>
      <c r="C148" t="inlineStr">
        <is>
          <t>Finance</t>
        </is>
      </c>
      <c r="D148" t="inlineStr">
        <is>
          <t>Medium</t>
        </is>
      </c>
    </row>
    <row r="149">
      <c r="A149" t="inlineStr">
        <is>
          <t>C0148</t>
        </is>
      </c>
      <c r="B149" t="inlineStr">
        <is>
          <t>Italy</t>
        </is>
      </c>
      <c r="C149" t="inlineStr">
        <is>
          <t>Education</t>
        </is>
      </c>
      <c r="D149" t="inlineStr">
        <is>
          <t>Small</t>
        </is>
      </c>
    </row>
    <row r="150">
      <c r="A150" t="inlineStr">
        <is>
          <t>C0149</t>
        </is>
      </c>
      <c r="B150" t="inlineStr">
        <is>
          <t>Netherlands</t>
        </is>
      </c>
      <c r="C150" t="inlineStr">
        <is>
          <t>Education</t>
        </is>
      </c>
      <c r="D150" t="inlineStr">
        <is>
          <t>Enterprise</t>
        </is>
      </c>
    </row>
    <row r="151">
      <c r="A151" t="inlineStr">
        <is>
          <t>C0150</t>
        </is>
      </c>
      <c r="B151" t="inlineStr">
        <is>
          <t>Germany</t>
        </is>
      </c>
      <c r="C151" t="inlineStr">
        <is>
          <t>Finance</t>
        </is>
      </c>
      <c r="D151" t="inlineStr">
        <is>
          <t>Enterprise</t>
        </is>
      </c>
    </row>
    <row r="152">
      <c r="A152" t="inlineStr">
        <is>
          <t>C0151</t>
        </is>
      </c>
      <c r="B152" t="inlineStr">
        <is>
          <t>Netherlands</t>
        </is>
      </c>
      <c r="C152" t="inlineStr">
        <is>
          <t>Finance</t>
        </is>
      </c>
      <c r="D152" t="inlineStr">
        <is>
          <t>Medium</t>
        </is>
      </c>
    </row>
    <row r="153">
      <c r="A153" t="inlineStr">
        <is>
          <t>C0152</t>
        </is>
      </c>
      <c r="B153" t="inlineStr">
        <is>
          <t>Germany</t>
        </is>
      </c>
      <c r="C153" t="inlineStr">
        <is>
          <t>Healthcare</t>
        </is>
      </c>
      <c r="D153" t="inlineStr">
        <is>
          <t>Enterprise</t>
        </is>
      </c>
    </row>
    <row r="154">
      <c r="A154" t="inlineStr">
        <is>
          <t>C0153</t>
        </is>
      </c>
      <c r="B154" t="inlineStr">
        <is>
          <t>Italy</t>
        </is>
      </c>
      <c r="C154" t="inlineStr">
        <is>
          <t>E-commerce</t>
        </is>
      </c>
      <c r="D154" t="inlineStr">
        <is>
          <t>Enterprise</t>
        </is>
      </c>
    </row>
    <row r="155">
      <c r="A155" t="inlineStr">
        <is>
          <t>C0154</t>
        </is>
      </c>
      <c r="B155" t="inlineStr">
        <is>
          <t>Italy</t>
        </is>
      </c>
      <c r="C155" t="inlineStr">
        <is>
          <t>Retail</t>
        </is>
      </c>
      <c r="D155" t="inlineStr">
        <is>
          <t>Enterprise</t>
        </is>
      </c>
    </row>
    <row r="156">
      <c r="A156" t="inlineStr">
        <is>
          <t>C0155</t>
        </is>
      </c>
      <c r="B156" t="inlineStr">
        <is>
          <t>Spain</t>
        </is>
      </c>
      <c r="C156" t="inlineStr">
        <is>
          <t>E-commerce</t>
        </is>
      </c>
      <c r="D156" t="inlineStr">
        <is>
          <t>Enterprise</t>
        </is>
      </c>
    </row>
    <row r="157">
      <c r="A157" t="inlineStr">
        <is>
          <t>C0156</t>
        </is>
      </c>
      <c r="B157" t="inlineStr">
        <is>
          <t>France</t>
        </is>
      </c>
      <c r="C157" t="inlineStr">
        <is>
          <t>Retail</t>
        </is>
      </c>
      <c r="D157" t="inlineStr">
        <is>
          <t>Small</t>
        </is>
      </c>
    </row>
    <row r="158">
      <c r="A158" t="inlineStr">
        <is>
          <t>C0157</t>
        </is>
      </c>
      <c r="B158" t="inlineStr">
        <is>
          <t>France</t>
        </is>
      </c>
      <c r="C158" t="inlineStr">
        <is>
          <t>Healthcare</t>
        </is>
      </c>
      <c r="D158" t="inlineStr">
        <is>
          <t>Medium</t>
        </is>
      </c>
    </row>
    <row r="159">
      <c r="A159" t="inlineStr">
        <is>
          <t>C0158</t>
        </is>
      </c>
      <c r="B159" t="inlineStr">
        <is>
          <t>Netherlands</t>
        </is>
      </c>
      <c r="C159" t="inlineStr">
        <is>
          <t>Healthcare</t>
        </is>
      </c>
      <c r="D159" t="inlineStr">
        <is>
          <t>Small</t>
        </is>
      </c>
    </row>
    <row r="160">
      <c r="A160" t="inlineStr">
        <is>
          <t>C0159</t>
        </is>
      </c>
      <c r="B160" t="inlineStr">
        <is>
          <t>Germany</t>
        </is>
      </c>
      <c r="C160" t="inlineStr">
        <is>
          <t>Tech</t>
        </is>
      </c>
      <c r="D160" t="inlineStr">
        <is>
          <t>Large</t>
        </is>
      </c>
    </row>
    <row r="161">
      <c r="A161" t="inlineStr">
        <is>
          <t>C0160</t>
        </is>
      </c>
      <c r="B161" t="inlineStr">
        <is>
          <t>Germany</t>
        </is>
      </c>
      <c r="C161" t="inlineStr">
        <is>
          <t>Finance</t>
        </is>
      </c>
      <c r="D161" t="inlineStr">
        <is>
          <t>Enterprise</t>
        </is>
      </c>
    </row>
    <row r="162">
      <c r="A162" t="inlineStr">
        <is>
          <t>C0161</t>
        </is>
      </c>
      <c r="B162" t="inlineStr">
        <is>
          <t>Germany</t>
        </is>
      </c>
      <c r="C162" t="inlineStr">
        <is>
          <t>Healthcare</t>
        </is>
      </c>
      <c r="D162" t="inlineStr">
        <is>
          <t>Small</t>
        </is>
      </c>
    </row>
    <row r="163">
      <c r="A163" t="inlineStr">
        <is>
          <t>C0162</t>
        </is>
      </c>
      <c r="B163" t="inlineStr">
        <is>
          <t>Spain</t>
        </is>
      </c>
      <c r="C163" t="inlineStr">
        <is>
          <t>Education</t>
        </is>
      </c>
      <c r="D163" t="inlineStr">
        <is>
          <t>Medium</t>
        </is>
      </c>
    </row>
    <row r="164">
      <c r="A164" t="inlineStr">
        <is>
          <t>C0163</t>
        </is>
      </c>
      <c r="B164" t="inlineStr">
        <is>
          <t>Germany</t>
        </is>
      </c>
      <c r="C164" t="inlineStr">
        <is>
          <t>Tech</t>
        </is>
      </c>
      <c r="D164" t="inlineStr">
        <is>
          <t>Small</t>
        </is>
      </c>
    </row>
    <row r="165">
      <c r="A165" t="inlineStr">
        <is>
          <t>C0164</t>
        </is>
      </c>
      <c r="B165" t="inlineStr">
        <is>
          <t>Netherlands</t>
        </is>
      </c>
      <c r="C165" t="inlineStr">
        <is>
          <t>Tech</t>
        </is>
      </c>
      <c r="D165" t="inlineStr">
        <is>
          <t>Enterprise</t>
        </is>
      </c>
    </row>
    <row r="166">
      <c r="A166" t="inlineStr">
        <is>
          <t>C0165</t>
        </is>
      </c>
      <c r="B166" t="inlineStr">
        <is>
          <t>Netherlands</t>
        </is>
      </c>
      <c r="C166" t="inlineStr">
        <is>
          <t>Retail</t>
        </is>
      </c>
      <c r="D166" t="inlineStr">
        <is>
          <t>Small</t>
        </is>
      </c>
    </row>
    <row r="167">
      <c r="A167" t="inlineStr">
        <is>
          <t>C0166</t>
        </is>
      </c>
      <c r="B167" t="inlineStr">
        <is>
          <t>Germany</t>
        </is>
      </c>
      <c r="C167" t="inlineStr">
        <is>
          <t>E-commerce</t>
        </is>
      </c>
      <c r="D167" t="inlineStr">
        <is>
          <t>Large</t>
        </is>
      </c>
    </row>
    <row r="168">
      <c r="A168" t="inlineStr">
        <is>
          <t>C0167</t>
        </is>
      </c>
      <c r="B168" t="inlineStr">
        <is>
          <t>Netherlands</t>
        </is>
      </c>
      <c r="C168" t="inlineStr">
        <is>
          <t>E-commerce</t>
        </is>
      </c>
      <c r="D168" t="inlineStr">
        <is>
          <t>Small</t>
        </is>
      </c>
    </row>
    <row r="169">
      <c r="A169" t="inlineStr">
        <is>
          <t>C0168</t>
        </is>
      </c>
      <c r="B169" t="inlineStr">
        <is>
          <t>Spain</t>
        </is>
      </c>
      <c r="C169" t="inlineStr">
        <is>
          <t>Education</t>
        </is>
      </c>
      <c r="D169" t="inlineStr">
        <is>
          <t>Medium</t>
        </is>
      </c>
    </row>
    <row r="170">
      <c r="A170" t="inlineStr">
        <is>
          <t>C0169</t>
        </is>
      </c>
      <c r="B170" t="inlineStr">
        <is>
          <t>Sweden</t>
        </is>
      </c>
      <c r="C170" t="inlineStr">
        <is>
          <t>Retail</t>
        </is>
      </c>
      <c r="D170" t="inlineStr">
        <is>
          <t>Large</t>
        </is>
      </c>
    </row>
    <row r="171">
      <c r="A171" t="inlineStr">
        <is>
          <t>C0170</t>
        </is>
      </c>
      <c r="B171" t="inlineStr">
        <is>
          <t>Germany</t>
        </is>
      </c>
      <c r="C171" t="inlineStr">
        <is>
          <t>Tech</t>
        </is>
      </c>
      <c r="D171" t="inlineStr">
        <is>
          <t>Medium</t>
        </is>
      </c>
    </row>
    <row r="172">
      <c r="A172" t="inlineStr">
        <is>
          <t>C0171</t>
        </is>
      </c>
      <c r="B172" t="inlineStr">
        <is>
          <t>Italy</t>
        </is>
      </c>
      <c r="C172" t="inlineStr">
        <is>
          <t>Finance</t>
        </is>
      </c>
      <c r="D172" t="inlineStr">
        <is>
          <t>Medium</t>
        </is>
      </c>
    </row>
    <row r="173">
      <c r="A173" t="inlineStr">
        <is>
          <t>C0172</t>
        </is>
      </c>
      <c r="B173" t="inlineStr">
        <is>
          <t>Netherlands</t>
        </is>
      </c>
      <c r="C173" t="inlineStr">
        <is>
          <t>Retail</t>
        </is>
      </c>
      <c r="D173" t="inlineStr">
        <is>
          <t>Large</t>
        </is>
      </c>
    </row>
    <row r="174">
      <c r="A174" t="inlineStr">
        <is>
          <t>C0173</t>
        </is>
      </c>
      <c r="B174" t="inlineStr">
        <is>
          <t>Italy</t>
        </is>
      </c>
      <c r="C174" t="inlineStr">
        <is>
          <t>Finance</t>
        </is>
      </c>
      <c r="D174" t="inlineStr">
        <is>
          <t>Medium</t>
        </is>
      </c>
    </row>
    <row r="175">
      <c r="A175" t="inlineStr">
        <is>
          <t>C0174</t>
        </is>
      </c>
      <c r="B175" t="inlineStr">
        <is>
          <t>Spain</t>
        </is>
      </c>
      <c r="C175" t="inlineStr">
        <is>
          <t>Retail</t>
        </is>
      </c>
      <c r="D175" t="inlineStr">
        <is>
          <t>Enterprise</t>
        </is>
      </c>
    </row>
    <row r="176">
      <c r="A176" t="inlineStr">
        <is>
          <t>C0175</t>
        </is>
      </c>
      <c r="B176" t="inlineStr">
        <is>
          <t>Spain</t>
        </is>
      </c>
      <c r="C176" t="inlineStr">
        <is>
          <t>Healthcare</t>
        </is>
      </c>
      <c r="D176" t="inlineStr">
        <is>
          <t>Medium</t>
        </is>
      </c>
    </row>
    <row r="177">
      <c r="A177" t="inlineStr">
        <is>
          <t>C0176</t>
        </is>
      </c>
      <c r="B177" t="inlineStr">
        <is>
          <t>Sweden</t>
        </is>
      </c>
      <c r="C177" t="inlineStr">
        <is>
          <t>E-commerce</t>
        </is>
      </c>
      <c r="D177" t="inlineStr">
        <is>
          <t>Large</t>
        </is>
      </c>
    </row>
    <row r="178">
      <c r="A178" t="inlineStr">
        <is>
          <t>C0177</t>
        </is>
      </c>
      <c r="B178" t="inlineStr">
        <is>
          <t>Spain</t>
        </is>
      </c>
      <c r="C178" t="inlineStr">
        <is>
          <t>E-commerce</t>
        </is>
      </c>
      <c r="D178" t="inlineStr">
        <is>
          <t>Medium</t>
        </is>
      </c>
    </row>
    <row r="179">
      <c r="A179" t="inlineStr">
        <is>
          <t>C0178</t>
        </is>
      </c>
      <c r="B179" t="inlineStr">
        <is>
          <t>France</t>
        </is>
      </c>
      <c r="C179" t="inlineStr">
        <is>
          <t>Finance</t>
        </is>
      </c>
      <c r="D179" t="inlineStr">
        <is>
          <t>Medium</t>
        </is>
      </c>
    </row>
    <row r="180">
      <c r="A180" t="inlineStr">
        <is>
          <t>C0179</t>
        </is>
      </c>
      <c r="B180" t="inlineStr">
        <is>
          <t>France</t>
        </is>
      </c>
      <c r="C180" t="inlineStr">
        <is>
          <t>Finance</t>
        </is>
      </c>
      <c r="D180" t="inlineStr">
        <is>
          <t>Enterprise</t>
        </is>
      </c>
    </row>
    <row r="181">
      <c r="A181" t="inlineStr">
        <is>
          <t>C0180</t>
        </is>
      </c>
      <c r="B181" t="inlineStr">
        <is>
          <t>France</t>
        </is>
      </c>
      <c r="C181" t="inlineStr">
        <is>
          <t>Finance</t>
        </is>
      </c>
      <c r="D181" t="inlineStr">
        <is>
          <t>Large</t>
        </is>
      </c>
    </row>
    <row r="182">
      <c r="A182" t="inlineStr">
        <is>
          <t>C0181</t>
        </is>
      </c>
      <c r="B182" t="inlineStr">
        <is>
          <t>Italy</t>
        </is>
      </c>
      <c r="C182" t="inlineStr">
        <is>
          <t>Retail</t>
        </is>
      </c>
      <c r="D182" t="inlineStr">
        <is>
          <t>Large</t>
        </is>
      </c>
    </row>
    <row r="183">
      <c r="A183" t="inlineStr">
        <is>
          <t>C0182</t>
        </is>
      </c>
      <c r="B183" t="inlineStr">
        <is>
          <t>Sweden</t>
        </is>
      </c>
      <c r="C183" t="inlineStr">
        <is>
          <t>Retail</t>
        </is>
      </c>
      <c r="D183" t="inlineStr">
        <is>
          <t>Medium</t>
        </is>
      </c>
    </row>
    <row r="184">
      <c r="A184" t="inlineStr">
        <is>
          <t>C0183</t>
        </is>
      </c>
      <c r="B184" t="inlineStr">
        <is>
          <t>Italy</t>
        </is>
      </c>
      <c r="C184" t="inlineStr">
        <is>
          <t>Finance</t>
        </is>
      </c>
      <c r="D184" t="inlineStr">
        <is>
          <t>Medium</t>
        </is>
      </c>
    </row>
    <row r="185">
      <c r="A185" t="inlineStr">
        <is>
          <t>C0184</t>
        </is>
      </c>
      <c r="B185" t="inlineStr">
        <is>
          <t>France</t>
        </is>
      </c>
      <c r="C185" t="inlineStr">
        <is>
          <t>Retail</t>
        </is>
      </c>
      <c r="D185" t="inlineStr">
        <is>
          <t>Enterprise</t>
        </is>
      </c>
    </row>
    <row r="186">
      <c r="A186" t="inlineStr">
        <is>
          <t>C0185</t>
        </is>
      </c>
      <c r="B186" t="inlineStr">
        <is>
          <t>Spain</t>
        </is>
      </c>
      <c r="C186" t="inlineStr">
        <is>
          <t>E-commerce</t>
        </is>
      </c>
      <c r="D186" t="inlineStr">
        <is>
          <t>Medium</t>
        </is>
      </c>
    </row>
    <row r="187">
      <c r="A187" t="inlineStr">
        <is>
          <t>C0186</t>
        </is>
      </c>
      <c r="B187" t="inlineStr">
        <is>
          <t>Germany</t>
        </is>
      </c>
      <c r="C187" t="inlineStr">
        <is>
          <t>Education</t>
        </is>
      </c>
      <c r="D187" t="inlineStr">
        <is>
          <t>Medium</t>
        </is>
      </c>
    </row>
    <row r="188">
      <c r="A188" t="inlineStr">
        <is>
          <t>C0187</t>
        </is>
      </c>
      <c r="B188" t="inlineStr">
        <is>
          <t>Spain</t>
        </is>
      </c>
      <c r="C188" t="inlineStr">
        <is>
          <t>Education</t>
        </is>
      </c>
      <c r="D188" t="inlineStr">
        <is>
          <t>Large</t>
        </is>
      </c>
    </row>
    <row r="189">
      <c r="A189" t="inlineStr">
        <is>
          <t>C0188</t>
        </is>
      </c>
      <c r="B189" t="inlineStr">
        <is>
          <t>Spain</t>
        </is>
      </c>
      <c r="C189" t="inlineStr">
        <is>
          <t>Retail</t>
        </is>
      </c>
      <c r="D189" t="inlineStr">
        <is>
          <t>Large</t>
        </is>
      </c>
    </row>
    <row r="190">
      <c r="A190" t="inlineStr">
        <is>
          <t>C0189</t>
        </is>
      </c>
      <c r="B190" t="inlineStr">
        <is>
          <t>Italy</t>
        </is>
      </c>
      <c r="C190" t="inlineStr">
        <is>
          <t>Retail</t>
        </is>
      </c>
      <c r="D190" t="inlineStr">
        <is>
          <t>Large</t>
        </is>
      </c>
    </row>
    <row r="191">
      <c r="A191" t="inlineStr">
        <is>
          <t>C0190</t>
        </is>
      </c>
      <c r="B191" t="inlineStr">
        <is>
          <t>Netherlands</t>
        </is>
      </c>
      <c r="C191" t="inlineStr">
        <is>
          <t>Education</t>
        </is>
      </c>
      <c r="D191" t="inlineStr">
        <is>
          <t>Enterprise</t>
        </is>
      </c>
    </row>
    <row r="192">
      <c r="A192" t="inlineStr">
        <is>
          <t>C0191</t>
        </is>
      </c>
      <c r="B192" t="inlineStr">
        <is>
          <t>Spain</t>
        </is>
      </c>
      <c r="C192" t="inlineStr">
        <is>
          <t>Education</t>
        </is>
      </c>
      <c r="D192" t="inlineStr">
        <is>
          <t>Small</t>
        </is>
      </c>
    </row>
    <row r="193">
      <c r="A193" t="inlineStr">
        <is>
          <t>C0192</t>
        </is>
      </c>
      <c r="B193" t="inlineStr">
        <is>
          <t>Italy</t>
        </is>
      </c>
      <c r="C193" t="inlineStr">
        <is>
          <t>Tech</t>
        </is>
      </c>
      <c r="D193" t="inlineStr">
        <is>
          <t>Enterprise</t>
        </is>
      </c>
    </row>
    <row r="194">
      <c r="A194" t="inlineStr">
        <is>
          <t>C0193</t>
        </is>
      </c>
      <c r="B194" t="inlineStr">
        <is>
          <t>France</t>
        </is>
      </c>
      <c r="C194" t="inlineStr">
        <is>
          <t>Tech</t>
        </is>
      </c>
      <c r="D194" t="inlineStr">
        <is>
          <t>Small</t>
        </is>
      </c>
    </row>
    <row r="195">
      <c r="A195" t="inlineStr">
        <is>
          <t>C0194</t>
        </is>
      </c>
      <c r="B195" t="inlineStr">
        <is>
          <t>Netherlands</t>
        </is>
      </c>
      <c r="C195" t="inlineStr">
        <is>
          <t>Tech</t>
        </is>
      </c>
      <c r="D195" t="inlineStr">
        <is>
          <t>Enterprise</t>
        </is>
      </c>
    </row>
    <row r="196">
      <c r="A196" t="inlineStr">
        <is>
          <t>C0195</t>
        </is>
      </c>
      <c r="B196" t="inlineStr">
        <is>
          <t>Germany</t>
        </is>
      </c>
      <c r="C196" t="inlineStr">
        <is>
          <t>Tech</t>
        </is>
      </c>
      <c r="D196" t="inlineStr">
        <is>
          <t>Medium</t>
        </is>
      </c>
    </row>
    <row r="197">
      <c r="A197" t="inlineStr">
        <is>
          <t>C0196</t>
        </is>
      </c>
      <c r="B197" t="inlineStr">
        <is>
          <t>Germany</t>
        </is>
      </c>
      <c r="C197" t="inlineStr">
        <is>
          <t>Retail</t>
        </is>
      </c>
      <c r="D197" t="inlineStr">
        <is>
          <t>Small</t>
        </is>
      </c>
    </row>
    <row r="198">
      <c r="A198" t="inlineStr">
        <is>
          <t>C0197</t>
        </is>
      </c>
      <c r="B198" t="inlineStr">
        <is>
          <t>France</t>
        </is>
      </c>
      <c r="C198" t="inlineStr">
        <is>
          <t>Retail</t>
        </is>
      </c>
      <c r="D198" t="inlineStr">
        <is>
          <t>Enterprise</t>
        </is>
      </c>
    </row>
    <row r="199">
      <c r="A199" t="inlineStr">
        <is>
          <t>C0198</t>
        </is>
      </c>
      <c r="B199" t="inlineStr">
        <is>
          <t>Netherlands</t>
        </is>
      </c>
      <c r="C199" t="inlineStr">
        <is>
          <t>Education</t>
        </is>
      </c>
      <c r="D199" t="inlineStr">
        <is>
          <t>Large</t>
        </is>
      </c>
    </row>
    <row r="200">
      <c r="A200" t="inlineStr">
        <is>
          <t>C0199</t>
        </is>
      </c>
      <c r="B200" t="inlineStr">
        <is>
          <t>Netherlands</t>
        </is>
      </c>
      <c r="C200" t="inlineStr">
        <is>
          <t>Education</t>
        </is>
      </c>
      <c r="D200" t="inlineStr">
        <is>
          <t>Enterprise</t>
        </is>
      </c>
    </row>
    <row r="201">
      <c r="A201" t="inlineStr">
        <is>
          <t>C0200</t>
        </is>
      </c>
      <c r="B201" t="inlineStr">
        <is>
          <t>Italy</t>
        </is>
      </c>
      <c r="C201" t="inlineStr">
        <is>
          <t>E-commerce</t>
        </is>
      </c>
      <c r="D201" t="inlineStr">
        <is>
          <t>Large</t>
        </is>
      </c>
    </row>
    <row r="202">
      <c r="A202" t="inlineStr">
        <is>
          <t>C0201</t>
        </is>
      </c>
      <c r="B202" t="inlineStr">
        <is>
          <t>Italy</t>
        </is>
      </c>
      <c r="C202" t="inlineStr">
        <is>
          <t>E-commerce</t>
        </is>
      </c>
      <c r="D202" t="inlineStr">
        <is>
          <t>Enterprise</t>
        </is>
      </c>
    </row>
    <row r="203">
      <c r="A203" t="inlineStr">
        <is>
          <t>C0202</t>
        </is>
      </c>
      <c r="B203" t="inlineStr">
        <is>
          <t>Italy</t>
        </is>
      </c>
      <c r="C203" t="inlineStr">
        <is>
          <t>Tech</t>
        </is>
      </c>
      <c r="D203" t="inlineStr">
        <is>
          <t>Small</t>
        </is>
      </c>
    </row>
    <row r="204">
      <c r="A204" t="inlineStr">
        <is>
          <t>C0203</t>
        </is>
      </c>
      <c r="B204" t="inlineStr">
        <is>
          <t>Netherlands</t>
        </is>
      </c>
      <c r="C204" t="inlineStr">
        <is>
          <t>Education</t>
        </is>
      </c>
      <c r="D204" t="inlineStr">
        <is>
          <t>Medium</t>
        </is>
      </c>
    </row>
    <row r="205">
      <c r="A205" t="inlineStr">
        <is>
          <t>C0204</t>
        </is>
      </c>
      <c r="B205" t="inlineStr">
        <is>
          <t>Netherlands</t>
        </is>
      </c>
      <c r="C205" t="inlineStr">
        <is>
          <t>Tech</t>
        </is>
      </c>
      <c r="D205" t="inlineStr">
        <is>
          <t>Enterprise</t>
        </is>
      </c>
    </row>
    <row r="206">
      <c r="A206" t="inlineStr">
        <is>
          <t>C0205</t>
        </is>
      </c>
      <c r="B206" t="inlineStr">
        <is>
          <t>Italy</t>
        </is>
      </c>
      <c r="C206" t="inlineStr">
        <is>
          <t>Tech</t>
        </is>
      </c>
      <c r="D206" t="inlineStr">
        <is>
          <t>Medium</t>
        </is>
      </c>
    </row>
    <row r="207">
      <c r="A207" t="inlineStr">
        <is>
          <t>C0206</t>
        </is>
      </c>
      <c r="B207" t="inlineStr">
        <is>
          <t>Spain</t>
        </is>
      </c>
      <c r="C207" t="inlineStr">
        <is>
          <t>Tech</t>
        </is>
      </c>
      <c r="D207" t="inlineStr">
        <is>
          <t>Enterprise</t>
        </is>
      </c>
    </row>
    <row r="208">
      <c r="A208" t="inlineStr">
        <is>
          <t>C0207</t>
        </is>
      </c>
      <c r="B208" t="inlineStr">
        <is>
          <t>Spain</t>
        </is>
      </c>
      <c r="C208" t="inlineStr">
        <is>
          <t>Healthcare</t>
        </is>
      </c>
      <c r="D208" t="inlineStr">
        <is>
          <t>Large</t>
        </is>
      </c>
    </row>
    <row r="209">
      <c r="A209" t="inlineStr">
        <is>
          <t>C0208</t>
        </is>
      </c>
      <c r="B209" t="inlineStr">
        <is>
          <t>Spain</t>
        </is>
      </c>
      <c r="C209" t="inlineStr">
        <is>
          <t>Finance</t>
        </is>
      </c>
      <c r="D209" t="inlineStr">
        <is>
          <t>Large</t>
        </is>
      </c>
    </row>
    <row r="210">
      <c r="A210" t="inlineStr">
        <is>
          <t>C0209</t>
        </is>
      </c>
      <c r="B210" t="inlineStr">
        <is>
          <t>France</t>
        </is>
      </c>
      <c r="C210" t="inlineStr">
        <is>
          <t>Education</t>
        </is>
      </c>
      <c r="D210" t="inlineStr">
        <is>
          <t>Medium</t>
        </is>
      </c>
    </row>
    <row r="211">
      <c r="A211" t="inlineStr">
        <is>
          <t>C0210</t>
        </is>
      </c>
      <c r="B211" t="inlineStr">
        <is>
          <t>Sweden</t>
        </is>
      </c>
      <c r="C211" t="inlineStr">
        <is>
          <t>Education</t>
        </is>
      </c>
      <c r="D211" t="inlineStr">
        <is>
          <t>Large</t>
        </is>
      </c>
    </row>
    <row r="212">
      <c r="A212" t="inlineStr">
        <is>
          <t>C0211</t>
        </is>
      </c>
      <c r="B212" t="inlineStr">
        <is>
          <t>Spain</t>
        </is>
      </c>
      <c r="C212" t="inlineStr">
        <is>
          <t>Healthcare</t>
        </is>
      </c>
      <c r="D212" t="inlineStr">
        <is>
          <t>Small</t>
        </is>
      </c>
    </row>
    <row r="213">
      <c r="A213" t="inlineStr">
        <is>
          <t>C0212</t>
        </is>
      </c>
      <c r="B213" t="inlineStr">
        <is>
          <t>Italy</t>
        </is>
      </c>
      <c r="C213" t="inlineStr">
        <is>
          <t>Finance</t>
        </is>
      </c>
      <c r="D213" t="inlineStr">
        <is>
          <t>Large</t>
        </is>
      </c>
    </row>
    <row r="214">
      <c r="A214" t="inlineStr">
        <is>
          <t>C0213</t>
        </is>
      </c>
      <c r="B214" t="inlineStr">
        <is>
          <t>France</t>
        </is>
      </c>
      <c r="C214" t="inlineStr">
        <is>
          <t>Retail</t>
        </is>
      </c>
      <c r="D214" t="inlineStr">
        <is>
          <t>Enterprise</t>
        </is>
      </c>
    </row>
    <row r="215">
      <c r="A215" t="inlineStr">
        <is>
          <t>C0214</t>
        </is>
      </c>
      <c r="B215" t="inlineStr">
        <is>
          <t>Italy</t>
        </is>
      </c>
      <c r="C215" t="inlineStr">
        <is>
          <t>Education</t>
        </is>
      </c>
      <c r="D215" t="inlineStr">
        <is>
          <t>Large</t>
        </is>
      </c>
    </row>
    <row r="216">
      <c r="A216" t="inlineStr">
        <is>
          <t>C0215</t>
        </is>
      </c>
      <c r="B216" t="inlineStr">
        <is>
          <t>Sweden</t>
        </is>
      </c>
      <c r="C216" t="inlineStr">
        <is>
          <t>Tech</t>
        </is>
      </c>
      <c r="D216" t="inlineStr">
        <is>
          <t>Large</t>
        </is>
      </c>
    </row>
    <row r="217">
      <c r="A217" t="inlineStr">
        <is>
          <t>C0216</t>
        </is>
      </c>
      <c r="B217" t="inlineStr">
        <is>
          <t>Spain</t>
        </is>
      </c>
      <c r="C217" t="inlineStr">
        <is>
          <t>Finance</t>
        </is>
      </c>
      <c r="D217" t="inlineStr">
        <is>
          <t>Medium</t>
        </is>
      </c>
    </row>
    <row r="218">
      <c r="A218" t="inlineStr">
        <is>
          <t>C0217</t>
        </is>
      </c>
      <c r="B218" t="inlineStr">
        <is>
          <t>Italy</t>
        </is>
      </c>
      <c r="C218" t="inlineStr">
        <is>
          <t>Tech</t>
        </is>
      </c>
      <c r="D218" t="inlineStr">
        <is>
          <t>Large</t>
        </is>
      </c>
    </row>
    <row r="219">
      <c r="A219" t="inlineStr">
        <is>
          <t>C0218</t>
        </is>
      </c>
      <c r="B219" t="inlineStr">
        <is>
          <t>Netherlands</t>
        </is>
      </c>
      <c r="C219" t="inlineStr">
        <is>
          <t>Healthcare</t>
        </is>
      </c>
      <c r="D219" t="inlineStr">
        <is>
          <t>Medium</t>
        </is>
      </c>
    </row>
    <row r="220">
      <c r="A220" t="inlineStr">
        <is>
          <t>C0219</t>
        </is>
      </c>
      <c r="B220" t="inlineStr">
        <is>
          <t>France</t>
        </is>
      </c>
      <c r="C220" t="inlineStr">
        <is>
          <t>Education</t>
        </is>
      </c>
      <c r="D220" t="inlineStr">
        <is>
          <t>Enterprise</t>
        </is>
      </c>
    </row>
    <row r="221">
      <c r="A221" t="inlineStr">
        <is>
          <t>C0220</t>
        </is>
      </c>
      <c r="B221" t="inlineStr">
        <is>
          <t>Spain</t>
        </is>
      </c>
      <c r="C221" t="inlineStr">
        <is>
          <t>Tech</t>
        </is>
      </c>
      <c r="D221" t="inlineStr">
        <is>
          <t>Enterprise</t>
        </is>
      </c>
    </row>
    <row r="222">
      <c r="A222" t="inlineStr">
        <is>
          <t>C0221</t>
        </is>
      </c>
      <c r="B222" t="inlineStr">
        <is>
          <t>France</t>
        </is>
      </c>
      <c r="C222" t="inlineStr">
        <is>
          <t>Tech</t>
        </is>
      </c>
      <c r="D222" t="inlineStr">
        <is>
          <t>Large</t>
        </is>
      </c>
    </row>
    <row r="223">
      <c r="A223" t="inlineStr">
        <is>
          <t>C0222</t>
        </is>
      </c>
      <c r="B223" t="inlineStr">
        <is>
          <t>Netherlands</t>
        </is>
      </c>
      <c r="C223" t="inlineStr">
        <is>
          <t>Healthcare</t>
        </is>
      </c>
      <c r="D223" t="inlineStr">
        <is>
          <t>Large</t>
        </is>
      </c>
    </row>
    <row r="224">
      <c r="A224" t="inlineStr">
        <is>
          <t>C0223</t>
        </is>
      </c>
      <c r="B224" t="inlineStr">
        <is>
          <t>Spain</t>
        </is>
      </c>
      <c r="C224" t="inlineStr">
        <is>
          <t>E-commerce</t>
        </is>
      </c>
      <c r="D224" t="inlineStr">
        <is>
          <t>Enterprise</t>
        </is>
      </c>
    </row>
    <row r="225">
      <c r="A225" t="inlineStr">
        <is>
          <t>C0224</t>
        </is>
      </c>
      <c r="B225" t="inlineStr">
        <is>
          <t>Italy</t>
        </is>
      </c>
      <c r="C225" t="inlineStr">
        <is>
          <t>Tech</t>
        </is>
      </c>
      <c r="D225" t="inlineStr">
        <is>
          <t>Small</t>
        </is>
      </c>
    </row>
    <row r="226">
      <c r="A226" t="inlineStr">
        <is>
          <t>C0225</t>
        </is>
      </c>
      <c r="B226" t="inlineStr">
        <is>
          <t>Italy</t>
        </is>
      </c>
      <c r="C226" t="inlineStr">
        <is>
          <t>Finance</t>
        </is>
      </c>
      <c r="D226" t="inlineStr">
        <is>
          <t>Medium</t>
        </is>
      </c>
    </row>
    <row r="227">
      <c r="A227" t="inlineStr">
        <is>
          <t>C0226</t>
        </is>
      </c>
      <c r="B227" t="inlineStr">
        <is>
          <t>Germany</t>
        </is>
      </c>
      <c r="C227" t="inlineStr">
        <is>
          <t>Education</t>
        </is>
      </c>
      <c r="D227" t="inlineStr">
        <is>
          <t>Medium</t>
        </is>
      </c>
    </row>
    <row r="228">
      <c r="A228" t="inlineStr">
        <is>
          <t>C0227</t>
        </is>
      </c>
      <c r="B228" t="inlineStr">
        <is>
          <t>Spain</t>
        </is>
      </c>
      <c r="C228" t="inlineStr">
        <is>
          <t>Healthcare</t>
        </is>
      </c>
      <c r="D228" t="inlineStr">
        <is>
          <t>Enterprise</t>
        </is>
      </c>
    </row>
    <row r="229">
      <c r="A229" t="inlineStr">
        <is>
          <t>C0228</t>
        </is>
      </c>
      <c r="B229" t="inlineStr">
        <is>
          <t>France</t>
        </is>
      </c>
      <c r="C229" t="inlineStr">
        <is>
          <t>Healthcare</t>
        </is>
      </c>
      <c r="D229" t="inlineStr">
        <is>
          <t>Small</t>
        </is>
      </c>
    </row>
    <row r="230">
      <c r="A230" t="inlineStr">
        <is>
          <t>C0229</t>
        </is>
      </c>
      <c r="B230" t="inlineStr">
        <is>
          <t>Sweden</t>
        </is>
      </c>
      <c r="C230" t="inlineStr">
        <is>
          <t>E-commerce</t>
        </is>
      </c>
      <c r="D230" t="inlineStr">
        <is>
          <t>Small</t>
        </is>
      </c>
    </row>
    <row r="231">
      <c r="A231" t="inlineStr">
        <is>
          <t>C0230</t>
        </is>
      </c>
      <c r="B231" t="inlineStr">
        <is>
          <t>Germany</t>
        </is>
      </c>
      <c r="C231" t="inlineStr">
        <is>
          <t>Tech</t>
        </is>
      </c>
      <c r="D231" t="inlineStr">
        <is>
          <t>Small</t>
        </is>
      </c>
    </row>
    <row r="232">
      <c r="A232" t="inlineStr">
        <is>
          <t>C0231</t>
        </is>
      </c>
      <c r="B232" t="inlineStr">
        <is>
          <t>Spain</t>
        </is>
      </c>
      <c r="C232" t="inlineStr">
        <is>
          <t>Finance</t>
        </is>
      </c>
      <c r="D232" t="inlineStr">
        <is>
          <t>Enterprise</t>
        </is>
      </c>
    </row>
    <row r="233">
      <c r="A233" t="inlineStr">
        <is>
          <t>C0232</t>
        </is>
      </c>
      <c r="B233" t="inlineStr">
        <is>
          <t>Netherlands</t>
        </is>
      </c>
      <c r="C233" t="inlineStr">
        <is>
          <t>Finance</t>
        </is>
      </c>
      <c r="D233" t="inlineStr">
        <is>
          <t>Medium</t>
        </is>
      </c>
    </row>
    <row r="234">
      <c r="A234" t="inlineStr">
        <is>
          <t>C0233</t>
        </is>
      </c>
      <c r="B234" t="inlineStr">
        <is>
          <t>Spain</t>
        </is>
      </c>
      <c r="C234" t="inlineStr">
        <is>
          <t>Healthcare</t>
        </is>
      </c>
      <c r="D234" t="inlineStr">
        <is>
          <t>Small</t>
        </is>
      </c>
    </row>
    <row r="235">
      <c r="A235" t="inlineStr">
        <is>
          <t>C0234</t>
        </is>
      </c>
      <c r="B235" t="inlineStr">
        <is>
          <t>Sweden</t>
        </is>
      </c>
      <c r="C235" t="inlineStr">
        <is>
          <t>E-commerce</t>
        </is>
      </c>
      <c r="D235" t="inlineStr">
        <is>
          <t>Small</t>
        </is>
      </c>
    </row>
    <row r="236">
      <c r="A236" t="inlineStr">
        <is>
          <t>C0235</t>
        </is>
      </c>
      <c r="B236" t="inlineStr">
        <is>
          <t>Italy</t>
        </is>
      </c>
      <c r="C236" t="inlineStr">
        <is>
          <t>Education</t>
        </is>
      </c>
      <c r="D236" t="inlineStr">
        <is>
          <t>Small</t>
        </is>
      </c>
    </row>
    <row r="237">
      <c r="A237" t="inlineStr">
        <is>
          <t>C0236</t>
        </is>
      </c>
      <c r="B237" t="inlineStr">
        <is>
          <t>Sweden</t>
        </is>
      </c>
      <c r="C237" t="inlineStr">
        <is>
          <t>Healthcare</t>
        </is>
      </c>
      <c r="D237" t="inlineStr">
        <is>
          <t>Medium</t>
        </is>
      </c>
    </row>
    <row r="238">
      <c r="A238" t="inlineStr">
        <is>
          <t>C0237</t>
        </is>
      </c>
      <c r="B238" t="inlineStr">
        <is>
          <t>Germany</t>
        </is>
      </c>
      <c r="C238" t="inlineStr">
        <is>
          <t>Education</t>
        </is>
      </c>
      <c r="D238" t="inlineStr">
        <is>
          <t>Medium</t>
        </is>
      </c>
    </row>
    <row r="239">
      <c r="A239" t="inlineStr">
        <is>
          <t>C0238</t>
        </is>
      </c>
      <c r="B239" t="inlineStr">
        <is>
          <t>France</t>
        </is>
      </c>
      <c r="C239" t="inlineStr">
        <is>
          <t>Finance</t>
        </is>
      </c>
      <c r="D239" t="inlineStr">
        <is>
          <t>Enterprise</t>
        </is>
      </c>
    </row>
    <row r="240">
      <c r="A240" t="inlineStr">
        <is>
          <t>C0239</t>
        </is>
      </c>
      <c r="B240" t="inlineStr">
        <is>
          <t>Netherlands</t>
        </is>
      </c>
      <c r="C240" t="inlineStr">
        <is>
          <t>Tech</t>
        </is>
      </c>
      <c r="D240" t="inlineStr">
        <is>
          <t>Small</t>
        </is>
      </c>
    </row>
    <row r="241">
      <c r="A241" t="inlineStr">
        <is>
          <t>C0240</t>
        </is>
      </c>
      <c r="B241" t="inlineStr">
        <is>
          <t>Spain</t>
        </is>
      </c>
      <c r="C241" t="inlineStr">
        <is>
          <t>Education</t>
        </is>
      </c>
      <c r="D241" t="inlineStr">
        <is>
          <t>Medium</t>
        </is>
      </c>
    </row>
    <row r="242">
      <c r="A242" t="inlineStr">
        <is>
          <t>C0241</t>
        </is>
      </c>
      <c r="B242" t="inlineStr">
        <is>
          <t>Italy</t>
        </is>
      </c>
      <c r="C242" t="inlineStr">
        <is>
          <t>E-commerce</t>
        </is>
      </c>
      <c r="D242" t="inlineStr">
        <is>
          <t>Medium</t>
        </is>
      </c>
    </row>
    <row r="243">
      <c r="A243" t="inlineStr">
        <is>
          <t>C0242</t>
        </is>
      </c>
      <c r="B243" t="inlineStr">
        <is>
          <t>Germany</t>
        </is>
      </c>
      <c r="C243" t="inlineStr">
        <is>
          <t>Education</t>
        </is>
      </c>
      <c r="D243" t="inlineStr">
        <is>
          <t>Enterprise</t>
        </is>
      </c>
    </row>
    <row r="244">
      <c r="A244" t="inlineStr">
        <is>
          <t>C0243</t>
        </is>
      </c>
      <c r="B244" t="inlineStr">
        <is>
          <t>Spain</t>
        </is>
      </c>
      <c r="C244" t="inlineStr">
        <is>
          <t>Finance</t>
        </is>
      </c>
      <c r="D244" t="inlineStr">
        <is>
          <t>Large</t>
        </is>
      </c>
    </row>
    <row r="245">
      <c r="A245" t="inlineStr">
        <is>
          <t>C0244</t>
        </is>
      </c>
      <c r="B245" t="inlineStr">
        <is>
          <t>Netherlands</t>
        </is>
      </c>
      <c r="C245" t="inlineStr">
        <is>
          <t>E-commerce</t>
        </is>
      </c>
      <c r="D245" t="inlineStr">
        <is>
          <t>Medium</t>
        </is>
      </c>
    </row>
    <row r="246">
      <c r="A246" t="inlineStr">
        <is>
          <t>C0245</t>
        </is>
      </c>
      <c r="B246" t="inlineStr">
        <is>
          <t>Netherlands</t>
        </is>
      </c>
      <c r="C246" t="inlineStr">
        <is>
          <t>Healthcare</t>
        </is>
      </c>
      <c r="D246" t="inlineStr">
        <is>
          <t>Enterprise</t>
        </is>
      </c>
    </row>
    <row r="247">
      <c r="A247" t="inlineStr">
        <is>
          <t>C0246</t>
        </is>
      </c>
      <c r="B247" t="inlineStr">
        <is>
          <t>France</t>
        </is>
      </c>
      <c r="C247" t="inlineStr">
        <is>
          <t>Tech</t>
        </is>
      </c>
      <c r="D247" t="inlineStr">
        <is>
          <t>Large</t>
        </is>
      </c>
    </row>
    <row r="248">
      <c r="A248" t="inlineStr">
        <is>
          <t>C0247</t>
        </is>
      </c>
      <c r="B248" t="inlineStr">
        <is>
          <t>Sweden</t>
        </is>
      </c>
      <c r="C248" t="inlineStr">
        <is>
          <t>Retail</t>
        </is>
      </c>
      <c r="D248" t="inlineStr">
        <is>
          <t>Medium</t>
        </is>
      </c>
    </row>
    <row r="249">
      <c r="A249" t="inlineStr">
        <is>
          <t>C0248</t>
        </is>
      </c>
      <c r="B249" t="inlineStr">
        <is>
          <t>Spain</t>
        </is>
      </c>
      <c r="C249" t="inlineStr">
        <is>
          <t>Education</t>
        </is>
      </c>
      <c r="D249" t="inlineStr">
        <is>
          <t>Enterprise</t>
        </is>
      </c>
    </row>
    <row r="250">
      <c r="A250" t="inlineStr">
        <is>
          <t>C0249</t>
        </is>
      </c>
      <c r="B250" t="inlineStr">
        <is>
          <t>Italy</t>
        </is>
      </c>
      <c r="C250" t="inlineStr">
        <is>
          <t>E-commerce</t>
        </is>
      </c>
      <c r="D250" t="inlineStr">
        <is>
          <t>Enterprise</t>
        </is>
      </c>
    </row>
    <row r="251">
      <c r="A251" t="inlineStr">
        <is>
          <t>C0250</t>
        </is>
      </c>
      <c r="B251" t="inlineStr">
        <is>
          <t>France</t>
        </is>
      </c>
      <c r="C251" t="inlineStr">
        <is>
          <t>Tech</t>
        </is>
      </c>
      <c r="D251" t="inlineStr">
        <is>
          <t>Enterprise</t>
        </is>
      </c>
    </row>
    <row r="252">
      <c r="A252" t="inlineStr">
        <is>
          <t>C0251</t>
        </is>
      </c>
      <c r="B252" t="inlineStr">
        <is>
          <t>Germany</t>
        </is>
      </c>
      <c r="C252" t="inlineStr">
        <is>
          <t>Healthcare</t>
        </is>
      </c>
      <c r="D252" t="inlineStr">
        <is>
          <t>Large</t>
        </is>
      </c>
    </row>
    <row r="253">
      <c r="A253" t="inlineStr">
        <is>
          <t>C0252</t>
        </is>
      </c>
      <c r="B253" t="inlineStr">
        <is>
          <t>Netherlands</t>
        </is>
      </c>
      <c r="C253" t="inlineStr">
        <is>
          <t>Finance</t>
        </is>
      </c>
      <c r="D253" t="inlineStr">
        <is>
          <t>Medium</t>
        </is>
      </c>
    </row>
    <row r="254">
      <c r="A254" t="inlineStr">
        <is>
          <t>C0253</t>
        </is>
      </c>
      <c r="B254" t="inlineStr">
        <is>
          <t>France</t>
        </is>
      </c>
      <c r="C254" t="inlineStr">
        <is>
          <t>Retail</t>
        </is>
      </c>
      <c r="D254" t="inlineStr">
        <is>
          <t>Small</t>
        </is>
      </c>
    </row>
    <row r="255">
      <c r="A255" t="inlineStr">
        <is>
          <t>C0254</t>
        </is>
      </c>
      <c r="B255" t="inlineStr">
        <is>
          <t>Italy</t>
        </is>
      </c>
      <c r="C255" t="inlineStr">
        <is>
          <t>Healthcare</t>
        </is>
      </c>
      <c r="D255" t="inlineStr">
        <is>
          <t>Medium</t>
        </is>
      </c>
    </row>
    <row r="256">
      <c r="A256" t="inlineStr">
        <is>
          <t>C0255</t>
        </is>
      </c>
      <c r="B256" t="inlineStr">
        <is>
          <t>Netherlands</t>
        </is>
      </c>
      <c r="C256" t="inlineStr">
        <is>
          <t>Healthcare</t>
        </is>
      </c>
      <c r="D256" t="inlineStr">
        <is>
          <t>Large</t>
        </is>
      </c>
    </row>
    <row r="257">
      <c r="A257" t="inlineStr">
        <is>
          <t>C0256</t>
        </is>
      </c>
      <c r="B257" t="inlineStr">
        <is>
          <t>Italy</t>
        </is>
      </c>
      <c r="C257" t="inlineStr">
        <is>
          <t>Retail</t>
        </is>
      </c>
      <c r="D257" t="inlineStr">
        <is>
          <t>Large</t>
        </is>
      </c>
    </row>
    <row r="258">
      <c r="A258" t="inlineStr">
        <is>
          <t>C0257</t>
        </is>
      </c>
      <c r="B258" t="inlineStr">
        <is>
          <t>Spain</t>
        </is>
      </c>
      <c r="C258" t="inlineStr">
        <is>
          <t>Retail</t>
        </is>
      </c>
      <c r="D258" t="inlineStr">
        <is>
          <t>Enterprise</t>
        </is>
      </c>
    </row>
    <row r="259">
      <c r="A259" t="inlineStr">
        <is>
          <t>C0258</t>
        </is>
      </c>
      <c r="B259" t="inlineStr">
        <is>
          <t>Netherlands</t>
        </is>
      </c>
      <c r="C259" t="inlineStr">
        <is>
          <t>Education</t>
        </is>
      </c>
      <c r="D259" t="inlineStr">
        <is>
          <t>Enterprise</t>
        </is>
      </c>
    </row>
    <row r="260">
      <c r="A260" t="inlineStr">
        <is>
          <t>C0259</t>
        </is>
      </c>
      <c r="B260" t="inlineStr">
        <is>
          <t>Sweden</t>
        </is>
      </c>
      <c r="C260" t="inlineStr">
        <is>
          <t>Tech</t>
        </is>
      </c>
      <c r="D260" t="inlineStr">
        <is>
          <t>Medium</t>
        </is>
      </c>
    </row>
    <row r="261">
      <c r="A261" t="inlineStr">
        <is>
          <t>C0260</t>
        </is>
      </c>
      <c r="B261" t="inlineStr">
        <is>
          <t>France</t>
        </is>
      </c>
      <c r="C261" t="inlineStr">
        <is>
          <t>Finance</t>
        </is>
      </c>
      <c r="D261" t="inlineStr">
        <is>
          <t>Small</t>
        </is>
      </c>
    </row>
    <row r="262">
      <c r="A262" t="inlineStr">
        <is>
          <t>C0261</t>
        </is>
      </c>
      <c r="B262" t="inlineStr">
        <is>
          <t>Germany</t>
        </is>
      </c>
      <c r="C262" t="inlineStr">
        <is>
          <t>Retail</t>
        </is>
      </c>
      <c r="D262" t="inlineStr">
        <is>
          <t>Large</t>
        </is>
      </c>
    </row>
    <row r="263">
      <c r="A263" t="inlineStr">
        <is>
          <t>C0262</t>
        </is>
      </c>
      <c r="B263" t="inlineStr">
        <is>
          <t>Netherlands</t>
        </is>
      </c>
      <c r="C263" t="inlineStr">
        <is>
          <t>Finance</t>
        </is>
      </c>
      <c r="D263" t="inlineStr">
        <is>
          <t>Medium</t>
        </is>
      </c>
    </row>
    <row r="264">
      <c r="A264" t="inlineStr">
        <is>
          <t>C0263</t>
        </is>
      </c>
      <c r="B264" t="inlineStr">
        <is>
          <t>Netherlands</t>
        </is>
      </c>
      <c r="C264" t="inlineStr">
        <is>
          <t>Finance</t>
        </is>
      </c>
      <c r="D264" t="inlineStr">
        <is>
          <t>Enterprise</t>
        </is>
      </c>
    </row>
    <row r="265">
      <c r="A265" t="inlineStr">
        <is>
          <t>C0264</t>
        </is>
      </c>
      <c r="B265" t="inlineStr">
        <is>
          <t>Netherlands</t>
        </is>
      </c>
      <c r="C265" t="inlineStr">
        <is>
          <t>Finance</t>
        </is>
      </c>
      <c r="D265" t="inlineStr">
        <is>
          <t>Enterprise</t>
        </is>
      </c>
    </row>
    <row r="266">
      <c r="A266" t="inlineStr">
        <is>
          <t>C0265</t>
        </is>
      </c>
      <c r="B266" t="inlineStr">
        <is>
          <t>Italy</t>
        </is>
      </c>
      <c r="C266" t="inlineStr">
        <is>
          <t>Retail</t>
        </is>
      </c>
      <c r="D266" t="inlineStr">
        <is>
          <t>Enterprise</t>
        </is>
      </c>
    </row>
    <row r="267">
      <c r="A267" t="inlineStr">
        <is>
          <t>C0266</t>
        </is>
      </c>
      <c r="B267" t="inlineStr">
        <is>
          <t>Germany</t>
        </is>
      </c>
      <c r="C267" t="inlineStr">
        <is>
          <t>Retail</t>
        </is>
      </c>
      <c r="D267" t="inlineStr">
        <is>
          <t>Small</t>
        </is>
      </c>
    </row>
    <row r="268">
      <c r="A268" t="inlineStr">
        <is>
          <t>C0267</t>
        </is>
      </c>
      <c r="B268" t="inlineStr">
        <is>
          <t>Italy</t>
        </is>
      </c>
      <c r="C268" t="inlineStr">
        <is>
          <t>E-commerce</t>
        </is>
      </c>
      <c r="D268" t="inlineStr">
        <is>
          <t>Enterprise</t>
        </is>
      </c>
    </row>
    <row r="269">
      <c r="A269" t="inlineStr">
        <is>
          <t>C0268</t>
        </is>
      </c>
      <c r="B269" t="inlineStr">
        <is>
          <t>Sweden</t>
        </is>
      </c>
      <c r="C269" t="inlineStr">
        <is>
          <t>E-commerce</t>
        </is>
      </c>
      <c r="D269" t="inlineStr">
        <is>
          <t>Small</t>
        </is>
      </c>
    </row>
    <row r="270">
      <c r="A270" t="inlineStr">
        <is>
          <t>C0269</t>
        </is>
      </c>
      <c r="B270" t="inlineStr">
        <is>
          <t>Netherlands</t>
        </is>
      </c>
      <c r="C270" t="inlineStr">
        <is>
          <t>Education</t>
        </is>
      </c>
      <c r="D270" t="inlineStr">
        <is>
          <t>Enterprise</t>
        </is>
      </c>
    </row>
    <row r="271">
      <c r="A271" t="inlineStr">
        <is>
          <t>C0270</t>
        </is>
      </c>
      <c r="B271" t="inlineStr">
        <is>
          <t>Netherlands</t>
        </is>
      </c>
      <c r="C271" t="inlineStr">
        <is>
          <t>Healthcare</t>
        </is>
      </c>
      <c r="D271" t="inlineStr">
        <is>
          <t>Enterprise</t>
        </is>
      </c>
    </row>
    <row r="272">
      <c r="A272" t="inlineStr">
        <is>
          <t>C0271</t>
        </is>
      </c>
      <c r="B272" t="inlineStr">
        <is>
          <t>France</t>
        </is>
      </c>
      <c r="C272" t="inlineStr">
        <is>
          <t>Tech</t>
        </is>
      </c>
      <c r="D272" t="inlineStr">
        <is>
          <t>Enterprise</t>
        </is>
      </c>
    </row>
    <row r="273">
      <c r="A273" t="inlineStr">
        <is>
          <t>C0272</t>
        </is>
      </c>
      <c r="B273" t="inlineStr">
        <is>
          <t>Netherlands</t>
        </is>
      </c>
      <c r="C273" t="inlineStr">
        <is>
          <t>Healthcare</t>
        </is>
      </c>
      <c r="D273" t="inlineStr">
        <is>
          <t>Enterprise</t>
        </is>
      </c>
    </row>
    <row r="274">
      <c r="A274" t="inlineStr">
        <is>
          <t>C0273</t>
        </is>
      </c>
      <c r="B274" t="inlineStr">
        <is>
          <t>France</t>
        </is>
      </c>
      <c r="C274" t="inlineStr">
        <is>
          <t>Education</t>
        </is>
      </c>
      <c r="D274" t="inlineStr">
        <is>
          <t>Large</t>
        </is>
      </c>
    </row>
    <row r="275">
      <c r="A275" t="inlineStr">
        <is>
          <t>C0274</t>
        </is>
      </c>
      <c r="B275" t="inlineStr">
        <is>
          <t>Sweden</t>
        </is>
      </c>
      <c r="C275" t="inlineStr">
        <is>
          <t>Finance</t>
        </is>
      </c>
      <c r="D275" t="inlineStr">
        <is>
          <t>Enterprise</t>
        </is>
      </c>
    </row>
    <row r="276">
      <c r="A276" t="inlineStr">
        <is>
          <t>C0275</t>
        </is>
      </c>
      <c r="B276" t="inlineStr">
        <is>
          <t>France</t>
        </is>
      </c>
      <c r="C276" t="inlineStr">
        <is>
          <t>Healthcare</t>
        </is>
      </c>
      <c r="D276" t="inlineStr">
        <is>
          <t>Small</t>
        </is>
      </c>
    </row>
    <row r="277">
      <c r="A277" t="inlineStr">
        <is>
          <t>C0276</t>
        </is>
      </c>
      <c r="B277" t="inlineStr">
        <is>
          <t>Spain</t>
        </is>
      </c>
      <c r="C277" t="inlineStr">
        <is>
          <t>E-commerce</t>
        </is>
      </c>
      <c r="D277" t="inlineStr">
        <is>
          <t>Large</t>
        </is>
      </c>
    </row>
    <row r="278">
      <c r="A278" t="inlineStr">
        <is>
          <t>C0277</t>
        </is>
      </c>
      <c r="B278" t="inlineStr">
        <is>
          <t>Netherlands</t>
        </is>
      </c>
      <c r="C278" t="inlineStr">
        <is>
          <t>Healthcare</t>
        </is>
      </c>
      <c r="D278" t="inlineStr">
        <is>
          <t>Enterprise</t>
        </is>
      </c>
    </row>
    <row r="279">
      <c r="A279" t="inlineStr">
        <is>
          <t>C0278</t>
        </is>
      </c>
      <c r="B279" t="inlineStr">
        <is>
          <t>Spain</t>
        </is>
      </c>
      <c r="C279" t="inlineStr">
        <is>
          <t>E-commerce</t>
        </is>
      </c>
      <c r="D279" t="inlineStr">
        <is>
          <t>Large</t>
        </is>
      </c>
    </row>
    <row r="280">
      <c r="A280" t="inlineStr">
        <is>
          <t>C0279</t>
        </is>
      </c>
      <c r="B280" t="inlineStr">
        <is>
          <t>Germany</t>
        </is>
      </c>
      <c r="C280" t="inlineStr">
        <is>
          <t>Retail</t>
        </is>
      </c>
      <c r="D280" t="inlineStr">
        <is>
          <t>Medium</t>
        </is>
      </c>
    </row>
    <row r="281">
      <c r="A281" t="inlineStr">
        <is>
          <t>C0280</t>
        </is>
      </c>
      <c r="B281" t="inlineStr">
        <is>
          <t>Sweden</t>
        </is>
      </c>
      <c r="C281" t="inlineStr">
        <is>
          <t>Education</t>
        </is>
      </c>
      <c r="D281" t="inlineStr">
        <is>
          <t>Small</t>
        </is>
      </c>
    </row>
    <row r="282">
      <c r="A282" t="inlineStr">
        <is>
          <t>C0281</t>
        </is>
      </c>
      <c r="B282" t="inlineStr">
        <is>
          <t>Italy</t>
        </is>
      </c>
      <c r="C282" t="inlineStr">
        <is>
          <t>Tech</t>
        </is>
      </c>
      <c r="D282" t="inlineStr">
        <is>
          <t>Small</t>
        </is>
      </c>
    </row>
    <row r="283">
      <c r="A283" t="inlineStr">
        <is>
          <t>C0282</t>
        </is>
      </c>
      <c r="B283" t="inlineStr">
        <is>
          <t>Spain</t>
        </is>
      </c>
      <c r="C283" t="inlineStr">
        <is>
          <t>E-commerce</t>
        </is>
      </c>
      <c r="D283" t="inlineStr">
        <is>
          <t>Small</t>
        </is>
      </c>
    </row>
    <row r="284">
      <c r="A284" t="inlineStr">
        <is>
          <t>C0283</t>
        </is>
      </c>
      <c r="B284" t="inlineStr">
        <is>
          <t>Italy</t>
        </is>
      </c>
      <c r="C284" t="inlineStr">
        <is>
          <t>Education</t>
        </is>
      </c>
      <c r="D284" t="inlineStr">
        <is>
          <t>Medium</t>
        </is>
      </c>
    </row>
    <row r="285">
      <c r="A285" t="inlineStr">
        <is>
          <t>C0284</t>
        </is>
      </c>
      <c r="B285" t="inlineStr">
        <is>
          <t>Italy</t>
        </is>
      </c>
      <c r="C285" t="inlineStr">
        <is>
          <t>Tech</t>
        </is>
      </c>
      <c r="D285" t="inlineStr">
        <is>
          <t>Medium</t>
        </is>
      </c>
    </row>
    <row r="286">
      <c r="A286" t="inlineStr">
        <is>
          <t>C0285</t>
        </is>
      </c>
      <c r="B286" t="inlineStr">
        <is>
          <t>Spain</t>
        </is>
      </c>
      <c r="C286" t="inlineStr">
        <is>
          <t>Finance</t>
        </is>
      </c>
      <c r="D286" t="inlineStr">
        <is>
          <t>Large</t>
        </is>
      </c>
    </row>
    <row r="287">
      <c r="A287" t="inlineStr">
        <is>
          <t>C0286</t>
        </is>
      </c>
      <c r="B287" t="inlineStr">
        <is>
          <t>Italy</t>
        </is>
      </c>
      <c r="C287" t="inlineStr">
        <is>
          <t>Retail</t>
        </is>
      </c>
      <c r="D287" t="inlineStr">
        <is>
          <t>Large</t>
        </is>
      </c>
    </row>
    <row r="288">
      <c r="A288" t="inlineStr">
        <is>
          <t>C0287</t>
        </is>
      </c>
      <c r="B288" t="inlineStr">
        <is>
          <t>Spain</t>
        </is>
      </c>
      <c r="C288" t="inlineStr">
        <is>
          <t>Tech</t>
        </is>
      </c>
      <c r="D288" t="inlineStr">
        <is>
          <t>Medium</t>
        </is>
      </c>
    </row>
    <row r="289">
      <c r="A289" t="inlineStr">
        <is>
          <t>C0288</t>
        </is>
      </c>
      <c r="B289" t="inlineStr">
        <is>
          <t>Netherlands</t>
        </is>
      </c>
      <c r="C289" t="inlineStr">
        <is>
          <t>Tech</t>
        </is>
      </c>
      <c r="D289" t="inlineStr">
        <is>
          <t>Enterprise</t>
        </is>
      </c>
    </row>
    <row r="290">
      <c r="A290" t="inlineStr">
        <is>
          <t>C0289</t>
        </is>
      </c>
      <c r="B290" t="inlineStr">
        <is>
          <t>Germany</t>
        </is>
      </c>
      <c r="C290" t="inlineStr">
        <is>
          <t>Education</t>
        </is>
      </c>
      <c r="D290" t="inlineStr">
        <is>
          <t>Small</t>
        </is>
      </c>
    </row>
    <row r="291">
      <c r="A291" t="inlineStr">
        <is>
          <t>C0290</t>
        </is>
      </c>
      <c r="B291" t="inlineStr">
        <is>
          <t>Italy</t>
        </is>
      </c>
      <c r="C291" t="inlineStr">
        <is>
          <t>Education</t>
        </is>
      </c>
      <c r="D291" t="inlineStr">
        <is>
          <t>Medium</t>
        </is>
      </c>
    </row>
    <row r="292">
      <c r="A292" t="inlineStr">
        <is>
          <t>C0291</t>
        </is>
      </c>
      <c r="B292" t="inlineStr">
        <is>
          <t>Sweden</t>
        </is>
      </c>
      <c r="C292" t="inlineStr">
        <is>
          <t>Tech</t>
        </is>
      </c>
      <c r="D292" t="inlineStr">
        <is>
          <t>Small</t>
        </is>
      </c>
    </row>
    <row r="293">
      <c r="A293" t="inlineStr">
        <is>
          <t>C0292</t>
        </is>
      </c>
      <c r="B293" t="inlineStr">
        <is>
          <t>Sweden</t>
        </is>
      </c>
      <c r="C293" t="inlineStr">
        <is>
          <t>Education</t>
        </is>
      </c>
      <c r="D293" t="inlineStr">
        <is>
          <t>Large</t>
        </is>
      </c>
    </row>
    <row r="294">
      <c r="A294" t="inlineStr">
        <is>
          <t>C0293</t>
        </is>
      </c>
      <c r="B294" t="inlineStr">
        <is>
          <t>Italy</t>
        </is>
      </c>
      <c r="C294" t="inlineStr">
        <is>
          <t>E-commerce</t>
        </is>
      </c>
      <c r="D294" t="inlineStr">
        <is>
          <t>Enterprise</t>
        </is>
      </c>
    </row>
    <row r="295">
      <c r="A295" t="inlineStr">
        <is>
          <t>C0294</t>
        </is>
      </c>
      <c r="B295" t="inlineStr">
        <is>
          <t>Germany</t>
        </is>
      </c>
      <c r="C295" t="inlineStr">
        <is>
          <t>Healthcare</t>
        </is>
      </c>
      <c r="D295" t="inlineStr">
        <is>
          <t>Medium</t>
        </is>
      </c>
    </row>
    <row r="296">
      <c r="A296" t="inlineStr">
        <is>
          <t>C0295</t>
        </is>
      </c>
      <c r="B296" t="inlineStr">
        <is>
          <t>Spain</t>
        </is>
      </c>
      <c r="C296" t="inlineStr">
        <is>
          <t>Healthcare</t>
        </is>
      </c>
      <c r="D296" t="inlineStr">
        <is>
          <t>Small</t>
        </is>
      </c>
    </row>
    <row r="297">
      <c r="A297" t="inlineStr">
        <is>
          <t>C0296</t>
        </is>
      </c>
      <c r="B297" t="inlineStr">
        <is>
          <t>Netherlands</t>
        </is>
      </c>
      <c r="C297" t="inlineStr">
        <is>
          <t>Healthcare</t>
        </is>
      </c>
      <c r="D297" t="inlineStr">
        <is>
          <t>Small</t>
        </is>
      </c>
    </row>
    <row r="298">
      <c r="A298" t="inlineStr">
        <is>
          <t>C0297</t>
        </is>
      </c>
      <c r="B298" t="inlineStr">
        <is>
          <t>France</t>
        </is>
      </c>
      <c r="C298" t="inlineStr">
        <is>
          <t>E-commerce</t>
        </is>
      </c>
      <c r="D298" t="inlineStr">
        <is>
          <t>Medium</t>
        </is>
      </c>
    </row>
    <row r="299">
      <c r="A299" t="inlineStr">
        <is>
          <t>C0298</t>
        </is>
      </c>
      <c r="B299" t="inlineStr">
        <is>
          <t>Sweden</t>
        </is>
      </c>
      <c r="C299" t="inlineStr">
        <is>
          <t>Retail</t>
        </is>
      </c>
      <c r="D299" t="inlineStr">
        <is>
          <t>Large</t>
        </is>
      </c>
    </row>
    <row r="300">
      <c r="A300" t="inlineStr">
        <is>
          <t>C0299</t>
        </is>
      </c>
      <c r="B300" t="inlineStr">
        <is>
          <t>Italy</t>
        </is>
      </c>
      <c r="C300" t="inlineStr">
        <is>
          <t>Healthcare</t>
        </is>
      </c>
      <c r="D300" t="inlineStr">
        <is>
          <t>Enterprise</t>
        </is>
      </c>
    </row>
    <row r="301">
      <c r="A301" t="inlineStr">
        <is>
          <t>C0300</t>
        </is>
      </c>
      <c r="B301" t="inlineStr">
        <is>
          <t>Germany</t>
        </is>
      </c>
      <c r="C301" t="inlineStr">
        <is>
          <t>E-commerce</t>
        </is>
      </c>
      <c r="D301" t="inlineStr">
        <is>
          <t>Small</t>
        </is>
      </c>
    </row>
    <row r="302">
      <c r="A302" t="inlineStr">
        <is>
          <t>C0301</t>
        </is>
      </c>
      <c r="B302" t="inlineStr">
        <is>
          <t>Germany</t>
        </is>
      </c>
      <c r="C302" t="inlineStr">
        <is>
          <t>Tech</t>
        </is>
      </c>
      <c r="D302" t="inlineStr">
        <is>
          <t>Small</t>
        </is>
      </c>
    </row>
    <row r="303">
      <c r="A303" t="inlineStr">
        <is>
          <t>C0302</t>
        </is>
      </c>
      <c r="B303" t="inlineStr">
        <is>
          <t>Sweden</t>
        </is>
      </c>
      <c r="C303" t="inlineStr">
        <is>
          <t>Retail</t>
        </is>
      </c>
      <c r="D303" t="inlineStr">
        <is>
          <t>Large</t>
        </is>
      </c>
    </row>
    <row r="304">
      <c r="A304" t="inlineStr">
        <is>
          <t>C0303</t>
        </is>
      </c>
      <c r="B304" t="inlineStr">
        <is>
          <t>Italy</t>
        </is>
      </c>
      <c r="C304" t="inlineStr">
        <is>
          <t>Healthcare</t>
        </is>
      </c>
      <c r="D304" t="inlineStr">
        <is>
          <t>Small</t>
        </is>
      </c>
    </row>
    <row r="305">
      <c r="A305" t="inlineStr">
        <is>
          <t>C0304</t>
        </is>
      </c>
      <c r="B305" t="inlineStr">
        <is>
          <t>France</t>
        </is>
      </c>
      <c r="C305" t="inlineStr">
        <is>
          <t>E-commerce</t>
        </is>
      </c>
      <c r="D305" t="inlineStr">
        <is>
          <t>Medium</t>
        </is>
      </c>
    </row>
    <row r="306">
      <c r="A306" t="inlineStr">
        <is>
          <t>C0305</t>
        </is>
      </c>
      <c r="B306" t="inlineStr">
        <is>
          <t>Spain</t>
        </is>
      </c>
      <c r="C306" t="inlineStr">
        <is>
          <t>Retail</t>
        </is>
      </c>
      <c r="D306" t="inlineStr">
        <is>
          <t>Small</t>
        </is>
      </c>
    </row>
    <row r="307">
      <c r="A307" t="inlineStr">
        <is>
          <t>C0306</t>
        </is>
      </c>
      <c r="B307" t="inlineStr">
        <is>
          <t>Sweden</t>
        </is>
      </c>
      <c r="C307" t="inlineStr">
        <is>
          <t>Healthcare</t>
        </is>
      </c>
      <c r="D307" t="inlineStr">
        <is>
          <t>Small</t>
        </is>
      </c>
    </row>
    <row r="308">
      <c r="A308" t="inlineStr">
        <is>
          <t>C0307</t>
        </is>
      </c>
      <c r="B308" t="inlineStr">
        <is>
          <t>Spain</t>
        </is>
      </c>
      <c r="C308" t="inlineStr">
        <is>
          <t>Retail</t>
        </is>
      </c>
      <c r="D308" t="inlineStr">
        <is>
          <t>Large</t>
        </is>
      </c>
    </row>
    <row r="309">
      <c r="A309" t="inlineStr">
        <is>
          <t>C0308</t>
        </is>
      </c>
      <c r="B309" t="inlineStr">
        <is>
          <t>Netherlands</t>
        </is>
      </c>
      <c r="C309" t="inlineStr">
        <is>
          <t>Healthcare</t>
        </is>
      </c>
      <c r="D309" t="inlineStr">
        <is>
          <t>Enterprise</t>
        </is>
      </c>
    </row>
    <row r="310">
      <c r="A310" t="inlineStr">
        <is>
          <t>C0309</t>
        </is>
      </c>
      <c r="B310" t="inlineStr">
        <is>
          <t>Spain</t>
        </is>
      </c>
      <c r="C310" t="inlineStr">
        <is>
          <t>Education</t>
        </is>
      </c>
      <c r="D310" t="inlineStr">
        <is>
          <t>Medium</t>
        </is>
      </c>
    </row>
    <row r="311">
      <c r="A311" t="inlineStr">
        <is>
          <t>C0310</t>
        </is>
      </c>
      <c r="B311" t="inlineStr">
        <is>
          <t>Germany</t>
        </is>
      </c>
      <c r="C311" t="inlineStr">
        <is>
          <t>Education</t>
        </is>
      </c>
      <c r="D311" t="inlineStr">
        <is>
          <t>Large</t>
        </is>
      </c>
    </row>
    <row r="312">
      <c r="A312" t="inlineStr">
        <is>
          <t>C0311</t>
        </is>
      </c>
      <c r="B312" t="inlineStr">
        <is>
          <t>Spain</t>
        </is>
      </c>
      <c r="C312" t="inlineStr">
        <is>
          <t>Finance</t>
        </is>
      </c>
      <c r="D312" t="inlineStr">
        <is>
          <t>Small</t>
        </is>
      </c>
    </row>
    <row r="313">
      <c r="A313" t="inlineStr">
        <is>
          <t>C0312</t>
        </is>
      </c>
      <c r="B313" t="inlineStr">
        <is>
          <t>France</t>
        </is>
      </c>
      <c r="C313" t="inlineStr">
        <is>
          <t>Education</t>
        </is>
      </c>
      <c r="D313" t="inlineStr">
        <is>
          <t>Large</t>
        </is>
      </c>
    </row>
    <row r="314">
      <c r="A314" t="inlineStr">
        <is>
          <t>C0313</t>
        </is>
      </c>
      <c r="B314" t="inlineStr">
        <is>
          <t>Sweden</t>
        </is>
      </c>
      <c r="C314" t="inlineStr">
        <is>
          <t>E-commerce</t>
        </is>
      </c>
      <c r="D314" t="inlineStr">
        <is>
          <t>Enterprise</t>
        </is>
      </c>
    </row>
    <row r="315">
      <c r="A315" t="inlineStr">
        <is>
          <t>C0314</t>
        </is>
      </c>
      <c r="B315" t="inlineStr">
        <is>
          <t>Italy</t>
        </is>
      </c>
      <c r="C315" t="inlineStr">
        <is>
          <t>Finance</t>
        </is>
      </c>
      <c r="D315" t="inlineStr">
        <is>
          <t>Small</t>
        </is>
      </c>
    </row>
    <row r="316">
      <c r="A316" t="inlineStr">
        <is>
          <t>C0315</t>
        </is>
      </c>
      <c r="B316" t="inlineStr">
        <is>
          <t>Spain</t>
        </is>
      </c>
      <c r="C316" t="inlineStr">
        <is>
          <t>Education</t>
        </is>
      </c>
      <c r="D316" t="inlineStr">
        <is>
          <t>Medium</t>
        </is>
      </c>
    </row>
    <row r="317">
      <c r="A317" t="inlineStr">
        <is>
          <t>C0316</t>
        </is>
      </c>
      <c r="B317" t="inlineStr">
        <is>
          <t>Spain</t>
        </is>
      </c>
      <c r="C317" t="inlineStr">
        <is>
          <t>E-commerce</t>
        </is>
      </c>
      <c r="D317" t="inlineStr">
        <is>
          <t>Small</t>
        </is>
      </c>
    </row>
    <row r="318">
      <c r="A318" t="inlineStr">
        <is>
          <t>C0317</t>
        </is>
      </c>
      <c r="B318" t="inlineStr">
        <is>
          <t>Netherlands</t>
        </is>
      </c>
      <c r="C318" t="inlineStr">
        <is>
          <t>E-commerce</t>
        </is>
      </c>
      <c r="D318" t="inlineStr">
        <is>
          <t>Enterprise</t>
        </is>
      </c>
    </row>
    <row r="319">
      <c r="A319" t="inlineStr">
        <is>
          <t>C0318</t>
        </is>
      </c>
      <c r="B319" t="inlineStr">
        <is>
          <t>Italy</t>
        </is>
      </c>
      <c r="C319" t="inlineStr">
        <is>
          <t>Education</t>
        </is>
      </c>
      <c r="D319" t="inlineStr">
        <is>
          <t>Large</t>
        </is>
      </c>
    </row>
    <row r="320">
      <c r="A320" t="inlineStr">
        <is>
          <t>C0319</t>
        </is>
      </c>
      <c r="B320" t="inlineStr">
        <is>
          <t>Italy</t>
        </is>
      </c>
      <c r="C320" t="inlineStr">
        <is>
          <t>Retail</t>
        </is>
      </c>
      <c r="D320" t="inlineStr">
        <is>
          <t>Small</t>
        </is>
      </c>
    </row>
    <row r="321">
      <c r="A321" t="inlineStr">
        <is>
          <t>C0320</t>
        </is>
      </c>
      <c r="B321" t="inlineStr">
        <is>
          <t>France</t>
        </is>
      </c>
      <c r="C321" t="inlineStr">
        <is>
          <t>Finance</t>
        </is>
      </c>
      <c r="D321" t="inlineStr">
        <is>
          <t>Small</t>
        </is>
      </c>
    </row>
    <row r="322">
      <c r="A322" t="inlineStr">
        <is>
          <t>C0321</t>
        </is>
      </c>
      <c r="B322" t="inlineStr">
        <is>
          <t>Italy</t>
        </is>
      </c>
      <c r="C322" t="inlineStr">
        <is>
          <t>Finance</t>
        </is>
      </c>
      <c r="D322" t="inlineStr">
        <is>
          <t>Small</t>
        </is>
      </c>
    </row>
    <row r="323">
      <c r="A323" t="inlineStr">
        <is>
          <t>C0322</t>
        </is>
      </c>
      <c r="B323" t="inlineStr">
        <is>
          <t>Netherlands</t>
        </is>
      </c>
      <c r="C323" t="inlineStr">
        <is>
          <t>Healthcare</t>
        </is>
      </c>
      <c r="D323" t="inlineStr">
        <is>
          <t>Medium</t>
        </is>
      </c>
    </row>
    <row r="324">
      <c r="A324" t="inlineStr">
        <is>
          <t>C0323</t>
        </is>
      </c>
      <c r="B324" t="inlineStr">
        <is>
          <t>Italy</t>
        </is>
      </c>
      <c r="C324" t="inlineStr">
        <is>
          <t>Retail</t>
        </is>
      </c>
      <c r="D324" t="inlineStr">
        <is>
          <t>Small</t>
        </is>
      </c>
    </row>
    <row r="325">
      <c r="A325" t="inlineStr">
        <is>
          <t>C0324</t>
        </is>
      </c>
      <c r="B325" t="inlineStr">
        <is>
          <t>Spain</t>
        </is>
      </c>
      <c r="C325" t="inlineStr">
        <is>
          <t>Tech</t>
        </is>
      </c>
      <c r="D325" t="inlineStr">
        <is>
          <t>Small</t>
        </is>
      </c>
    </row>
    <row r="326">
      <c r="A326" t="inlineStr">
        <is>
          <t>C0325</t>
        </is>
      </c>
      <c r="B326" t="inlineStr">
        <is>
          <t>Sweden</t>
        </is>
      </c>
      <c r="C326" t="inlineStr">
        <is>
          <t>Retail</t>
        </is>
      </c>
      <c r="D326" t="inlineStr">
        <is>
          <t>Enterprise</t>
        </is>
      </c>
    </row>
    <row r="327">
      <c r="A327" t="inlineStr">
        <is>
          <t>C0326</t>
        </is>
      </c>
      <c r="B327" t="inlineStr">
        <is>
          <t>Spain</t>
        </is>
      </c>
      <c r="C327" t="inlineStr">
        <is>
          <t>E-commerce</t>
        </is>
      </c>
      <c r="D327" t="inlineStr">
        <is>
          <t>Medium</t>
        </is>
      </c>
    </row>
    <row r="328">
      <c r="A328" t="inlineStr">
        <is>
          <t>C0327</t>
        </is>
      </c>
      <c r="B328" t="inlineStr">
        <is>
          <t>Germany</t>
        </is>
      </c>
      <c r="C328" t="inlineStr">
        <is>
          <t>Finance</t>
        </is>
      </c>
      <c r="D328" t="inlineStr">
        <is>
          <t>Enterprise</t>
        </is>
      </c>
    </row>
    <row r="329">
      <c r="A329" t="inlineStr">
        <is>
          <t>C0328</t>
        </is>
      </c>
      <c r="B329" t="inlineStr">
        <is>
          <t>Italy</t>
        </is>
      </c>
      <c r="C329" t="inlineStr">
        <is>
          <t>E-commerce</t>
        </is>
      </c>
      <c r="D329" t="inlineStr">
        <is>
          <t>Medium</t>
        </is>
      </c>
    </row>
    <row r="330">
      <c r="A330" t="inlineStr">
        <is>
          <t>C0329</t>
        </is>
      </c>
      <c r="B330" t="inlineStr">
        <is>
          <t>France</t>
        </is>
      </c>
      <c r="C330" t="inlineStr">
        <is>
          <t>Finance</t>
        </is>
      </c>
      <c r="D330" t="inlineStr">
        <is>
          <t>Medium</t>
        </is>
      </c>
    </row>
    <row r="331">
      <c r="A331" t="inlineStr">
        <is>
          <t>C0330</t>
        </is>
      </c>
      <c r="B331" t="inlineStr">
        <is>
          <t>Germany</t>
        </is>
      </c>
      <c r="C331" t="inlineStr">
        <is>
          <t>Healthcare</t>
        </is>
      </c>
      <c r="D331" t="inlineStr">
        <is>
          <t>Medium</t>
        </is>
      </c>
    </row>
    <row r="332">
      <c r="A332" t="inlineStr">
        <is>
          <t>C0331</t>
        </is>
      </c>
      <c r="B332" t="inlineStr">
        <is>
          <t>France</t>
        </is>
      </c>
      <c r="C332" t="inlineStr">
        <is>
          <t>E-commerce</t>
        </is>
      </c>
      <c r="D332" t="inlineStr">
        <is>
          <t>Medium</t>
        </is>
      </c>
    </row>
    <row r="333">
      <c r="A333" t="inlineStr">
        <is>
          <t>C0332</t>
        </is>
      </c>
      <c r="B333" t="inlineStr">
        <is>
          <t>Germany</t>
        </is>
      </c>
      <c r="C333" t="inlineStr">
        <is>
          <t>Tech</t>
        </is>
      </c>
      <c r="D333" t="inlineStr">
        <is>
          <t>Medium</t>
        </is>
      </c>
    </row>
    <row r="334">
      <c r="A334" t="inlineStr">
        <is>
          <t>C0333</t>
        </is>
      </c>
      <c r="B334" t="inlineStr">
        <is>
          <t>Italy</t>
        </is>
      </c>
      <c r="C334" t="inlineStr">
        <is>
          <t>Healthcare</t>
        </is>
      </c>
      <c r="D334" t="inlineStr">
        <is>
          <t>Medium</t>
        </is>
      </c>
    </row>
    <row r="335">
      <c r="A335" t="inlineStr">
        <is>
          <t>C0334</t>
        </is>
      </c>
      <c r="B335" t="inlineStr">
        <is>
          <t>Spain</t>
        </is>
      </c>
      <c r="C335" t="inlineStr">
        <is>
          <t>Healthcare</t>
        </is>
      </c>
      <c r="D335" t="inlineStr">
        <is>
          <t>Large</t>
        </is>
      </c>
    </row>
    <row r="336">
      <c r="A336" t="inlineStr">
        <is>
          <t>C0335</t>
        </is>
      </c>
      <c r="B336" t="inlineStr">
        <is>
          <t>Spain</t>
        </is>
      </c>
      <c r="C336" t="inlineStr">
        <is>
          <t>Healthcare</t>
        </is>
      </c>
      <c r="D336" t="inlineStr">
        <is>
          <t>Medium</t>
        </is>
      </c>
    </row>
    <row r="337">
      <c r="A337" t="inlineStr">
        <is>
          <t>C0336</t>
        </is>
      </c>
      <c r="B337" t="inlineStr">
        <is>
          <t>Italy</t>
        </is>
      </c>
      <c r="C337" t="inlineStr">
        <is>
          <t>Tech</t>
        </is>
      </c>
      <c r="D337" t="inlineStr">
        <is>
          <t>Enterprise</t>
        </is>
      </c>
    </row>
    <row r="338">
      <c r="A338" t="inlineStr">
        <is>
          <t>C0337</t>
        </is>
      </c>
      <c r="B338" t="inlineStr">
        <is>
          <t>Spain</t>
        </is>
      </c>
      <c r="C338" t="inlineStr">
        <is>
          <t>Tech</t>
        </is>
      </c>
      <c r="D338" t="inlineStr">
        <is>
          <t>Medium</t>
        </is>
      </c>
    </row>
    <row r="339">
      <c r="A339" t="inlineStr">
        <is>
          <t>C0338</t>
        </is>
      </c>
      <c r="B339" t="inlineStr">
        <is>
          <t>Sweden</t>
        </is>
      </c>
      <c r="C339" t="inlineStr">
        <is>
          <t>Finance</t>
        </is>
      </c>
      <c r="D339" t="inlineStr">
        <is>
          <t>Large</t>
        </is>
      </c>
    </row>
    <row r="340">
      <c r="A340" t="inlineStr">
        <is>
          <t>C0339</t>
        </is>
      </c>
      <c r="B340" t="inlineStr">
        <is>
          <t>Germany</t>
        </is>
      </c>
      <c r="C340" t="inlineStr">
        <is>
          <t>Healthcare</t>
        </is>
      </c>
      <c r="D340" t="inlineStr">
        <is>
          <t>Small</t>
        </is>
      </c>
    </row>
    <row r="341">
      <c r="A341" t="inlineStr">
        <is>
          <t>C0340</t>
        </is>
      </c>
      <c r="B341" t="inlineStr">
        <is>
          <t>Spain</t>
        </is>
      </c>
      <c r="C341" t="inlineStr">
        <is>
          <t>Tech</t>
        </is>
      </c>
      <c r="D341" t="inlineStr">
        <is>
          <t>Large</t>
        </is>
      </c>
    </row>
    <row r="342">
      <c r="A342" t="inlineStr">
        <is>
          <t>C0341</t>
        </is>
      </c>
      <c r="B342" t="inlineStr">
        <is>
          <t>Netherlands</t>
        </is>
      </c>
      <c r="C342" t="inlineStr">
        <is>
          <t>Healthcare</t>
        </is>
      </c>
      <c r="D342" t="inlineStr">
        <is>
          <t>Medium</t>
        </is>
      </c>
    </row>
    <row r="343">
      <c r="A343" t="inlineStr">
        <is>
          <t>C0342</t>
        </is>
      </c>
      <c r="B343" t="inlineStr">
        <is>
          <t>Germany</t>
        </is>
      </c>
      <c r="C343" t="inlineStr">
        <is>
          <t>Retail</t>
        </is>
      </c>
      <c r="D343" t="inlineStr">
        <is>
          <t>Large</t>
        </is>
      </c>
    </row>
    <row r="344">
      <c r="A344" t="inlineStr">
        <is>
          <t>C0343</t>
        </is>
      </c>
      <c r="B344" t="inlineStr">
        <is>
          <t>Germany</t>
        </is>
      </c>
      <c r="C344" t="inlineStr">
        <is>
          <t>Retail</t>
        </is>
      </c>
      <c r="D344" t="inlineStr">
        <is>
          <t>Large</t>
        </is>
      </c>
    </row>
    <row r="345">
      <c r="A345" t="inlineStr">
        <is>
          <t>C0344</t>
        </is>
      </c>
      <c r="B345" t="inlineStr">
        <is>
          <t>Italy</t>
        </is>
      </c>
      <c r="C345" t="inlineStr">
        <is>
          <t>E-commerce</t>
        </is>
      </c>
      <c r="D345" t="inlineStr">
        <is>
          <t>Small</t>
        </is>
      </c>
    </row>
    <row r="346">
      <c r="A346" t="inlineStr">
        <is>
          <t>C0345</t>
        </is>
      </c>
      <c r="B346" t="inlineStr">
        <is>
          <t>Italy</t>
        </is>
      </c>
      <c r="C346" t="inlineStr">
        <is>
          <t>Tech</t>
        </is>
      </c>
      <c r="D346" t="inlineStr">
        <is>
          <t>Enterprise</t>
        </is>
      </c>
    </row>
    <row r="347">
      <c r="A347" t="inlineStr">
        <is>
          <t>C0346</t>
        </is>
      </c>
      <c r="B347" t="inlineStr">
        <is>
          <t>France</t>
        </is>
      </c>
      <c r="C347" t="inlineStr">
        <is>
          <t>Healthcare</t>
        </is>
      </c>
      <c r="D347" t="inlineStr">
        <is>
          <t>Large</t>
        </is>
      </c>
    </row>
    <row r="348">
      <c r="A348" t="inlineStr">
        <is>
          <t>C0347</t>
        </is>
      </c>
      <c r="B348" t="inlineStr">
        <is>
          <t>Germany</t>
        </is>
      </c>
      <c r="C348" t="inlineStr">
        <is>
          <t>Healthcare</t>
        </is>
      </c>
      <c r="D348" t="inlineStr">
        <is>
          <t>Large</t>
        </is>
      </c>
    </row>
    <row r="349">
      <c r="A349" t="inlineStr">
        <is>
          <t>C0348</t>
        </is>
      </c>
      <c r="B349" t="inlineStr">
        <is>
          <t>Germany</t>
        </is>
      </c>
      <c r="C349" t="inlineStr">
        <is>
          <t>E-commerce</t>
        </is>
      </c>
      <c r="D349" t="inlineStr">
        <is>
          <t>Enterprise</t>
        </is>
      </c>
    </row>
    <row r="350">
      <c r="A350" t="inlineStr">
        <is>
          <t>C0349</t>
        </is>
      </c>
      <c r="B350" t="inlineStr">
        <is>
          <t>Netherlands</t>
        </is>
      </c>
      <c r="C350" t="inlineStr">
        <is>
          <t>Education</t>
        </is>
      </c>
      <c r="D350" t="inlineStr">
        <is>
          <t>Medium</t>
        </is>
      </c>
    </row>
    <row r="351">
      <c r="A351" t="inlineStr">
        <is>
          <t>C0350</t>
        </is>
      </c>
      <c r="B351" t="inlineStr">
        <is>
          <t>Sweden</t>
        </is>
      </c>
      <c r="C351" t="inlineStr">
        <is>
          <t>Healthcare</t>
        </is>
      </c>
      <c r="D351" t="inlineStr">
        <is>
          <t>Small</t>
        </is>
      </c>
    </row>
    <row r="352">
      <c r="A352" t="inlineStr">
        <is>
          <t>C0351</t>
        </is>
      </c>
      <c r="B352" t="inlineStr">
        <is>
          <t>Sweden</t>
        </is>
      </c>
      <c r="C352" t="inlineStr">
        <is>
          <t>Education</t>
        </is>
      </c>
      <c r="D352" t="inlineStr">
        <is>
          <t>Enterprise</t>
        </is>
      </c>
    </row>
    <row r="353">
      <c r="A353" t="inlineStr">
        <is>
          <t>C0352</t>
        </is>
      </c>
      <c r="B353" t="inlineStr">
        <is>
          <t>Italy</t>
        </is>
      </c>
      <c r="C353" t="inlineStr">
        <is>
          <t>E-commerce</t>
        </is>
      </c>
      <c r="D353" t="inlineStr">
        <is>
          <t>Small</t>
        </is>
      </c>
    </row>
    <row r="354">
      <c r="A354" t="inlineStr">
        <is>
          <t>C0353</t>
        </is>
      </c>
      <c r="B354" t="inlineStr">
        <is>
          <t>Italy</t>
        </is>
      </c>
      <c r="C354" t="inlineStr">
        <is>
          <t>Retail</t>
        </is>
      </c>
      <c r="D354" t="inlineStr">
        <is>
          <t>Medium</t>
        </is>
      </c>
    </row>
    <row r="355">
      <c r="A355" t="inlineStr">
        <is>
          <t>C0354</t>
        </is>
      </c>
      <c r="B355" t="inlineStr">
        <is>
          <t>Spain</t>
        </is>
      </c>
      <c r="C355" t="inlineStr">
        <is>
          <t>Healthcare</t>
        </is>
      </c>
      <c r="D355" t="inlineStr">
        <is>
          <t>Medium</t>
        </is>
      </c>
    </row>
    <row r="356">
      <c r="A356" t="inlineStr">
        <is>
          <t>C0355</t>
        </is>
      </c>
      <c r="B356" t="inlineStr">
        <is>
          <t>Sweden</t>
        </is>
      </c>
      <c r="C356" t="inlineStr">
        <is>
          <t>Retail</t>
        </is>
      </c>
      <c r="D356" t="inlineStr">
        <is>
          <t>Medium</t>
        </is>
      </c>
    </row>
    <row r="357">
      <c r="A357" t="inlineStr">
        <is>
          <t>C0356</t>
        </is>
      </c>
      <c r="B357" t="inlineStr">
        <is>
          <t>Germany</t>
        </is>
      </c>
      <c r="C357" t="inlineStr">
        <is>
          <t>E-commerce</t>
        </is>
      </c>
      <c r="D357" t="inlineStr">
        <is>
          <t>Large</t>
        </is>
      </c>
    </row>
    <row r="358">
      <c r="A358" t="inlineStr">
        <is>
          <t>C0357</t>
        </is>
      </c>
      <c r="B358" t="inlineStr">
        <is>
          <t>Sweden</t>
        </is>
      </c>
      <c r="C358" t="inlineStr">
        <is>
          <t>Education</t>
        </is>
      </c>
      <c r="D358" t="inlineStr">
        <is>
          <t>Medium</t>
        </is>
      </c>
    </row>
    <row r="359">
      <c r="A359" t="inlineStr">
        <is>
          <t>C0358</t>
        </is>
      </c>
      <c r="B359" t="inlineStr">
        <is>
          <t>Italy</t>
        </is>
      </c>
      <c r="C359" t="inlineStr">
        <is>
          <t>Education</t>
        </is>
      </c>
      <c r="D359" t="inlineStr">
        <is>
          <t>Small</t>
        </is>
      </c>
    </row>
    <row r="360">
      <c r="A360" t="inlineStr">
        <is>
          <t>C0359</t>
        </is>
      </c>
      <c r="B360" t="inlineStr">
        <is>
          <t>France</t>
        </is>
      </c>
      <c r="C360" t="inlineStr">
        <is>
          <t>E-commerce</t>
        </is>
      </c>
      <c r="D360" t="inlineStr">
        <is>
          <t>Enterprise</t>
        </is>
      </c>
    </row>
    <row r="361">
      <c r="A361" t="inlineStr">
        <is>
          <t>C0360</t>
        </is>
      </c>
      <c r="B361" t="inlineStr">
        <is>
          <t>Italy</t>
        </is>
      </c>
      <c r="C361" t="inlineStr">
        <is>
          <t>Tech</t>
        </is>
      </c>
      <c r="D361" t="inlineStr">
        <is>
          <t>Small</t>
        </is>
      </c>
    </row>
    <row r="362">
      <c r="A362" t="inlineStr">
        <is>
          <t>C0361</t>
        </is>
      </c>
      <c r="B362" t="inlineStr">
        <is>
          <t>Italy</t>
        </is>
      </c>
      <c r="C362" t="inlineStr">
        <is>
          <t>Tech</t>
        </is>
      </c>
      <c r="D362" t="inlineStr">
        <is>
          <t>Small</t>
        </is>
      </c>
    </row>
    <row r="363">
      <c r="A363" t="inlineStr">
        <is>
          <t>C0362</t>
        </is>
      </c>
      <c r="B363" t="inlineStr">
        <is>
          <t>Sweden</t>
        </is>
      </c>
      <c r="C363" t="inlineStr">
        <is>
          <t>Retail</t>
        </is>
      </c>
      <c r="D363" t="inlineStr">
        <is>
          <t>Enterprise</t>
        </is>
      </c>
    </row>
    <row r="364">
      <c r="A364" t="inlineStr">
        <is>
          <t>C0363</t>
        </is>
      </c>
      <c r="B364" t="inlineStr">
        <is>
          <t>France</t>
        </is>
      </c>
      <c r="C364" t="inlineStr">
        <is>
          <t>Healthcare</t>
        </is>
      </c>
      <c r="D364" t="inlineStr">
        <is>
          <t>Large</t>
        </is>
      </c>
    </row>
    <row r="365">
      <c r="A365" t="inlineStr">
        <is>
          <t>C0364</t>
        </is>
      </c>
      <c r="B365" t="inlineStr">
        <is>
          <t>Sweden</t>
        </is>
      </c>
      <c r="C365" t="inlineStr">
        <is>
          <t>E-commerce</t>
        </is>
      </c>
      <c r="D365" t="inlineStr">
        <is>
          <t>Large</t>
        </is>
      </c>
    </row>
    <row r="366">
      <c r="A366" t="inlineStr">
        <is>
          <t>C0365</t>
        </is>
      </c>
      <c r="B366" t="inlineStr">
        <is>
          <t>Sweden</t>
        </is>
      </c>
      <c r="C366" t="inlineStr">
        <is>
          <t>Education</t>
        </is>
      </c>
      <c r="D366" t="inlineStr">
        <is>
          <t>Enterprise</t>
        </is>
      </c>
    </row>
    <row r="367">
      <c r="A367" t="inlineStr">
        <is>
          <t>C0366</t>
        </is>
      </c>
      <c r="B367" t="inlineStr">
        <is>
          <t>Sweden</t>
        </is>
      </c>
      <c r="C367" t="inlineStr">
        <is>
          <t>Tech</t>
        </is>
      </c>
      <c r="D367" t="inlineStr">
        <is>
          <t>Small</t>
        </is>
      </c>
    </row>
    <row r="368">
      <c r="A368" t="inlineStr">
        <is>
          <t>C0367</t>
        </is>
      </c>
      <c r="B368" t="inlineStr">
        <is>
          <t>Spain</t>
        </is>
      </c>
      <c r="C368" t="inlineStr">
        <is>
          <t>E-commerce</t>
        </is>
      </c>
      <c r="D368" t="inlineStr">
        <is>
          <t>Enterprise</t>
        </is>
      </c>
    </row>
    <row r="369">
      <c r="A369" t="inlineStr">
        <is>
          <t>C0368</t>
        </is>
      </c>
      <c r="B369" t="inlineStr">
        <is>
          <t>Spain</t>
        </is>
      </c>
      <c r="C369" t="inlineStr">
        <is>
          <t>Healthcare</t>
        </is>
      </c>
      <c r="D369" t="inlineStr">
        <is>
          <t>Large</t>
        </is>
      </c>
    </row>
    <row r="370">
      <c r="A370" t="inlineStr">
        <is>
          <t>C0369</t>
        </is>
      </c>
      <c r="B370" t="inlineStr">
        <is>
          <t>Spain</t>
        </is>
      </c>
      <c r="C370" t="inlineStr">
        <is>
          <t>Tech</t>
        </is>
      </c>
      <c r="D370" t="inlineStr">
        <is>
          <t>Large</t>
        </is>
      </c>
    </row>
    <row r="371">
      <c r="A371" t="inlineStr">
        <is>
          <t>C0370</t>
        </is>
      </c>
      <c r="B371" t="inlineStr">
        <is>
          <t>France</t>
        </is>
      </c>
      <c r="C371" t="inlineStr">
        <is>
          <t>Finance</t>
        </is>
      </c>
      <c r="D371" t="inlineStr">
        <is>
          <t>Enterprise</t>
        </is>
      </c>
    </row>
    <row r="372">
      <c r="A372" t="inlineStr">
        <is>
          <t>C0371</t>
        </is>
      </c>
      <c r="B372" t="inlineStr">
        <is>
          <t>Italy</t>
        </is>
      </c>
      <c r="C372" t="inlineStr">
        <is>
          <t>Finance</t>
        </is>
      </c>
      <c r="D372" t="inlineStr">
        <is>
          <t>Medium</t>
        </is>
      </c>
    </row>
    <row r="373">
      <c r="A373" t="inlineStr">
        <is>
          <t>C0372</t>
        </is>
      </c>
      <c r="B373" t="inlineStr">
        <is>
          <t>Spain</t>
        </is>
      </c>
      <c r="C373" t="inlineStr">
        <is>
          <t>Education</t>
        </is>
      </c>
      <c r="D373" t="inlineStr">
        <is>
          <t>Enterprise</t>
        </is>
      </c>
    </row>
    <row r="374">
      <c r="A374" t="inlineStr">
        <is>
          <t>C0373</t>
        </is>
      </c>
      <c r="B374" t="inlineStr">
        <is>
          <t>France</t>
        </is>
      </c>
      <c r="C374" t="inlineStr">
        <is>
          <t>Finance</t>
        </is>
      </c>
      <c r="D374" t="inlineStr">
        <is>
          <t>Medium</t>
        </is>
      </c>
    </row>
    <row r="375">
      <c r="A375" t="inlineStr">
        <is>
          <t>C0374</t>
        </is>
      </c>
      <c r="B375" t="inlineStr">
        <is>
          <t>Netherlands</t>
        </is>
      </c>
      <c r="C375" t="inlineStr">
        <is>
          <t>Education</t>
        </is>
      </c>
      <c r="D375" t="inlineStr">
        <is>
          <t>Small</t>
        </is>
      </c>
    </row>
    <row r="376">
      <c r="A376" t="inlineStr">
        <is>
          <t>C0375</t>
        </is>
      </c>
      <c r="B376" t="inlineStr">
        <is>
          <t>Italy</t>
        </is>
      </c>
      <c r="C376" t="inlineStr">
        <is>
          <t>Healthcare</t>
        </is>
      </c>
      <c r="D376" t="inlineStr">
        <is>
          <t>Large</t>
        </is>
      </c>
    </row>
    <row r="377">
      <c r="A377" t="inlineStr">
        <is>
          <t>C0376</t>
        </is>
      </c>
      <c r="B377" t="inlineStr">
        <is>
          <t>Netherlands</t>
        </is>
      </c>
      <c r="C377" t="inlineStr">
        <is>
          <t>Finance</t>
        </is>
      </c>
      <c r="D377" t="inlineStr">
        <is>
          <t>Enterprise</t>
        </is>
      </c>
    </row>
    <row r="378">
      <c r="A378" t="inlineStr">
        <is>
          <t>C0377</t>
        </is>
      </c>
      <c r="B378" t="inlineStr">
        <is>
          <t>France</t>
        </is>
      </c>
      <c r="C378" t="inlineStr">
        <is>
          <t>Healthcare</t>
        </is>
      </c>
      <c r="D378" t="inlineStr">
        <is>
          <t>Small</t>
        </is>
      </c>
    </row>
    <row r="379">
      <c r="A379" t="inlineStr">
        <is>
          <t>C0378</t>
        </is>
      </c>
      <c r="B379" t="inlineStr">
        <is>
          <t>Germany</t>
        </is>
      </c>
      <c r="C379" t="inlineStr">
        <is>
          <t>Education</t>
        </is>
      </c>
      <c r="D379" t="inlineStr">
        <is>
          <t>Medium</t>
        </is>
      </c>
    </row>
    <row r="380">
      <c r="A380" t="inlineStr">
        <is>
          <t>C0379</t>
        </is>
      </c>
      <c r="B380" t="inlineStr">
        <is>
          <t>France</t>
        </is>
      </c>
      <c r="C380" t="inlineStr">
        <is>
          <t>Tech</t>
        </is>
      </c>
      <c r="D380" t="inlineStr">
        <is>
          <t>Medium</t>
        </is>
      </c>
    </row>
    <row r="381">
      <c r="A381" t="inlineStr">
        <is>
          <t>C0380</t>
        </is>
      </c>
      <c r="B381" t="inlineStr">
        <is>
          <t>Sweden</t>
        </is>
      </c>
      <c r="C381" t="inlineStr">
        <is>
          <t>Healthcare</t>
        </is>
      </c>
      <c r="D381" t="inlineStr">
        <is>
          <t>Enterprise</t>
        </is>
      </c>
    </row>
    <row r="382">
      <c r="A382" t="inlineStr">
        <is>
          <t>C0381</t>
        </is>
      </c>
      <c r="B382" t="inlineStr">
        <is>
          <t>Sweden</t>
        </is>
      </c>
      <c r="C382" t="inlineStr">
        <is>
          <t>Education</t>
        </is>
      </c>
      <c r="D382" t="inlineStr">
        <is>
          <t>Enterprise</t>
        </is>
      </c>
    </row>
    <row r="383">
      <c r="A383" t="inlineStr">
        <is>
          <t>C0382</t>
        </is>
      </c>
      <c r="B383" t="inlineStr">
        <is>
          <t>Italy</t>
        </is>
      </c>
      <c r="C383" t="inlineStr">
        <is>
          <t>E-commerce</t>
        </is>
      </c>
      <c r="D383" t="inlineStr">
        <is>
          <t>Small</t>
        </is>
      </c>
    </row>
    <row r="384">
      <c r="A384" t="inlineStr">
        <is>
          <t>C0383</t>
        </is>
      </c>
      <c r="B384" t="inlineStr">
        <is>
          <t>Spain</t>
        </is>
      </c>
      <c r="C384" t="inlineStr">
        <is>
          <t>Tech</t>
        </is>
      </c>
      <c r="D384" t="inlineStr">
        <is>
          <t>Enterprise</t>
        </is>
      </c>
    </row>
    <row r="385">
      <c r="A385" t="inlineStr">
        <is>
          <t>C0384</t>
        </is>
      </c>
      <c r="B385" t="inlineStr">
        <is>
          <t>Netherlands</t>
        </is>
      </c>
      <c r="C385" t="inlineStr">
        <is>
          <t>Tech</t>
        </is>
      </c>
      <c r="D385" t="inlineStr">
        <is>
          <t>Medium</t>
        </is>
      </c>
    </row>
    <row r="386">
      <c r="A386" t="inlineStr">
        <is>
          <t>C0385</t>
        </is>
      </c>
      <c r="B386" t="inlineStr">
        <is>
          <t>Netherlands</t>
        </is>
      </c>
      <c r="C386" t="inlineStr">
        <is>
          <t>Finance</t>
        </is>
      </c>
      <c r="D386" t="inlineStr">
        <is>
          <t>Large</t>
        </is>
      </c>
    </row>
    <row r="387">
      <c r="A387" t="inlineStr">
        <is>
          <t>C0386</t>
        </is>
      </c>
      <c r="B387" t="inlineStr">
        <is>
          <t>Germany</t>
        </is>
      </c>
      <c r="C387" t="inlineStr">
        <is>
          <t>Education</t>
        </is>
      </c>
      <c r="D387" t="inlineStr">
        <is>
          <t>Medium</t>
        </is>
      </c>
    </row>
    <row r="388">
      <c r="A388" t="inlineStr">
        <is>
          <t>C0387</t>
        </is>
      </c>
      <c r="B388" t="inlineStr">
        <is>
          <t>Spain</t>
        </is>
      </c>
      <c r="C388" t="inlineStr">
        <is>
          <t>E-commerce</t>
        </is>
      </c>
      <c r="D388" t="inlineStr">
        <is>
          <t>Enterprise</t>
        </is>
      </c>
    </row>
    <row r="389">
      <c r="A389" t="inlineStr">
        <is>
          <t>C0388</t>
        </is>
      </c>
      <c r="B389" t="inlineStr">
        <is>
          <t>Sweden</t>
        </is>
      </c>
      <c r="C389" t="inlineStr">
        <is>
          <t>Retail</t>
        </is>
      </c>
      <c r="D389" t="inlineStr">
        <is>
          <t>Large</t>
        </is>
      </c>
    </row>
    <row r="390">
      <c r="A390" t="inlineStr">
        <is>
          <t>C0389</t>
        </is>
      </c>
      <c r="B390" t="inlineStr">
        <is>
          <t>Spain</t>
        </is>
      </c>
      <c r="C390" t="inlineStr">
        <is>
          <t>Finance</t>
        </is>
      </c>
      <c r="D390" t="inlineStr">
        <is>
          <t>Medium</t>
        </is>
      </c>
    </row>
    <row r="391">
      <c r="A391" t="inlineStr">
        <is>
          <t>C0390</t>
        </is>
      </c>
      <c r="B391" t="inlineStr">
        <is>
          <t>France</t>
        </is>
      </c>
      <c r="C391" t="inlineStr">
        <is>
          <t>Finance</t>
        </is>
      </c>
      <c r="D391" t="inlineStr">
        <is>
          <t>Medium</t>
        </is>
      </c>
    </row>
    <row r="392">
      <c r="A392" t="inlineStr">
        <is>
          <t>C0391</t>
        </is>
      </c>
      <c r="B392" t="inlineStr">
        <is>
          <t>Netherlands</t>
        </is>
      </c>
      <c r="C392" t="inlineStr">
        <is>
          <t>Tech</t>
        </is>
      </c>
      <c r="D392" t="inlineStr">
        <is>
          <t>Medium</t>
        </is>
      </c>
    </row>
    <row r="393">
      <c r="A393" t="inlineStr">
        <is>
          <t>C0392</t>
        </is>
      </c>
      <c r="B393" t="inlineStr">
        <is>
          <t>Netherlands</t>
        </is>
      </c>
      <c r="C393" t="inlineStr">
        <is>
          <t>Healthcare</t>
        </is>
      </c>
      <c r="D393" t="inlineStr">
        <is>
          <t>Medium</t>
        </is>
      </c>
    </row>
    <row r="394">
      <c r="A394" t="inlineStr">
        <is>
          <t>C0393</t>
        </is>
      </c>
      <c r="B394" t="inlineStr">
        <is>
          <t>Germany</t>
        </is>
      </c>
      <c r="C394" t="inlineStr">
        <is>
          <t>E-commerce</t>
        </is>
      </c>
      <c r="D394" t="inlineStr">
        <is>
          <t>Small</t>
        </is>
      </c>
    </row>
    <row r="395">
      <c r="A395" t="inlineStr">
        <is>
          <t>C0394</t>
        </is>
      </c>
      <c r="B395" t="inlineStr">
        <is>
          <t>Sweden</t>
        </is>
      </c>
      <c r="C395" t="inlineStr">
        <is>
          <t>E-commerce</t>
        </is>
      </c>
      <c r="D395" t="inlineStr">
        <is>
          <t>Small</t>
        </is>
      </c>
    </row>
    <row r="396">
      <c r="A396" t="inlineStr">
        <is>
          <t>C0395</t>
        </is>
      </c>
      <c r="B396" t="inlineStr">
        <is>
          <t>France</t>
        </is>
      </c>
      <c r="C396" t="inlineStr">
        <is>
          <t>Retail</t>
        </is>
      </c>
      <c r="D396" t="inlineStr">
        <is>
          <t>Small</t>
        </is>
      </c>
    </row>
    <row r="397">
      <c r="A397" t="inlineStr">
        <is>
          <t>C0396</t>
        </is>
      </c>
      <c r="B397" t="inlineStr">
        <is>
          <t>Netherlands</t>
        </is>
      </c>
      <c r="C397" t="inlineStr">
        <is>
          <t>Retail</t>
        </is>
      </c>
      <c r="D397" t="inlineStr">
        <is>
          <t>Enterprise</t>
        </is>
      </c>
    </row>
    <row r="398">
      <c r="A398" t="inlineStr">
        <is>
          <t>C0397</t>
        </is>
      </c>
      <c r="B398" t="inlineStr">
        <is>
          <t>France</t>
        </is>
      </c>
      <c r="C398" t="inlineStr">
        <is>
          <t>Finance</t>
        </is>
      </c>
      <c r="D398" t="inlineStr">
        <is>
          <t>Medium</t>
        </is>
      </c>
    </row>
    <row r="399">
      <c r="A399" t="inlineStr">
        <is>
          <t>C0398</t>
        </is>
      </c>
      <c r="B399" t="inlineStr">
        <is>
          <t>Sweden</t>
        </is>
      </c>
      <c r="C399" t="inlineStr">
        <is>
          <t>Education</t>
        </is>
      </c>
      <c r="D399" t="inlineStr">
        <is>
          <t>Large</t>
        </is>
      </c>
    </row>
    <row r="400">
      <c r="A400" t="inlineStr">
        <is>
          <t>C0399</t>
        </is>
      </c>
      <c r="B400" t="inlineStr">
        <is>
          <t>Germany</t>
        </is>
      </c>
      <c r="C400" t="inlineStr">
        <is>
          <t>Healthcare</t>
        </is>
      </c>
      <c r="D400" t="inlineStr">
        <is>
          <t>Enterprise</t>
        </is>
      </c>
    </row>
    <row r="401">
      <c r="A401" t="inlineStr">
        <is>
          <t>C0400</t>
        </is>
      </c>
      <c r="B401" t="inlineStr">
        <is>
          <t>Sweden</t>
        </is>
      </c>
      <c r="C401" t="inlineStr">
        <is>
          <t>Tech</t>
        </is>
      </c>
      <c r="D401" t="inlineStr">
        <is>
          <t>Enterprise</t>
        </is>
      </c>
    </row>
    <row r="402">
      <c r="A402" t="inlineStr">
        <is>
          <t>C0401</t>
        </is>
      </c>
      <c r="B402" t="inlineStr">
        <is>
          <t>Italy</t>
        </is>
      </c>
      <c r="C402" t="inlineStr">
        <is>
          <t>Retail</t>
        </is>
      </c>
      <c r="D402" t="inlineStr">
        <is>
          <t>Small</t>
        </is>
      </c>
    </row>
    <row r="403">
      <c r="A403" t="inlineStr">
        <is>
          <t>C0402</t>
        </is>
      </c>
      <c r="B403" t="inlineStr">
        <is>
          <t>Germany</t>
        </is>
      </c>
      <c r="C403" t="inlineStr">
        <is>
          <t>E-commerce</t>
        </is>
      </c>
      <c r="D403" t="inlineStr">
        <is>
          <t>Large</t>
        </is>
      </c>
    </row>
    <row r="404">
      <c r="A404" t="inlineStr">
        <is>
          <t>C0403</t>
        </is>
      </c>
      <c r="B404" t="inlineStr">
        <is>
          <t>Netherlands</t>
        </is>
      </c>
      <c r="C404" t="inlineStr">
        <is>
          <t>Retail</t>
        </is>
      </c>
      <c r="D404" t="inlineStr">
        <is>
          <t>Enterprise</t>
        </is>
      </c>
    </row>
    <row r="405">
      <c r="A405" t="inlineStr">
        <is>
          <t>C0404</t>
        </is>
      </c>
      <c r="B405" t="inlineStr">
        <is>
          <t>Netherlands</t>
        </is>
      </c>
      <c r="C405" t="inlineStr">
        <is>
          <t>Tech</t>
        </is>
      </c>
      <c r="D405" t="inlineStr">
        <is>
          <t>Medium</t>
        </is>
      </c>
    </row>
    <row r="406">
      <c r="A406" t="inlineStr">
        <is>
          <t>C0405</t>
        </is>
      </c>
      <c r="B406" t="inlineStr">
        <is>
          <t>Netherlands</t>
        </is>
      </c>
      <c r="C406" t="inlineStr">
        <is>
          <t>Education</t>
        </is>
      </c>
      <c r="D406" t="inlineStr">
        <is>
          <t>Small</t>
        </is>
      </c>
    </row>
    <row r="407">
      <c r="A407" t="inlineStr">
        <is>
          <t>C0406</t>
        </is>
      </c>
      <c r="B407" t="inlineStr">
        <is>
          <t>Italy</t>
        </is>
      </c>
      <c r="C407" t="inlineStr">
        <is>
          <t>Tech</t>
        </is>
      </c>
      <c r="D407" t="inlineStr">
        <is>
          <t>Small</t>
        </is>
      </c>
    </row>
    <row r="408">
      <c r="A408" t="inlineStr">
        <is>
          <t>C0407</t>
        </is>
      </c>
      <c r="B408" t="inlineStr">
        <is>
          <t>Netherlands</t>
        </is>
      </c>
      <c r="C408" t="inlineStr">
        <is>
          <t>Retail</t>
        </is>
      </c>
      <c r="D408" t="inlineStr">
        <is>
          <t>Enterprise</t>
        </is>
      </c>
    </row>
    <row r="409">
      <c r="A409" t="inlineStr">
        <is>
          <t>C0408</t>
        </is>
      </c>
      <c r="B409" t="inlineStr">
        <is>
          <t>Netherlands</t>
        </is>
      </c>
      <c r="C409" t="inlineStr">
        <is>
          <t>Finance</t>
        </is>
      </c>
      <c r="D409" t="inlineStr">
        <is>
          <t>Medium</t>
        </is>
      </c>
    </row>
    <row r="410">
      <c r="A410" t="inlineStr">
        <is>
          <t>C0409</t>
        </is>
      </c>
      <c r="B410" t="inlineStr">
        <is>
          <t>Netherlands</t>
        </is>
      </c>
      <c r="C410" t="inlineStr">
        <is>
          <t>Retail</t>
        </is>
      </c>
      <c r="D410" t="inlineStr">
        <is>
          <t>Enterprise</t>
        </is>
      </c>
    </row>
    <row r="411">
      <c r="A411" t="inlineStr">
        <is>
          <t>C0410</t>
        </is>
      </c>
      <c r="B411" t="inlineStr">
        <is>
          <t>Germany</t>
        </is>
      </c>
      <c r="C411" t="inlineStr">
        <is>
          <t>Tech</t>
        </is>
      </c>
      <c r="D411" t="inlineStr">
        <is>
          <t>Small</t>
        </is>
      </c>
    </row>
    <row r="412">
      <c r="A412" t="inlineStr">
        <is>
          <t>C0411</t>
        </is>
      </c>
      <c r="B412" t="inlineStr">
        <is>
          <t>Italy</t>
        </is>
      </c>
      <c r="C412" t="inlineStr">
        <is>
          <t>E-commerce</t>
        </is>
      </c>
      <c r="D412" t="inlineStr">
        <is>
          <t>Large</t>
        </is>
      </c>
    </row>
    <row r="413">
      <c r="A413" t="inlineStr">
        <is>
          <t>C0412</t>
        </is>
      </c>
      <c r="B413" t="inlineStr">
        <is>
          <t>Italy</t>
        </is>
      </c>
      <c r="C413" t="inlineStr">
        <is>
          <t>Education</t>
        </is>
      </c>
      <c r="D413" t="inlineStr">
        <is>
          <t>Small</t>
        </is>
      </c>
    </row>
    <row r="414">
      <c r="A414" t="inlineStr">
        <is>
          <t>C0413</t>
        </is>
      </c>
      <c r="B414" t="inlineStr">
        <is>
          <t>Netherlands</t>
        </is>
      </c>
      <c r="C414" t="inlineStr">
        <is>
          <t>E-commerce</t>
        </is>
      </c>
      <c r="D414" t="inlineStr">
        <is>
          <t>Large</t>
        </is>
      </c>
    </row>
    <row r="415">
      <c r="A415" t="inlineStr">
        <is>
          <t>C0414</t>
        </is>
      </c>
      <c r="B415" t="inlineStr">
        <is>
          <t>Germany</t>
        </is>
      </c>
      <c r="C415" t="inlineStr">
        <is>
          <t>Tech</t>
        </is>
      </c>
      <c r="D415" t="inlineStr">
        <is>
          <t>Medium</t>
        </is>
      </c>
    </row>
    <row r="416">
      <c r="A416" t="inlineStr">
        <is>
          <t>C0415</t>
        </is>
      </c>
      <c r="B416" t="inlineStr">
        <is>
          <t>Italy</t>
        </is>
      </c>
      <c r="C416" t="inlineStr">
        <is>
          <t>E-commerce</t>
        </is>
      </c>
      <c r="D416" t="inlineStr">
        <is>
          <t>Large</t>
        </is>
      </c>
    </row>
    <row r="417">
      <c r="A417" t="inlineStr">
        <is>
          <t>C0416</t>
        </is>
      </c>
      <c r="B417" t="inlineStr">
        <is>
          <t>Sweden</t>
        </is>
      </c>
      <c r="C417" t="inlineStr">
        <is>
          <t>Retail</t>
        </is>
      </c>
      <c r="D417" t="inlineStr">
        <is>
          <t>Small</t>
        </is>
      </c>
    </row>
    <row r="418">
      <c r="A418" t="inlineStr">
        <is>
          <t>C0417</t>
        </is>
      </c>
      <c r="B418" t="inlineStr">
        <is>
          <t>Sweden</t>
        </is>
      </c>
      <c r="C418" t="inlineStr">
        <is>
          <t>Education</t>
        </is>
      </c>
      <c r="D418" t="inlineStr">
        <is>
          <t>Large</t>
        </is>
      </c>
    </row>
    <row r="419">
      <c r="A419" t="inlineStr">
        <is>
          <t>C0418</t>
        </is>
      </c>
      <c r="B419" t="inlineStr">
        <is>
          <t>Netherlands</t>
        </is>
      </c>
      <c r="C419" t="inlineStr">
        <is>
          <t>Healthcare</t>
        </is>
      </c>
      <c r="D419" t="inlineStr">
        <is>
          <t>Small</t>
        </is>
      </c>
    </row>
    <row r="420">
      <c r="A420" t="inlineStr">
        <is>
          <t>C0419</t>
        </is>
      </c>
      <c r="B420" t="inlineStr">
        <is>
          <t>Netherlands</t>
        </is>
      </c>
      <c r="C420" t="inlineStr">
        <is>
          <t>Education</t>
        </is>
      </c>
      <c r="D420" t="inlineStr">
        <is>
          <t>Large</t>
        </is>
      </c>
    </row>
    <row r="421">
      <c r="A421" t="inlineStr">
        <is>
          <t>C0420</t>
        </is>
      </c>
      <c r="B421" t="inlineStr">
        <is>
          <t>Spain</t>
        </is>
      </c>
      <c r="C421" t="inlineStr">
        <is>
          <t>Finance</t>
        </is>
      </c>
      <c r="D421" t="inlineStr">
        <is>
          <t>Medium</t>
        </is>
      </c>
    </row>
    <row r="422">
      <c r="A422" t="inlineStr">
        <is>
          <t>C0421</t>
        </is>
      </c>
      <c r="B422" t="inlineStr">
        <is>
          <t>Italy</t>
        </is>
      </c>
      <c r="C422" t="inlineStr">
        <is>
          <t>Tech</t>
        </is>
      </c>
      <c r="D422" t="inlineStr">
        <is>
          <t>Medium</t>
        </is>
      </c>
    </row>
    <row r="423">
      <c r="A423" t="inlineStr">
        <is>
          <t>C0422</t>
        </is>
      </c>
      <c r="B423" t="inlineStr">
        <is>
          <t>Netherlands</t>
        </is>
      </c>
      <c r="C423" t="inlineStr">
        <is>
          <t>Education</t>
        </is>
      </c>
      <c r="D423" t="inlineStr">
        <is>
          <t>Small</t>
        </is>
      </c>
    </row>
    <row r="424">
      <c r="A424" t="inlineStr">
        <is>
          <t>C0423</t>
        </is>
      </c>
      <c r="B424" t="inlineStr">
        <is>
          <t>France</t>
        </is>
      </c>
      <c r="C424" t="inlineStr">
        <is>
          <t>Finance</t>
        </is>
      </c>
      <c r="D424" t="inlineStr">
        <is>
          <t>Medium</t>
        </is>
      </c>
    </row>
    <row r="425">
      <c r="A425" t="inlineStr">
        <is>
          <t>C0424</t>
        </is>
      </c>
      <c r="B425" t="inlineStr">
        <is>
          <t>Italy</t>
        </is>
      </c>
      <c r="C425" t="inlineStr">
        <is>
          <t>Education</t>
        </is>
      </c>
      <c r="D425" t="inlineStr">
        <is>
          <t>Small</t>
        </is>
      </c>
    </row>
    <row r="426">
      <c r="A426" t="inlineStr">
        <is>
          <t>C0425</t>
        </is>
      </c>
      <c r="B426" t="inlineStr">
        <is>
          <t>Sweden</t>
        </is>
      </c>
      <c r="C426" t="inlineStr">
        <is>
          <t>Healthcare</t>
        </is>
      </c>
      <c r="D426" t="inlineStr">
        <is>
          <t>Small</t>
        </is>
      </c>
    </row>
    <row r="427">
      <c r="A427" t="inlineStr">
        <is>
          <t>C0426</t>
        </is>
      </c>
      <c r="B427" t="inlineStr">
        <is>
          <t>Netherlands</t>
        </is>
      </c>
      <c r="C427" t="inlineStr">
        <is>
          <t>Finance</t>
        </is>
      </c>
      <c r="D427" t="inlineStr">
        <is>
          <t>Enterprise</t>
        </is>
      </c>
    </row>
    <row r="428">
      <c r="A428" t="inlineStr">
        <is>
          <t>C0427</t>
        </is>
      </c>
      <c r="B428" t="inlineStr">
        <is>
          <t>Germany</t>
        </is>
      </c>
      <c r="C428" t="inlineStr">
        <is>
          <t>Tech</t>
        </is>
      </c>
      <c r="D428" t="inlineStr">
        <is>
          <t>Medium</t>
        </is>
      </c>
    </row>
    <row r="429">
      <c r="A429" t="inlineStr">
        <is>
          <t>C0428</t>
        </is>
      </c>
      <c r="B429" t="inlineStr">
        <is>
          <t>Germany</t>
        </is>
      </c>
      <c r="C429" t="inlineStr">
        <is>
          <t>Education</t>
        </is>
      </c>
      <c r="D429" t="inlineStr">
        <is>
          <t>Medium</t>
        </is>
      </c>
    </row>
    <row r="430">
      <c r="A430" t="inlineStr">
        <is>
          <t>C0429</t>
        </is>
      </c>
      <c r="B430" t="inlineStr">
        <is>
          <t>Italy</t>
        </is>
      </c>
      <c r="C430" t="inlineStr">
        <is>
          <t>Education</t>
        </is>
      </c>
      <c r="D430" t="inlineStr">
        <is>
          <t>Enterprise</t>
        </is>
      </c>
    </row>
    <row r="431">
      <c r="A431" t="inlineStr">
        <is>
          <t>C0430</t>
        </is>
      </c>
      <c r="B431" t="inlineStr">
        <is>
          <t>Germany</t>
        </is>
      </c>
      <c r="C431" t="inlineStr">
        <is>
          <t>Education</t>
        </is>
      </c>
      <c r="D431" t="inlineStr">
        <is>
          <t>Large</t>
        </is>
      </c>
    </row>
    <row r="432">
      <c r="A432" t="inlineStr">
        <is>
          <t>C0431</t>
        </is>
      </c>
      <c r="B432" t="inlineStr">
        <is>
          <t>Germany</t>
        </is>
      </c>
      <c r="C432" t="inlineStr">
        <is>
          <t>Healthcare</t>
        </is>
      </c>
      <c r="D432" t="inlineStr">
        <is>
          <t>Large</t>
        </is>
      </c>
    </row>
    <row r="433">
      <c r="A433" t="inlineStr">
        <is>
          <t>C0432</t>
        </is>
      </c>
      <c r="B433" t="inlineStr">
        <is>
          <t>Italy</t>
        </is>
      </c>
      <c r="C433" t="inlineStr">
        <is>
          <t>Retail</t>
        </is>
      </c>
      <c r="D433" t="inlineStr">
        <is>
          <t>Small</t>
        </is>
      </c>
    </row>
    <row r="434">
      <c r="A434" t="inlineStr">
        <is>
          <t>C0433</t>
        </is>
      </c>
      <c r="B434" t="inlineStr">
        <is>
          <t>France</t>
        </is>
      </c>
      <c r="C434" t="inlineStr">
        <is>
          <t>Finance</t>
        </is>
      </c>
      <c r="D434" t="inlineStr">
        <is>
          <t>Enterprise</t>
        </is>
      </c>
    </row>
    <row r="435">
      <c r="A435" t="inlineStr">
        <is>
          <t>C0434</t>
        </is>
      </c>
      <c r="B435" t="inlineStr">
        <is>
          <t>Netherlands</t>
        </is>
      </c>
      <c r="C435" t="inlineStr">
        <is>
          <t>Tech</t>
        </is>
      </c>
      <c r="D435" t="inlineStr">
        <is>
          <t>Large</t>
        </is>
      </c>
    </row>
    <row r="436">
      <c r="A436" t="inlineStr">
        <is>
          <t>C0435</t>
        </is>
      </c>
      <c r="B436" t="inlineStr">
        <is>
          <t>France</t>
        </is>
      </c>
      <c r="C436" t="inlineStr">
        <is>
          <t>Tech</t>
        </is>
      </c>
      <c r="D436" t="inlineStr">
        <is>
          <t>Medium</t>
        </is>
      </c>
    </row>
    <row r="437">
      <c r="A437" t="inlineStr">
        <is>
          <t>C0436</t>
        </is>
      </c>
      <c r="B437" t="inlineStr">
        <is>
          <t>Italy</t>
        </is>
      </c>
      <c r="C437" t="inlineStr">
        <is>
          <t>Tech</t>
        </is>
      </c>
      <c r="D437" t="inlineStr">
        <is>
          <t>Enterprise</t>
        </is>
      </c>
    </row>
    <row r="438">
      <c r="A438" t="inlineStr">
        <is>
          <t>C0437</t>
        </is>
      </c>
      <c r="B438" t="inlineStr">
        <is>
          <t>Netherlands</t>
        </is>
      </c>
      <c r="C438" t="inlineStr">
        <is>
          <t>Retail</t>
        </is>
      </c>
      <c r="D438" t="inlineStr">
        <is>
          <t>Small</t>
        </is>
      </c>
    </row>
    <row r="439">
      <c r="A439" t="inlineStr">
        <is>
          <t>C0438</t>
        </is>
      </c>
      <c r="B439" t="inlineStr">
        <is>
          <t>Spain</t>
        </is>
      </c>
      <c r="C439" t="inlineStr">
        <is>
          <t>E-commerce</t>
        </is>
      </c>
      <c r="D439" t="inlineStr">
        <is>
          <t>Enterprise</t>
        </is>
      </c>
    </row>
    <row r="440">
      <c r="A440" t="inlineStr">
        <is>
          <t>C0439</t>
        </is>
      </c>
      <c r="B440" t="inlineStr">
        <is>
          <t>Italy</t>
        </is>
      </c>
      <c r="C440" t="inlineStr">
        <is>
          <t>Retail</t>
        </is>
      </c>
      <c r="D440" t="inlineStr">
        <is>
          <t>Small</t>
        </is>
      </c>
    </row>
    <row r="441">
      <c r="A441" t="inlineStr">
        <is>
          <t>C0440</t>
        </is>
      </c>
      <c r="B441" t="inlineStr">
        <is>
          <t>Italy</t>
        </is>
      </c>
      <c r="C441" t="inlineStr">
        <is>
          <t>E-commerce</t>
        </is>
      </c>
      <c r="D441" t="inlineStr">
        <is>
          <t>Large</t>
        </is>
      </c>
    </row>
    <row r="442">
      <c r="A442" t="inlineStr">
        <is>
          <t>C0441</t>
        </is>
      </c>
      <c r="B442" t="inlineStr">
        <is>
          <t>Spain</t>
        </is>
      </c>
      <c r="C442" t="inlineStr">
        <is>
          <t>Retail</t>
        </is>
      </c>
      <c r="D442" t="inlineStr">
        <is>
          <t>Small</t>
        </is>
      </c>
    </row>
    <row r="443">
      <c r="A443" t="inlineStr">
        <is>
          <t>C0442</t>
        </is>
      </c>
      <c r="B443" t="inlineStr">
        <is>
          <t>Italy</t>
        </is>
      </c>
      <c r="C443" t="inlineStr">
        <is>
          <t>E-commerce</t>
        </is>
      </c>
      <c r="D443" t="inlineStr">
        <is>
          <t>Medium</t>
        </is>
      </c>
    </row>
    <row r="444">
      <c r="A444" t="inlineStr">
        <is>
          <t>C0443</t>
        </is>
      </c>
      <c r="B444" t="inlineStr">
        <is>
          <t>Italy</t>
        </is>
      </c>
      <c r="C444" t="inlineStr">
        <is>
          <t>Healthcare</t>
        </is>
      </c>
      <c r="D444" t="inlineStr">
        <is>
          <t>Enterprise</t>
        </is>
      </c>
    </row>
    <row r="445">
      <c r="A445" t="inlineStr">
        <is>
          <t>C0444</t>
        </is>
      </c>
      <c r="B445" t="inlineStr">
        <is>
          <t>Spain</t>
        </is>
      </c>
      <c r="C445" t="inlineStr">
        <is>
          <t>Healthcare</t>
        </is>
      </c>
      <c r="D445" t="inlineStr">
        <is>
          <t>Enterprise</t>
        </is>
      </c>
    </row>
    <row r="446">
      <c r="A446" t="inlineStr">
        <is>
          <t>C0445</t>
        </is>
      </c>
      <c r="B446" t="inlineStr">
        <is>
          <t>Sweden</t>
        </is>
      </c>
      <c r="C446" t="inlineStr">
        <is>
          <t>E-commerce</t>
        </is>
      </c>
      <c r="D446" t="inlineStr">
        <is>
          <t>Enterprise</t>
        </is>
      </c>
    </row>
    <row r="447">
      <c r="A447" t="inlineStr">
        <is>
          <t>C0446</t>
        </is>
      </c>
      <c r="B447" t="inlineStr">
        <is>
          <t>Netherlands</t>
        </is>
      </c>
      <c r="C447" t="inlineStr">
        <is>
          <t>Retail</t>
        </is>
      </c>
      <c r="D447" t="inlineStr">
        <is>
          <t>Small</t>
        </is>
      </c>
    </row>
    <row r="448">
      <c r="A448" t="inlineStr">
        <is>
          <t>C0447</t>
        </is>
      </c>
      <c r="B448" t="inlineStr">
        <is>
          <t>Italy</t>
        </is>
      </c>
      <c r="C448" t="inlineStr">
        <is>
          <t>Tech</t>
        </is>
      </c>
      <c r="D448" t="inlineStr">
        <is>
          <t>Medium</t>
        </is>
      </c>
    </row>
    <row r="449">
      <c r="A449" t="inlineStr">
        <is>
          <t>C0448</t>
        </is>
      </c>
      <c r="B449" t="inlineStr">
        <is>
          <t>Italy</t>
        </is>
      </c>
      <c r="C449" t="inlineStr">
        <is>
          <t>Finance</t>
        </is>
      </c>
      <c r="D449" t="inlineStr">
        <is>
          <t>Small</t>
        </is>
      </c>
    </row>
    <row r="450">
      <c r="A450" t="inlineStr">
        <is>
          <t>C0449</t>
        </is>
      </c>
      <c r="B450" t="inlineStr">
        <is>
          <t>Germany</t>
        </is>
      </c>
      <c r="C450" t="inlineStr">
        <is>
          <t>E-commerce</t>
        </is>
      </c>
      <c r="D450" t="inlineStr">
        <is>
          <t>Enterprise</t>
        </is>
      </c>
    </row>
    <row r="451">
      <c r="A451" t="inlineStr">
        <is>
          <t>C0450</t>
        </is>
      </c>
      <c r="B451" t="inlineStr">
        <is>
          <t>Sweden</t>
        </is>
      </c>
      <c r="C451" t="inlineStr">
        <is>
          <t>Tech</t>
        </is>
      </c>
      <c r="D451" t="inlineStr">
        <is>
          <t>Medium</t>
        </is>
      </c>
    </row>
    <row r="452">
      <c r="A452" t="inlineStr">
        <is>
          <t>C0451</t>
        </is>
      </c>
      <c r="B452" t="inlineStr">
        <is>
          <t>Netherlands</t>
        </is>
      </c>
      <c r="C452" t="inlineStr">
        <is>
          <t>Healthcare</t>
        </is>
      </c>
      <c r="D452" t="inlineStr">
        <is>
          <t>Medium</t>
        </is>
      </c>
    </row>
    <row r="453">
      <c r="A453" t="inlineStr">
        <is>
          <t>C0452</t>
        </is>
      </c>
      <c r="B453" t="inlineStr">
        <is>
          <t>Spain</t>
        </is>
      </c>
      <c r="C453" t="inlineStr">
        <is>
          <t>Finance</t>
        </is>
      </c>
      <c r="D453" t="inlineStr">
        <is>
          <t>Medium</t>
        </is>
      </c>
    </row>
    <row r="454">
      <c r="A454" t="inlineStr">
        <is>
          <t>C0453</t>
        </is>
      </c>
      <c r="B454" t="inlineStr">
        <is>
          <t>France</t>
        </is>
      </c>
      <c r="C454" t="inlineStr">
        <is>
          <t>Healthcare</t>
        </is>
      </c>
      <c r="D454" t="inlineStr">
        <is>
          <t>Small</t>
        </is>
      </c>
    </row>
    <row r="455">
      <c r="A455" t="inlineStr">
        <is>
          <t>C0454</t>
        </is>
      </c>
      <c r="B455" t="inlineStr">
        <is>
          <t>Germany</t>
        </is>
      </c>
      <c r="C455" t="inlineStr">
        <is>
          <t>Retail</t>
        </is>
      </c>
      <c r="D455" t="inlineStr">
        <is>
          <t>Medium</t>
        </is>
      </c>
    </row>
    <row r="456">
      <c r="A456" t="inlineStr">
        <is>
          <t>C0455</t>
        </is>
      </c>
      <c r="B456" t="inlineStr">
        <is>
          <t>Spain</t>
        </is>
      </c>
      <c r="C456" t="inlineStr">
        <is>
          <t>Healthcare</t>
        </is>
      </c>
      <c r="D456" t="inlineStr">
        <is>
          <t>Medium</t>
        </is>
      </c>
    </row>
    <row r="457">
      <c r="A457" t="inlineStr">
        <is>
          <t>C0456</t>
        </is>
      </c>
      <c r="B457" t="inlineStr">
        <is>
          <t>Spain</t>
        </is>
      </c>
      <c r="C457" t="inlineStr">
        <is>
          <t>Healthcare</t>
        </is>
      </c>
      <c r="D457" t="inlineStr">
        <is>
          <t>Enterprise</t>
        </is>
      </c>
    </row>
    <row r="458">
      <c r="A458" t="inlineStr">
        <is>
          <t>C0457</t>
        </is>
      </c>
      <c r="B458" t="inlineStr">
        <is>
          <t>Spain</t>
        </is>
      </c>
      <c r="C458" t="inlineStr">
        <is>
          <t>Retail</t>
        </is>
      </c>
      <c r="D458" t="inlineStr">
        <is>
          <t>Enterprise</t>
        </is>
      </c>
    </row>
    <row r="459">
      <c r="A459" t="inlineStr">
        <is>
          <t>C0458</t>
        </is>
      </c>
      <c r="B459" t="inlineStr">
        <is>
          <t>Germany</t>
        </is>
      </c>
      <c r="C459" t="inlineStr">
        <is>
          <t>Healthcare</t>
        </is>
      </c>
      <c r="D459" t="inlineStr">
        <is>
          <t>Small</t>
        </is>
      </c>
    </row>
    <row r="460">
      <c r="A460" t="inlineStr">
        <is>
          <t>C0459</t>
        </is>
      </c>
      <c r="B460" t="inlineStr">
        <is>
          <t>Netherlands</t>
        </is>
      </c>
      <c r="C460" t="inlineStr">
        <is>
          <t>Education</t>
        </is>
      </c>
      <c r="D460" t="inlineStr">
        <is>
          <t>Enterprise</t>
        </is>
      </c>
    </row>
    <row r="461">
      <c r="A461" t="inlineStr">
        <is>
          <t>C0460</t>
        </is>
      </c>
      <c r="B461" t="inlineStr">
        <is>
          <t>Spain</t>
        </is>
      </c>
      <c r="C461" t="inlineStr">
        <is>
          <t>Finance</t>
        </is>
      </c>
      <c r="D461" t="inlineStr">
        <is>
          <t>Large</t>
        </is>
      </c>
    </row>
    <row r="462">
      <c r="A462" t="inlineStr">
        <is>
          <t>C0461</t>
        </is>
      </c>
      <c r="B462" t="inlineStr">
        <is>
          <t>Sweden</t>
        </is>
      </c>
      <c r="C462" t="inlineStr">
        <is>
          <t>Retail</t>
        </is>
      </c>
      <c r="D462" t="inlineStr">
        <is>
          <t>Large</t>
        </is>
      </c>
    </row>
    <row r="463">
      <c r="A463" t="inlineStr">
        <is>
          <t>C0462</t>
        </is>
      </c>
      <c r="B463" t="inlineStr">
        <is>
          <t>Spain</t>
        </is>
      </c>
      <c r="C463" t="inlineStr">
        <is>
          <t>Education</t>
        </is>
      </c>
      <c r="D463" t="inlineStr">
        <is>
          <t>Large</t>
        </is>
      </c>
    </row>
    <row r="464">
      <c r="A464" t="inlineStr">
        <is>
          <t>C0463</t>
        </is>
      </c>
      <c r="B464" t="inlineStr">
        <is>
          <t>Netherlands</t>
        </is>
      </c>
      <c r="C464" t="inlineStr">
        <is>
          <t>Retail</t>
        </is>
      </c>
      <c r="D464" t="inlineStr">
        <is>
          <t>Large</t>
        </is>
      </c>
    </row>
    <row r="465">
      <c r="A465" t="inlineStr">
        <is>
          <t>C0464</t>
        </is>
      </c>
      <c r="B465" t="inlineStr">
        <is>
          <t>Italy</t>
        </is>
      </c>
      <c r="C465" t="inlineStr">
        <is>
          <t>Tech</t>
        </is>
      </c>
      <c r="D465" t="inlineStr">
        <is>
          <t>Enterprise</t>
        </is>
      </c>
    </row>
    <row r="466">
      <c r="A466" t="inlineStr">
        <is>
          <t>C0465</t>
        </is>
      </c>
      <c r="B466" t="inlineStr">
        <is>
          <t>France</t>
        </is>
      </c>
      <c r="C466" t="inlineStr">
        <is>
          <t>Healthcare</t>
        </is>
      </c>
      <c r="D466" t="inlineStr">
        <is>
          <t>Small</t>
        </is>
      </c>
    </row>
    <row r="467">
      <c r="A467" t="inlineStr">
        <is>
          <t>C0466</t>
        </is>
      </c>
      <c r="B467" t="inlineStr">
        <is>
          <t>Sweden</t>
        </is>
      </c>
      <c r="C467" t="inlineStr">
        <is>
          <t>Retail</t>
        </is>
      </c>
      <c r="D467" t="inlineStr">
        <is>
          <t>Enterprise</t>
        </is>
      </c>
    </row>
    <row r="468">
      <c r="A468" t="inlineStr">
        <is>
          <t>C0467</t>
        </is>
      </c>
      <c r="B468" t="inlineStr">
        <is>
          <t>France</t>
        </is>
      </c>
      <c r="C468" t="inlineStr">
        <is>
          <t>Tech</t>
        </is>
      </c>
      <c r="D468" t="inlineStr">
        <is>
          <t>Small</t>
        </is>
      </c>
    </row>
    <row r="469">
      <c r="A469" t="inlineStr">
        <is>
          <t>C0468</t>
        </is>
      </c>
      <c r="B469" t="inlineStr">
        <is>
          <t>Sweden</t>
        </is>
      </c>
      <c r="C469" t="inlineStr">
        <is>
          <t>Tech</t>
        </is>
      </c>
      <c r="D469" t="inlineStr">
        <is>
          <t>Enterprise</t>
        </is>
      </c>
    </row>
    <row r="470">
      <c r="A470" t="inlineStr">
        <is>
          <t>C0469</t>
        </is>
      </c>
      <c r="B470" t="inlineStr">
        <is>
          <t>Spain</t>
        </is>
      </c>
      <c r="C470" t="inlineStr">
        <is>
          <t>Retail</t>
        </is>
      </c>
      <c r="D470" t="inlineStr">
        <is>
          <t>Small</t>
        </is>
      </c>
    </row>
    <row r="471">
      <c r="A471" t="inlineStr">
        <is>
          <t>C0470</t>
        </is>
      </c>
      <c r="B471" t="inlineStr">
        <is>
          <t>Germany</t>
        </is>
      </c>
      <c r="C471" t="inlineStr">
        <is>
          <t>Tech</t>
        </is>
      </c>
      <c r="D471" t="inlineStr">
        <is>
          <t>Large</t>
        </is>
      </c>
    </row>
    <row r="472">
      <c r="A472" t="inlineStr">
        <is>
          <t>C0471</t>
        </is>
      </c>
      <c r="B472" t="inlineStr">
        <is>
          <t>Italy</t>
        </is>
      </c>
      <c r="C472" t="inlineStr">
        <is>
          <t>E-commerce</t>
        </is>
      </c>
      <c r="D472" t="inlineStr">
        <is>
          <t>Large</t>
        </is>
      </c>
    </row>
    <row r="473">
      <c r="A473" t="inlineStr">
        <is>
          <t>C0472</t>
        </is>
      </c>
      <c r="B473" t="inlineStr">
        <is>
          <t>Italy</t>
        </is>
      </c>
      <c r="C473" t="inlineStr">
        <is>
          <t>E-commerce</t>
        </is>
      </c>
      <c r="D473" t="inlineStr">
        <is>
          <t>Small</t>
        </is>
      </c>
    </row>
    <row r="474">
      <c r="A474" t="inlineStr">
        <is>
          <t>C0473</t>
        </is>
      </c>
      <c r="B474" t="inlineStr">
        <is>
          <t>Germany</t>
        </is>
      </c>
      <c r="C474" t="inlineStr">
        <is>
          <t>Tech</t>
        </is>
      </c>
      <c r="D474" t="inlineStr">
        <is>
          <t>Medium</t>
        </is>
      </c>
    </row>
    <row r="475">
      <c r="A475" t="inlineStr">
        <is>
          <t>C0474</t>
        </is>
      </c>
      <c r="B475" t="inlineStr">
        <is>
          <t>Italy</t>
        </is>
      </c>
      <c r="C475" t="inlineStr">
        <is>
          <t>Tech</t>
        </is>
      </c>
      <c r="D475" t="inlineStr">
        <is>
          <t>Medium</t>
        </is>
      </c>
    </row>
    <row r="476">
      <c r="A476" t="inlineStr">
        <is>
          <t>C0475</t>
        </is>
      </c>
      <c r="B476" t="inlineStr">
        <is>
          <t>Italy</t>
        </is>
      </c>
      <c r="C476" t="inlineStr">
        <is>
          <t>E-commerce</t>
        </is>
      </c>
      <c r="D476" t="inlineStr">
        <is>
          <t>Large</t>
        </is>
      </c>
    </row>
    <row r="477">
      <c r="A477" t="inlineStr">
        <is>
          <t>C0476</t>
        </is>
      </c>
      <c r="B477" t="inlineStr">
        <is>
          <t>Spain</t>
        </is>
      </c>
      <c r="C477" t="inlineStr">
        <is>
          <t>Tech</t>
        </is>
      </c>
      <c r="D477" t="inlineStr">
        <is>
          <t>Large</t>
        </is>
      </c>
    </row>
    <row r="478">
      <c r="A478" t="inlineStr">
        <is>
          <t>C0477</t>
        </is>
      </c>
      <c r="B478" t="inlineStr">
        <is>
          <t>France</t>
        </is>
      </c>
      <c r="C478" t="inlineStr">
        <is>
          <t>Tech</t>
        </is>
      </c>
      <c r="D478" t="inlineStr">
        <is>
          <t>Enterprise</t>
        </is>
      </c>
    </row>
    <row r="479">
      <c r="A479" t="inlineStr">
        <is>
          <t>C0478</t>
        </is>
      </c>
      <c r="B479" t="inlineStr">
        <is>
          <t>France</t>
        </is>
      </c>
      <c r="C479" t="inlineStr">
        <is>
          <t>Finance</t>
        </is>
      </c>
      <c r="D479" t="inlineStr">
        <is>
          <t>Large</t>
        </is>
      </c>
    </row>
    <row r="480">
      <c r="A480" t="inlineStr">
        <is>
          <t>C0479</t>
        </is>
      </c>
      <c r="B480" t="inlineStr">
        <is>
          <t>France</t>
        </is>
      </c>
      <c r="C480" t="inlineStr">
        <is>
          <t>Healthcare</t>
        </is>
      </c>
      <c r="D480" t="inlineStr">
        <is>
          <t>Medium</t>
        </is>
      </c>
    </row>
    <row r="481">
      <c r="A481" t="inlineStr">
        <is>
          <t>C0480</t>
        </is>
      </c>
      <c r="B481" t="inlineStr">
        <is>
          <t>France</t>
        </is>
      </c>
      <c r="C481" t="inlineStr">
        <is>
          <t>Education</t>
        </is>
      </c>
      <c r="D481" t="inlineStr">
        <is>
          <t>Medium</t>
        </is>
      </c>
    </row>
    <row r="482">
      <c r="A482" t="inlineStr">
        <is>
          <t>C0481</t>
        </is>
      </c>
      <c r="B482" t="inlineStr">
        <is>
          <t>Sweden</t>
        </is>
      </c>
      <c r="C482" t="inlineStr">
        <is>
          <t>E-commerce</t>
        </is>
      </c>
      <c r="D482" t="inlineStr">
        <is>
          <t>Large</t>
        </is>
      </c>
    </row>
    <row r="483">
      <c r="A483" t="inlineStr">
        <is>
          <t>C0482</t>
        </is>
      </c>
      <c r="B483" t="inlineStr">
        <is>
          <t>Italy</t>
        </is>
      </c>
      <c r="C483" t="inlineStr">
        <is>
          <t>E-commerce</t>
        </is>
      </c>
      <c r="D483" t="inlineStr">
        <is>
          <t>Enterprise</t>
        </is>
      </c>
    </row>
    <row r="484">
      <c r="A484" t="inlineStr">
        <is>
          <t>C0483</t>
        </is>
      </c>
      <c r="B484" t="inlineStr">
        <is>
          <t>Netherlands</t>
        </is>
      </c>
      <c r="C484" t="inlineStr">
        <is>
          <t>Healthcare</t>
        </is>
      </c>
      <c r="D484" t="inlineStr">
        <is>
          <t>Enterprise</t>
        </is>
      </c>
    </row>
    <row r="485">
      <c r="A485" t="inlineStr">
        <is>
          <t>C0484</t>
        </is>
      </c>
      <c r="B485" t="inlineStr">
        <is>
          <t>Germany</t>
        </is>
      </c>
      <c r="C485" t="inlineStr">
        <is>
          <t>Finance</t>
        </is>
      </c>
      <c r="D485" t="inlineStr">
        <is>
          <t>Small</t>
        </is>
      </c>
    </row>
    <row r="486">
      <c r="A486" t="inlineStr">
        <is>
          <t>C0485</t>
        </is>
      </c>
      <c r="B486" t="inlineStr">
        <is>
          <t>France</t>
        </is>
      </c>
      <c r="C486" t="inlineStr">
        <is>
          <t>E-commerce</t>
        </is>
      </c>
      <c r="D486" t="inlineStr">
        <is>
          <t>Small</t>
        </is>
      </c>
    </row>
    <row r="487">
      <c r="A487" t="inlineStr">
        <is>
          <t>C0486</t>
        </is>
      </c>
      <c r="B487" t="inlineStr">
        <is>
          <t>Sweden</t>
        </is>
      </c>
      <c r="C487" t="inlineStr">
        <is>
          <t>Tech</t>
        </is>
      </c>
      <c r="D487" t="inlineStr">
        <is>
          <t>Medium</t>
        </is>
      </c>
    </row>
    <row r="488">
      <c r="A488" t="inlineStr">
        <is>
          <t>C0487</t>
        </is>
      </c>
      <c r="B488" t="inlineStr">
        <is>
          <t>Spain</t>
        </is>
      </c>
      <c r="C488" t="inlineStr">
        <is>
          <t>Tech</t>
        </is>
      </c>
      <c r="D488" t="inlineStr">
        <is>
          <t>Large</t>
        </is>
      </c>
    </row>
    <row r="489">
      <c r="A489" t="inlineStr">
        <is>
          <t>C0488</t>
        </is>
      </c>
      <c r="B489" t="inlineStr">
        <is>
          <t>France</t>
        </is>
      </c>
      <c r="C489" t="inlineStr">
        <is>
          <t>Healthcare</t>
        </is>
      </c>
      <c r="D489" t="inlineStr">
        <is>
          <t>Enterprise</t>
        </is>
      </c>
    </row>
    <row r="490">
      <c r="A490" t="inlineStr">
        <is>
          <t>C0489</t>
        </is>
      </c>
      <c r="B490" t="inlineStr">
        <is>
          <t>Italy</t>
        </is>
      </c>
      <c r="C490" t="inlineStr">
        <is>
          <t>Finance</t>
        </is>
      </c>
      <c r="D490" t="inlineStr">
        <is>
          <t>Enterprise</t>
        </is>
      </c>
    </row>
    <row r="491">
      <c r="A491" t="inlineStr">
        <is>
          <t>C0490</t>
        </is>
      </c>
      <c r="B491" t="inlineStr">
        <is>
          <t>Spain</t>
        </is>
      </c>
      <c r="C491" t="inlineStr">
        <is>
          <t>Finance</t>
        </is>
      </c>
      <c r="D491" t="inlineStr">
        <is>
          <t>Small</t>
        </is>
      </c>
    </row>
    <row r="492">
      <c r="A492" t="inlineStr">
        <is>
          <t>C0491</t>
        </is>
      </c>
      <c r="B492" t="inlineStr">
        <is>
          <t>Spain</t>
        </is>
      </c>
      <c r="C492" t="inlineStr">
        <is>
          <t>Education</t>
        </is>
      </c>
      <c r="D492" t="inlineStr">
        <is>
          <t>Enterprise</t>
        </is>
      </c>
    </row>
    <row r="493">
      <c r="A493" t="inlineStr">
        <is>
          <t>C0492</t>
        </is>
      </c>
      <c r="B493" t="inlineStr">
        <is>
          <t>Spain</t>
        </is>
      </c>
      <c r="C493" t="inlineStr">
        <is>
          <t>Finance</t>
        </is>
      </c>
      <c r="D493" t="inlineStr">
        <is>
          <t>Enterprise</t>
        </is>
      </c>
    </row>
    <row r="494">
      <c r="A494" t="inlineStr">
        <is>
          <t>C0493</t>
        </is>
      </c>
      <c r="B494" t="inlineStr">
        <is>
          <t>Netherlands</t>
        </is>
      </c>
      <c r="C494" t="inlineStr">
        <is>
          <t>Tech</t>
        </is>
      </c>
      <c r="D494" t="inlineStr">
        <is>
          <t>Large</t>
        </is>
      </c>
    </row>
    <row r="495">
      <c r="A495" t="inlineStr">
        <is>
          <t>C0494</t>
        </is>
      </c>
      <c r="B495" t="inlineStr">
        <is>
          <t>Spain</t>
        </is>
      </c>
      <c r="C495" t="inlineStr">
        <is>
          <t>Education</t>
        </is>
      </c>
      <c r="D495" t="inlineStr">
        <is>
          <t>Enterprise</t>
        </is>
      </c>
    </row>
    <row r="496">
      <c r="A496" t="inlineStr">
        <is>
          <t>C0495</t>
        </is>
      </c>
      <c r="B496" t="inlineStr">
        <is>
          <t>Netherlands</t>
        </is>
      </c>
      <c r="C496" t="inlineStr">
        <is>
          <t>Retail</t>
        </is>
      </c>
      <c r="D496" t="inlineStr">
        <is>
          <t>Enterprise</t>
        </is>
      </c>
    </row>
    <row r="497">
      <c r="A497" t="inlineStr">
        <is>
          <t>C0496</t>
        </is>
      </c>
      <c r="B497" t="inlineStr">
        <is>
          <t>Netherlands</t>
        </is>
      </c>
      <c r="C497" t="inlineStr">
        <is>
          <t>Retail</t>
        </is>
      </c>
      <c r="D497" t="inlineStr">
        <is>
          <t>Large</t>
        </is>
      </c>
    </row>
    <row r="498">
      <c r="A498" t="inlineStr">
        <is>
          <t>C0497</t>
        </is>
      </c>
      <c r="B498" t="inlineStr">
        <is>
          <t>Netherlands</t>
        </is>
      </c>
      <c r="C498" t="inlineStr">
        <is>
          <t>Tech</t>
        </is>
      </c>
      <c r="D498" t="inlineStr">
        <is>
          <t>Large</t>
        </is>
      </c>
    </row>
    <row r="499">
      <c r="A499" t="inlineStr">
        <is>
          <t>C0498</t>
        </is>
      </c>
      <c r="B499" t="inlineStr">
        <is>
          <t>Italy</t>
        </is>
      </c>
      <c r="C499" t="inlineStr">
        <is>
          <t>E-commerce</t>
        </is>
      </c>
      <c r="D499" t="inlineStr">
        <is>
          <t>Large</t>
        </is>
      </c>
    </row>
    <row r="500">
      <c r="A500" t="inlineStr">
        <is>
          <t>C0499</t>
        </is>
      </c>
      <c r="B500" t="inlineStr">
        <is>
          <t>France</t>
        </is>
      </c>
      <c r="C500" t="inlineStr">
        <is>
          <t>Finance</t>
        </is>
      </c>
      <c r="D500" t="inlineStr">
        <is>
          <t>Enterprise</t>
        </is>
      </c>
    </row>
    <row r="501">
      <c r="A501" t="inlineStr">
        <is>
          <t>C0500</t>
        </is>
      </c>
      <c r="B501" t="inlineStr">
        <is>
          <t>Italy</t>
        </is>
      </c>
      <c r="C501" t="inlineStr">
        <is>
          <t>E-commerce</t>
        </is>
      </c>
      <c r="D501" t="inlineStr">
        <is>
          <t>Large</t>
        </is>
      </c>
    </row>
    <row r="502">
      <c r="A502" t="inlineStr">
        <is>
          <t>C0501</t>
        </is>
      </c>
      <c r="B502" t="inlineStr">
        <is>
          <t>Sweden</t>
        </is>
      </c>
      <c r="C502" t="inlineStr">
        <is>
          <t>Finance</t>
        </is>
      </c>
      <c r="D502" t="inlineStr">
        <is>
          <t>Enterprise</t>
        </is>
      </c>
    </row>
    <row r="503">
      <c r="A503" t="inlineStr">
        <is>
          <t>C0502</t>
        </is>
      </c>
      <c r="B503" t="inlineStr">
        <is>
          <t>Netherlands</t>
        </is>
      </c>
      <c r="C503" t="inlineStr">
        <is>
          <t>Finance</t>
        </is>
      </c>
      <c r="D503" t="inlineStr">
        <is>
          <t>Large</t>
        </is>
      </c>
    </row>
    <row r="504">
      <c r="A504" t="inlineStr">
        <is>
          <t>C0503</t>
        </is>
      </c>
      <c r="B504" t="inlineStr">
        <is>
          <t>Italy</t>
        </is>
      </c>
      <c r="C504" t="inlineStr">
        <is>
          <t>Retail</t>
        </is>
      </c>
      <c r="D504" t="inlineStr">
        <is>
          <t>Large</t>
        </is>
      </c>
    </row>
    <row r="505">
      <c r="A505" t="inlineStr">
        <is>
          <t>C0504</t>
        </is>
      </c>
      <c r="B505" t="inlineStr">
        <is>
          <t>Netherlands</t>
        </is>
      </c>
      <c r="C505" t="inlineStr">
        <is>
          <t>Healthcare</t>
        </is>
      </c>
      <c r="D505" t="inlineStr">
        <is>
          <t>Medium</t>
        </is>
      </c>
    </row>
    <row r="506">
      <c r="A506" t="inlineStr">
        <is>
          <t>C0505</t>
        </is>
      </c>
      <c r="B506" t="inlineStr">
        <is>
          <t>France</t>
        </is>
      </c>
      <c r="C506" t="inlineStr">
        <is>
          <t>Education</t>
        </is>
      </c>
      <c r="D506" t="inlineStr">
        <is>
          <t>Small</t>
        </is>
      </c>
    </row>
    <row r="507">
      <c r="A507" t="inlineStr">
        <is>
          <t>C0506</t>
        </is>
      </c>
      <c r="B507" t="inlineStr">
        <is>
          <t>France</t>
        </is>
      </c>
      <c r="C507" t="inlineStr">
        <is>
          <t>Education</t>
        </is>
      </c>
      <c r="D507" t="inlineStr">
        <is>
          <t>Small</t>
        </is>
      </c>
    </row>
    <row r="508">
      <c r="A508" t="inlineStr">
        <is>
          <t>C0507</t>
        </is>
      </c>
      <c r="B508" t="inlineStr">
        <is>
          <t>Sweden</t>
        </is>
      </c>
      <c r="C508" t="inlineStr">
        <is>
          <t>Healthcare</t>
        </is>
      </c>
      <c r="D508" t="inlineStr">
        <is>
          <t>Small</t>
        </is>
      </c>
    </row>
    <row r="509">
      <c r="A509" t="inlineStr">
        <is>
          <t>C0508</t>
        </is>
      </c>
      <c r="B509" t="inlineStr">
        <is>
          <t>Netherlands</t>
        </is>
      </c>
      <c r="C509" t="inlineStr">
        <is>
          <t>Tech</t>
        </is>
      </c>
      <c r="D509" t="inlineStr">
        <is>
          <t>Medium</t>
        </is>
      </c>
    </row>
    <row r="510">
      <c r="A510" t="inlineStr">
        <is>
          <t>C0509</t>
        </is>
      </c>
      <c r="B510" t="inlineStr">
        <is>
          <t>Italy</t>
        </is>
      </c>
      <c r="C510" t="inlineStr">
        <is>
          <t>Healthcare</t>
        </is>
      </c>
      <c r="D510" t="inlineStr">
        <is>
          <t>Medium</t>
        </is>
      </c>
    </row>
    <row r="511">
      <c r="A511" t="inlineStr">
        <is>
          <t>C0510</t>
        </is>
      </c>
      <c r="B511" t="inlineStr">
        <is>
          <t>Spain</t>
        </is>
      </c>
      <c r="C511" t="inlineStr">
        <is>
          <t>Retail</t>
        </is>
      </c>
      <c r="D511" t="inlineStr">
        <is>
          <t>Large</t>
        </is>
      </c>
    </row>
    <row r="512">
      <c r="A512" t="inlineStr">
        <is>
          <t>C0511</t>
        </is>
      </c>
      <c r="B512" t="inlineStr">
        <is>
          <t>Italy</t>
        </is>
      </c>
      <c r="C512" t="inlineStr">
        <is>
          <t>Education</t>
        </is>
      </c>
      <c r="D512" t="inlineStr">
        <is>
          <t>Large</t>
        </is>
      </c>
    </row>
    <row r="513">
      <c r="A513" t="inlineStr">
        <is>
          <t>C0512</t>
        </is>
      </c>
      <c r="B513" t="inlineStr">
        <is>
          <t>Sweden</t>
        </is>
      </c>
      <c r="C513" t="inlineStr">
        <is>
          <t>Finance</t>
        </is>
      </c>
      <c r="D513" t="inlineStr">
        <is>
          <t>Large</t>
        </is>
      </c>
    </row>
    <row r="514">
      <c r="A514" t="inlineStr">
        <is>
          <t>C0513</t>
        </is>
      </c>
      <c r="B514" t="inlineStr">
        <is>
          <t>Italy</t>
        </is>
      </c>
      <c r="C514" t="inlineStr">
        <is>
          <t>Tech</t>
        </is>
      </c>
      <c r="D514" t="inlineStr">
        <is>
          <t>Medium</t>
        </is>
      </c>
    </row>
    <row r="515">
      <c r="A515" t="inlineStr">
        <is>
          <t>C0514</t>
        </is>
      </c>
      <c r="B515" t="inlineStr">
        <is>
          <t>France</t>
        </is>
      </c>
      <c r="C515" t="inlineStr">
        <is>
          <t>Retail</t>
        </is>
      </c>
      <c r="D515" t="inlineStr">
        <is>
          <t>Small</t>
        </is>
      </c>
    </row>
    <row r="516">
      <c r="A516" t="inlineStr">
        <is>
          <t>C0515</t>
        </is>
      </c>
      <c r="B516" t="inlineStr">
        <is>
          <t>France</t>
        </is>
      </c>
      <c r="C516" t="inlineStr">
        <is>
          <t>Tech</t>
        </is>
      </c>
      <c r="D516" t="inlineStr">
        <is>
          <t>Small</t>
        </is>
      </c>
    </row>
    <row r="517">
      <c r="A517" t="inlineStr">
        <is>
          <t>C0516</t>
        </is>
      </c>
      <c r="B517" t="inlineStr">
        <is>
          <t>Italy</t>
        </is>
      </c>
      <c r="C517" t="inlineStr">
        <is>
          <t>Finance</t>
        </is>
      </c>
      <c r="D517" t="inlineStr">
        <is>
          <t>Medium</t>
        </is>
      </c>
    </row>
    <row r="518">
      <c r="A518" t="inlineStr">
        <is>
          <t>C0517</t>
        </is>
      </c>
      <c r="B518" t="inlineStr">
        <is>
          <t>Italy</t>
        </is>
      </c>
      <c r="C518" t="inlineStr">
        <is>
          <t>Retail</t>
        </is>
      </c>
      <c r="D518" t="inlineStr">
        <is>
          <t>Enterprise</t>
        </is>
      </c>
    </row>
    <row r="519">
      <c r="A519" t="inlineStr">
        <is>
          <t>C0518</t>
        </is>
      </c>
      <c r="B519" t="inlineStr">
        <is>
          <t>Germany</t>
        </is>
      </c>
      <c r="C519" t="inlineStr">
        <is>
          <t>Tech</t>
        </is>
      </c>
      <c r="D519" t="inlineStr">
        <is>
          <t>Large</t>
        </is>
      </c>
    </row>
    <row r="520">
      <c r="A520" t="inlineStr">
        <is>
          <t>C0519</t>
        </is>
      </c>
      <c r="B520" t="inlineStr">
        <is>
          <t>Sweden</t>
        </is>
      </c>
      <c r="C520" t="inlineStr">
        <is>
          <t>Finance</t>
        </is>
      </c>
      <c r="D520" t="inlineStr">
        <is>
          <t>Small</t>
        </is>
      </c>
    </row>
    <row r="521">
      <c r="A521" t="inlineStr">
        <is>
          <t>C0520</t>
        </is>
      </c>
      <c r="B521" t="inlineStr">
        <is>
          <t>Germany</t>
        </is>
      </c>
      <c r="C521" t="inlineStr">
        <is>
          <t>Healthcare</t>
        </is>
      </c>
      <c r="D521" t="inlineStr">
        <is>
          <t>Small</t>
        </is>
      </c>
    </row>
    <row r="522">
      <c r="A522" t="inlineStr">
        <is>
          <t>C0521</t>
        </is>
      </c>
      <c r="B522" t="inlineStr">
        <is>
          <t>Sweden</t>
        </is>
      </c>
      <c r="C522" t="inlineStr">
        <is>
          <t>E-commerce</t>
        </is>
      </c>
      <c r="D522" t="inlineStr">
        <is>
          <t>Small</t>
        </is>
      </c>
    </row>
    <row r="523">
      <c r="A523" t="inlineStr">
        <is>
          <t>C0522</t>
        </is>
      </c>
      <c r="B523" t="inlineStr">
        <is>
          <t>Germany</t>
        </is>
      </c>
      <c r="C523" t="inlineStr">
        <is>
          <t>Tech</t>
        </is>
      </c>
      <c r="D523" t="inlineStr">
        <is>
          <t>Small</t>
        </is>
      </c>
    </row>
    <row r="524">
      <c r="A524" t="inlineStr">
        <is>
          <t>C0523</t>
        </is>
      </c>
      <c r="B524" t="inlineStr">
        <is>
          <t>Netherlands</t>
        </is>
      </c>
      <c r="C524" t="inlineStr">
        <is>
          <t>Finance</t>
        </is>
      </c>
      <c r="D524" t="inlineStr">
        <is>
          <t>Large</t>
        </is>
      </c>
    </row>
    <row r="525">
      <c r="A525" t="inlineStr">
        <is>
          <t>C0524</t>
        </is>
      </c>
      <c r="B525" t="inlineStr">
        <is>
          <t>Netherlands</t>
        </is>
      </c>
      <c r="C525" t="inlineStr">
        <is>
          <t>Healthcare</t>
        </is>
      </c>
      <c r="D525" t="inlineStr">
        <is>
          <t>Large</t>
        </is>
      </c>
    </row>
    <row r="526">
      <c r="A526" t="inlineStr">
        <is>
          <t>C0525</t>
        </is>
      </c>
      <c r="B526" t="inlineStr">
        <is>
          <t>Spain</t>
        </is>
      </c>
      <c r="C526" t="inlineStr">
        <is>
          <t>Healthcare</t>
        </is>
      </c>
      <c r="D526" t="inlineStr">
        <is>
          <t>Large</t>
        </is>
      </c>
    </row>
    <row r="527">
      <c r="A527" t="inlineStr">
        <is>
          <t>C0526</t>
        </is>
      </c>
      <c r="B527" t="inlineStr">
        <is>
          <t>Italy</t>
        </is>
      </c>
      <c r="C527" t="inlineStr">
        <is>
          <t>Retail</t>
        </is>
      </c>
      <c r="D527" t="inlineStr">
        <is>
          <t>Medium</t>
        </is>
      </c>
    </row>
    <row r="528">
      <c r="A528" t="inlineStr">
        <is>
          <t>C0527</t>
        </is>
      </c>
      <c r="B528" t="inlineStr">
        <is>
          <t>Spain</t>
        </is>
      </c>
      <c r="C528" t="inlineStr">
        <is>
          <t>E-commerce</t>
        </is>
      </c>
      <c r="D528" t="inlineStr">
        <is>
          <t>Enterprise</t>
        </is>
      </c>
    </row>
    <row r="529">
      <c r="A529" t="inlineStr">
        <is>
          <t>C0528</t>
        </is>
      </c>
      <c r="B529" t="inlineStr">
        <is>
          <t>Sweden</t>
        </is>
      </c>
      <c r="C529" t="inlineStr">
        <is>
          <t>E-commerce</t>
        </is>
      </c>
      <c r="D529" t="inlineStr">
        <is>
          <t>Large</t>
        </is>
      </c>
    </row>
    <row r="530">
      <c r="A530" t="inlineStr">
        <is>
          <t>C0529</t>
        </is>
      </c>
      <c r="B530" t="inlineStr">
        <is>
          <t>France</t>
        </is>
      </c>
      <c r="C530" t="inlineStr">
        <is>
          <t>Finance</t>
        </is>
      </c>
      <c r="D530" t="inlineStr">
        <is>
          <t>Large</t>
        </is>
      </c>
    </row>
    <row r="531">
      <c r="A531" t="inlineStr">
        <is>
          <t>C0530</t>
        </is>
      </c>
      <c r="B531" t="inlineStr">
        <is>
          <t>Netherlands</t>
        </is>
      </c>
      <c r="C531" t="inlineStr">
        <is>
          <t>Finance</t>
        </is>
      </c>
      <c r="D531" t="inlineStr">
        <is>
          <t>Medium</t>
        </is>
      </c>
    </row>
    <row r="532">
      <c r="A532" t="inlineStr">
        <is>
          <t>C0531</t>
        </is>
      </c>
      <c r="B532" t="inlineStr">
        <is>
          <t>Sweden</t>
        </is>
      </c>
      <c r="C532" t="inlineStr">
        <is>
          <t>Finance</t>
        </is>
      </c>
      <c r="D532" t="inlineStr">
        <is>
          <t>Enterprise</t>
        </is>
      </c>
    </row>
    <row r="533">
      <c r="A533" t="inlineStr">
        <is>
          <t>C0532</t>
        </is>
      </c>
      <c r="B533" t="inlineStr">
        <is>
          <t>Germany</t>
        </is>
      </c>
      <c r="C533" t="inlineStr">
        <is>
          <t>E-commerce</t>
        </is>
      </c>
      <c r="D533" t="inlineStr">
        <is>
          <t>Enterprise</t>
        </is>
      </c>
    </row>
    <row r="534">
      <c r="A534" t="inlineStr">
        <is>
          <t>C0533</t>
        </is>
      </c>
      <c r="B534" t="inlineStr">
        <is>
          <t>Spain</t>
        </is>
      </c>
      <c r="C534" t="inlineStr">
        <is>
          <t>Retail</t>
        </is>
      </c>
      <c r="D534" t="inlineStr">
        <is>
          <t>Large</t>
        </is>
      </c>
    </row>
    <row r="535">
      <c r="A535" t="inlineStr">
        <is>
          <t>C0534</t>
        </is>
      </c>
      <c r="B535" t="inlineStr">
        <is>
          <t>Italy</t>
        </is>
      </c>
      <c r="C535" t="inlineStr">
        <is>
          <t>E-commerce</t>
        </is>
      </c>
      <c r="D535" t="inlineStr">
        <is>
          <t>Enterprise</t>
        </is>
      </c>
    </row>
    <row r="536">
      <c r="A536" t="inlineStr">
        <is>
          <t>C0535</t>
        </is>
      </c>
      <c r="B536" t="inlineStr">
        <is>
          <t>Netherlands</t>
        </is>
      </c>
      <c r="C536" t="inlineStr">
        <is>
          <t>Education</t>
        </is>
      </c>
      <c r="D536" t="inlineStr">
        <is>
          <t>Large</t>
        </is>
      </c>
    </row>
    <row r="537">
      <c r="A537" t="inlineStr">
        <is>
          <t>C0536</t>
        </is>
      </c>
      <c r="B537" t="inlineStr">
        <is>
          <t>Germany</t>
        </is>
      </c>
      <c r="C537" t="inlineStr">
        <is>
          <t>Education</t>
        </is>
      </c>
      <c r="D537" t="inlineStr">
        <is>
          <t>Small</t>
        </is>
      </c>
    </row>
    <row r="538">
      <c r="A538" t="inlineStr">
        <is>
          <t>C0537</t>
        </is>
      </c>
      <c r="B538" t="inlineStr">
        <is>
          <t>Italy</t>
        </is>
      </c>
      <c r="C538" t="inlineStr">
        <is>
          <t>E-commerce</t>
        </is>
      </c>
      <c r="D538" t="inlineStr">
        <is>
          <t>Enterprise</t>
        </is>
      </c>
    </row>
    <row r="539">
      <c r="A539" t="inlineStr">
        <is>
          <t>C0538</t>
        </is>
      </c>
      <c r="B539" t="inlineStr">
        <is>
          <t>Spain</t>
        </is>
      </c>
      <c r="C539" t="inlineStr">
        <is>
          <t>Healthcare</t>
        </is>
      </c>
      <c r="D539" t="inlineStr">
        <is>
          <t>Small</t>
        </is>
      </c>
    </row>
    <row r="540">
      <c r="A540" t="inlineStr">
        <is>
          <t>C0539</t>
        </is>
      </c>
      <c r="B540" t="inlineStr">
        <is>
          <t>Sweden</t>
        </is>
      </c>
      <c r="C540" t="inlineStr">
        <is>
          <t>E-commerce</t>
        </is>
      </c>
      <c r="D540" t="inlineStr">
        <is>
          <t>Enterprise</t>
        </is>
      </c>
    </row>
    <row r="541">
      <c r="A541" t="inlineStr">
        <is>
          <t>C0540</t>
        </is>
      </c>
      <c r="B541" t="inlineStr">
        <is>
          <t>France</t>
        </is>
      </c>
      <c r="C541" t="inlineStr">
        <is>
          <t>Tech</t>
        </is>
      </c>
      <c r="D541" t="inlineStr">
        <is>
          <t>Large</t>
        </is>
      </c>
    </row>
    <row r="542">
      <c r="A542" t="inlineStr">
        <is>
          <t>C0541</t>
        </is>
      </c>
      <c r="B542" t="inlineStr">
        <is>
          <t>Spain</t>
        </is>
      </c>
      <c r="C542" t="inlineStr">
        <is>
          <t>Tech</t>
        </is>
      </c>
      <c r="D542" t="inlineStr">
        <is>
          <t>Small</t>
        </is>
      </c>
    </row>
    <row r="543">
      <c r="A543" t="inlineStr">
        <is>
          <t>C0542</t>
        </is>
      </c>
      <c r="B543" t="inlineStr">
        <is>
          <t>France</t>
        </is>
      </c>
      <c r="C543" t="inlineStr">
        <is>
          <t>Tech</t>
        </is>
      </c>
      <c r="D543" t="inlineStr">
        <is>
          <t>Large</t>
        </is>
      </c>
    </row>
    <row r="544">
      <c r="A544" t="inlineStr">
        <is>
          <t>C0543</t>
        </is>
      </c>
      <c r="B544" t="inlineStr">
        <is>
          <t>Netherlands</t>
        </is>
      </c>
      <c r="C544" t="inlineStr">
        <is>
          <t>Retail</t>
        </is>
      </c>
      <c r="D544" t="inlineStr">
        <is>
          <t>Enterprise</t>
        </is>
      </c>
    </row>
    <row r="545">
      <c r="A545" t="inlineStr">
        <is>
          <t>C0544</t>
        </is>
      </c>
      <c r="B545" t="inlineStr">
        <is>
          <t>Germany</t>
        </is>
      </c>
      <c r="C545" t="inlineStr">
        <is>
          <t>E-commerce</t>
        </is>
      </c>
      <c r="D545" t="inlineStr">
        <is>
          <t>Small</t>
        </is>
      </c>
    </row>
    <row r="546">
      <c r="A546" t="inlineStr">
        <is>
          <t>C0545</t>
        </is>
      </c>
      <c r="B546" t="inlineStr">
        <is>
          <t>Italy</t>
        </is>
      </c>
      <c r="C546" t="inlineStr">
        <is>
          <t>Retail</t>
        </is>
      </c>
      <c r="D546" t="inlineStr">
        <is>
          <t>Small</t>
        </is>
      </c>
    </row>
    <row r="547">
      <c r="A547" t="inlineStr">
        <is>
          <t>C0546</t>
        </is>
      </c>
      <c r="B547" t="inlineStr">
        <is>
          <t>France</t>
        </is>
      </c>
      <c r="C547" t="inlineStr">
        <is>
          <t>Healthcare</t>
        </is>
      </c>
      <c r="D547" t="inlineStr">
        <is>
          <t>Large</t>
        </is>
      </c>
    </row>
    <row r="548">
      <c r="A548" t="inlineStr">
        <is>
          <t>C0547</t>
        </is>
      </c>
      <c r="B548" t="inlineStr">
        <is>
          <t>Spain</t>
        </is>
      </c>
      <c r="C548" t="inlineStr">
        <is>
          <t>Finance</t>
        </is>
      </c>
      <c r="D548" t="inlineStr">
        <is>
          <t>Medium</t>
        </is>
      </c>
    </row>
    <row r="549">
      <c r="A549" t="inlineStr">
        <is>
          <t>C0548</t>
        </is>
      </c>
      <c r="B549" t="inlineStr">
        <is>
          <t>Germany</t>
        </is>
      </c>
      <c r="C549" t="inlineStr">
        <is>
          <t>Retail</t>
        </is>
      </c>
      <c r="D549" t="inlineStr">
        <is>
          <t>Medium</t>
        </is>
      </c>
    </row>
    <row r="550">
      <c r="A550" t="inlineStr">
        <is>
          <t>C0549</t>
        </is>
      </c>
      <c r="B550" t="inlineStr">
        <is>
          <t>Sweden</t>
        </is>
      </c>
      <c r="C550" t="inlineStr">
        <is>
          <t>Tech</t>
        </is>
      </c>
      <c r="D550" t="inlineStr">
        <is>
          <t>Medium</t>
        </is>
      </c>
    </row>
    <row r="551">
      <c r="A551" t="inlineStr">
        <is>
          <t>C0550</t>
        </is>
      </c>
      <c r="B551" t="inlineStr">
        <is>
          <t>Italy</t>
        </is>
      </c>
      <c r="C551" t="inlineStr">
        <is>
          <t>E-commerce</t>
        </is>
      </c>
      <c r="D551" t="inlineStr">
        <is>
          <t>Enterprise</t>
        </is>
      </c>
    </row>
    <row r="552">
      <c r="A552" t="inlineStr">
        <is>
          <t>C0551</t>
        </is>
      </c>
      <c r="B552" t="inlineStr">
        <is>
          <t>Netherlands</t>
        </is>
      </c>
      <c r="C552" t="inlineStr">
        <is>
          <t>Education</t>
        </is>
      </c>
      <c r="D552" t="inlineStr">
        <is>
          <t>Large</t>
        </is>
      </c>
    </row>
    <row r="553">
      <c r="A553" t="inlineStr">
        <is>
          <t>C0552</t>
        </is>
      </c>
      <c r="B553" t="inlineStr">
        <is>
          <t>Italy</t>
        </is>
      </c>
      <c r="C553" t="inlineStr">
        <is>
          <t>Retail</t>
        </is>
      </c>
      <c r="D553" t="inlineStr">
        <is>
          <t>Large</t>
        </is>
      </c>
    </row>
    <row r="554">
      <c r="A554" t="inlineStr">
        <is>
          <t>C0553</t>
        </is>
      </c>
      <c r="B554" t="inlineStr">
        <is>
          <t>Netherlands</t>
        </is>
      </c>
      <c r="C554" t="inlineStr">
        <is>
          <t>Retail</t>
        </is>
      </c>
      <c r="D554" t="inlineStr">
        <is>
          <t>Enterprise</t>
        </is>
      </c>
    </row>
    <row r="555">
      <c r="A555" t="inlineStr">
        <is>
          <t>C0554</t>
        </is>
      </c>
      <c r="B555" t="inlineStr">
        <is>
          <t>Spain</t>
        </is>
      </c>
      <c r="C555" t="inlineStr">
        <is>
          <t>Retail</t>
        </is>
      </c>
      <c r="D555" t="inlineStr">
        <is>
          <t>Enterprise</t>
        </is>
      </c>
    </row>
    <row r="556">
      <c r="A556" t="inlineStr">
        <is>
          <t>C0555</t>
        </is>
      </c>
      <c r="B556" t="inlineStr">
        <is>
          <t>Netherlands</t>
        </is>
      </c>
      <c r="C556" t="inlineStr">
        <is>
          <t>Tech</t>
        </is>
      </c>
      <c r="D556" t="inlineStr">
        <is>
          <t>Large</t>
        </is>
      </c>
    </row>
    <row r="557">
      <c r="A557" t="inlineStr">
        <is>
          <t>C0556</t>
        </is>
      </c>
      <c r="B557" t="inlineStr">
        <is>
          <t>Spain</t>
        </is>
      </c>
      <c r="C557" t="inlineStr">
        <is>
          <t>Tech</t>
        </is>
      </c>
      <c r="D557" t="inlineStr">
        <is>
          <t>Small</t>
        </is>
      </c>
    </row>
    <row r="558">
      <c r="A558" t="inlineStr">
        <is>
          <t>C0557</t>
        </is>
      </c>
      <c r="B558" t="inlineStr">
        <is>
          <t>Sweden</t>
        </is>
      </c>
      <c r="C558" t="inlineStr">
        <is>
          <t>Finance</t>
        </is>
      </c>
      <c r="D558" t="inlineStr">
        <is>
          <t>Large</t>
        </is>
      </c>
    </row>
    <row r="559">
      <c r="A559" t="inlineStr">
        <is>
          <t>C0558</t>
        </is>
      </c>
      <c r="B559" t="inlineStr">
        <is>
          <t>Sweden</t>
        </is>
      </c>
      <c r="C559" t="inlineStr">
        <is>
          <t>Retail</t>
        </is>
      </c>
      <c r="D559" t="inlineStr">
        <is>
          <t>Medium</t>
        </is>
      </c>
    </row>
    <row r="560">
      <c r="A560" t="inlineStr">
        <is>
          <t>C0559</t>
        </is>
      </c>
      <c r="B560" t="inlineStr">
        <is>
          <t>Germany</t>
        </is>
      </c>
      <c r="C560" t="inlineStr">
        <is>
          <t>Retail</t>
        </is>
      </c>
      <c r="D560" t="inlineStr">
        <is>
          <t>Small</t>
        </is>
      </c>
    </row>
    <row r="561">
      <c r="A561" t="inlineStr">
        <is>
          <t>C0560</t>
        </is>
      </c>
      <c r="B561" t="inlineStr">
        <is>
          <t>Germany</t>
        </is>
      </c>
      <c r="C561" t="inlineStr">
        <is>
          <t>Finance</t>
        </is>
      </c>
      <c r="D561" t="inlineStr">
        <is>
          <t>Large</t>
        </is>
      </c>
    </row>
    <row r="562">
      <c r="A562" t="inlineStr">
        <is>
          <t>C0561</t>
        </is>
      </c>
      <c r="B562" t="inlineStr">
        <is>
          <t>Sweden</t>
        </is>
      </c>
      <c r="C562" t="inlineStr">
        <is>
          <t>Finance</t>
        </is>
      </c>
      <c r="D562" t="inlineStr">
        <is>
          <t>Medium</t>
        </is>
      </c>
    </row>
    <row r="563">
      <c r="A563" t="inlineStr">
        <is>
          <t>C0562</t>
        </is>
      </c>
      <c r="B563" t="inlineStr">
        <is>
          <t>France</t>
        </is>
      </c>
      <c r="C563" t="inlineStr">
        <is>
          <t>Tech</t>
        </is>
      </c>
      <c r="D563" t="inlineStr">
        <is>
          <t>Small</t>
        </is>
      </c>
    </row>
    <row r="564">
      <c r="A564" t="inlineStr">
        <is>
          <t>C0563</t>
        </is>
      </c>
      <c r="B564" t="inlineStr">
        <is>
          <t>France</t>
        </is>
      </c>
      <c r="C564" t="inlineStr">
        <is>
          <t>Tech</t>
        </is>
      </c>
      <c r="D564" t="inlineStr">
        <is>
          <t>Large</t>
        </is>
      </c>
    </row>
    <row r="565">
      <c r="A565" t="inlineStr">
        <is>
          <t>C0564</t>
        </is>
      </c>
      <c r="B565" t="inlineStr">
        <is>
          <t>Germany</t>
        </is>
      </c>
      <c r="C565" t="inlineStr">
        <is>
          <t>Education</t>
        </is>
      </c>
      <c r="D565" t="inlineStr">
        <is>
          <t>Medium</t>
        </is>
      </c>
    </row>
    <row r="566">
      <c r="A566" t="inlineStr">
        <is>
          <t>C0565</t>
        </is>
      </c>
      <c r="B566" t="inlineStr">
        <is>
          <t>France</t>
        </is>
      </c>
      <c r="C566" t="inlineStr">
        <is>
          <t>Retail</t>
        </is>
      </c>
      <c r="D566" t="inlineStr">
        <is>
          <t>Enterprise</t>
        </is>
      </c>
    </row>
    <row r="567">
      <c r="A567" t="inlineStr">
        <is>
          <t>C0566</t>
        </is>
      </c>
      <c r="B567" t="inlineStr">
        <is>
          <t>Italy</t>
        </is>
      </c>
      <c r="C567" t="inlineStr">
        <is>
          <t>Finance</t>
        </is>
      </c>
      <c r="D567" t="inlineStr">
        <is>
          <t>Large</t>
        </is>
      </c>
    </row>
    <row r="568">
      <c r="A568" t="inlineStr">
        <is>
          <t>C0567</t>
        </is>
      </c>
      <c r="B568" t="inlineStr">
        <is>
          <t>Germany</t>
        </is>
      </c>
      <c r="C568" t="inlineStr">
        <is>
          <t>Education</t>
        </is>
      </c>
      <c r="D568" t="inlineStr">
        <is>
          <t>Small</t>
        </is>
      </c>
    </row>
    <row r="569">
      <c r="A569" t="inlineStr">
        <is>
          <t>C0568</t>
        </is>
      </c>
      <c r="B569" t="inlineStr">
        <is>
          <t>Germany</t>
        </is>
      </c>
      <c r="C569" t="inlineStr">
        <is>
          <t>Finance</t>
        </is>
      </c>
      <c r="D569" t="inlineStr">
        <is>
          <t>Large</t>
        </is>
      </c>
    </row>
    <row r="570">
      <c r="A570" t="inlineStr">
        <is>
          <t>C0569</t>
        </is>
      </c>
      <c r="B570" t="inlineStr">
        <is>
          <t>Italy</t>
        </is>
      </c>
      <c r="C570" t="inlineStr">
        <is>
          <t>Tech</t>
        </is>
      </c>
      <c r="D570" t="inlineStr">
        <is>
          <t>Small</t>
        </is>
      </c>
    </row>
    <row r="571">
      <c r="A571" t="inlineStr">
        <is>
          <t>C0570</t>
        </is>
      </c>
      <c r="B571" t="inlineStr">
        <is>
          <t>Germany</t>
        </is>
      </c>
      <c r="C571" t="inlineStr">
        <is>
          <t>Finance</t>
        </is>
      </c>
      <c r="D571" t="inlineStr">
        <is>
          <t>Small</t>
        </is>
      </c>
    </row>
    <row r="572">
      <c r="A572" t="inlineStr">
        <is>
          <t>C0571</t>
        </is>
      </c>
      <c r="B572" t="inlineStr">
        <is>
          <t>Spain</t>
        </is>
      </c>
      <c r="C572" t="inlineStr">
        <is>
          <t>Finance</t>
        </is>
      </c>
      <c r="D572" t="inlineStr">
        <is>
          <t>Enterprise</t>
        </is>
      </c>
    </row>
    <row r="573">
      <c r="A573" t="inlineStr">
        <is>
          <t>C0572</t>
        </is>
      </c>
      <c r="B573" t="inlineStr">
        <is>
          <t>Netherlands</t>
        </is>
      </c>
      <c r="C573" t="inlineStr">
        <is>
          <t>Finance</t>
        </is>
      </c>
      <c r="D573" t="inlineStr">
        <is>
          <t>Enterprise</t>
        </is>
      </c>
    </row>
    <row r="574">
      <c r="A574" t="inlineStr">
        <is>
          <t>C0573</t>
        </is>
      </c>
      <c r="B574" t="inlineStr">
        <is>
          <t>Sweden</t>
        </is>
      </c>
      <c r="C574" t="inlineStr">
        <is>
          <t>E-commerce</t>
        </is>
      </c>
      <c r="D574" t="inlineStr">
        <is>
          <t>Enterprise</t>
        </is>
      </c>
    </row>
    <row r="575">
      <c r="A575" t="inlineStr">
        <is>
          <t>C0574</t>
        </is>
      </c>
      <c r="B575" t="inlineStr">
        <is>
          <t>Italy</t>
        </is>
      </c>
      <c r="C575" t="inlineStr">
        <is>
          <t>Education</t>
        </is>
      </c>
      <c r="D575" t="inlineStr">
        <is>
          <t>Enterprise</t>
        </is>
      </c>
    </row>
    <row r="576">
      <c r="A576" t="inlineStr">
        <is>
          <t>C0575</t>
        </is>
      </c>
      <c r="B576" t="inlineStr">
        <is>
          <t>Italy</t>
        </is>
      </c>
      <c r="C576" t="inlineStr">
        <is>
          <t>Finance</t>
        </is>
      </c>
      <c r="D576" t="inlineStr">
        <is>
          <t>Large</t>
        </is>
      </c>
    </row>
    <row r="577">
      <c r="A577" t="inlineStr">
        <is>
          <t>C0576</t>
        </is>
      </c>
      <c r="B577" t="inlineStr">
        <is>
          <t>Italy</t>
        </is>
      </c>
      <c r="C577" t="inlineStr">
        <is>
          <t>E-commerce</t>
        </is>
      </c>
      <c r="D577" t="inlineStr">
        <is>
          <t>Medium</t>
        </is>
      </c>
    </row>
    <row r="578">
      <c r="A578" t="inlineStr">
        <is>
          <t>C0577</t>
        </is>
      </c>
      <c r="B578" t="inlineStr">
        <is>
          <t>Germany</t>
        </is>
      </c>
      <c r="C578" t="inlineStr">
        <is>
          <t>Finance</t>
        </is>
      </c>
      <c r="D578" t="inlineStr">
        <is>
          <t>Large</t>
        </is>
      </c>
    </row>
    <row r="579">
      <c r="A579" t="inlineStr">
        <is>
          <t>C0578</t>
        </is>
      </c>
      <c r="B579" t="inlineStr">
        <is>
          <t>Netherlands</t>
        </is>
      </c>
      <c r="C579" t="inlineStr">
        <is>
          <t>Retail</t>
        </is>
      </c>
      <c r="D579" t="inlineStr">
        <is>
          <t>Enterprise</t>
        </is>
      </c>
    </row>
    <row r="580">
      <c r="A580" t="inlineStr">
        <is>
          <t>C0579</t>
        </is>
      </c>
      <c r="B580" t="inlineStr">
        <is>
          <t>Sweden</t>
        </is>
      </c>
      <c r="C580" t="inlineStr">
        <is>
          <t>Retail</t>
        </is>
      </c>
      <c r="D580" t="inlineStr">
        <is>
          <t>Small</t>
        </is>
      </c>
    </row>
    <row r="581">
      <c r="A581" t="inlineStr">
        <is>
          <t>C0580</t>
        </is>
      </c>
      <c r="B581" t="inlineStr">
        <is>
          <t>Spain</t>
        </is>
      </c>
      <c r="C581" t="inlineStr">
        <is>
          <t>Education</t>
        </is>
      </c>
      <c r="D581" t="inlineStr">
        <is>
          <t>Medium</t>
        </is>
      </c>
    </row>
    <row r="582">
      <c r="A582" t="inlineStr">
        <is>
          <t>C0581</t>
        </is>
      </c>
      <c r="B582" t="inlineStr">
        <is>
          <t>Sweden</t>
        </is>
      </c>
      <c r="C582" t="inlineStr">
        <is>
          <t>Education</t>
        </is>
      </c>
      <c r="D582" t="inlineStr">
        <is>
          <t>Enterprise</t>
        </is>
      </c>
    </row>
    <row r="583">
      <c r="A583" t="inlineStr">
        <is>
          <t>C0582</t>
        </is>
      </c>
      <c r="B583" t="inlineStr">
        <is>
          <t>Italy</t>
        </is>
      </c>
      <c r="C583" t="inlineStr">
        <is>
          <t>Finance</t>
        </is>
      </c>
      <c r="D583" t="inlineStr">
        <is>
          <t>Large</t>
        </is>
      </c>
    </row>
    <row r="584">
      <c r="A584" t="inlineStr">
        <is>
          <t>C0583</t>
        </is>
      </c>
      <c r="B584" t="inlineStr">
        <is>
          <t>Germany</t>
        </is>
      </c>
      <c r="C584" t="inlineStr">
        <is>
          <t>Tech</t>
        </is>
      </c>
      <c r="D584" t="inlineStr">
        <is>
          <t>Enterprise</t>
        </is>
      </c>
    </row>
    <row r="585">
      <c r="A585" t="inlineStr">
        <is>
          <t>C0584</t>
        </is>
      </c>
      <c r="B585" t="inlineStr">
        <is>
          <t>Spain</t>
        </is>
      </c>
      <c r="C585" t="inlineStr">
        <is>
          <t>Education</t>
        </is>
      </c>
      <c r="D585" t="inlineStr">
        <is>
          <t>Large</t>
        </is>
      </c>
    </row>
    <row r="586">
      <c r="A586" t="inlineStr">
        <is>
          <t>C0585</t>
        </is>
      </c>
      <c r="B586" t="inlineStr">
        <is>
          <t>Italy</t>
        </is>
      </c>
      <c r="C586" t="inlineStr">
        <is>
          <t>Healthcare</t>
        </is>
      </c>
      <c r="D586" t="inlineStr">
        <is>
          <t>Enterprise</t>
        </is>
      </c>
    </row>
    <row r="587">
      <c r="A587" t="inlineStr">
        <is>
          <t>C0586</t>
        </is>
      </c>
      <c r="B587" t="inlineStr">
        <is>
          <t>France</t>
        </is>
      </c>
      <c r="C587" t="inlineStr">
        <is>
          <t>Retail</t>
        </is>
      </c>
      <c r="D587" t="inlineStr">
        <is>
          <t>Enterprise</t>
        </is>
      </c>
    </row>
    <row r="588">
      <c r="A588" t="inlineStr">
        <is>
          <t>C0587</t>
        </is>
      </c>
      <c r="B588" t="inlineStr">
        <is>
          <t>Sweden</t>
        </is>
      </c>
      <c r="C588" t="inlineStr">
        <is>
          <t>Finance</t>
        </is>
      </c>
      <c r="D588" t="inlineStr">
        <is>
          <t>Small</t>
        </is>
      </c>
    </row>
    <row r="589">
      <c r="A589" t="inlineStr">
        <is>
          <t>C0588</t>
        </is>
      </c>
      <c r="B589" t="inlineStr">
        <is>
          <t>Italy</t>
        </is>
      </c>
      <c r="C589" t="inlineStr">
        <is>
          <t>E-commerce</t>
        </is>
      </c>
      <c r="D589" t="inlineStr">
        <is>
          <t>Small</t>
        </is>
      </c>
    </row>
    <row r="590">
      <c r="A590" t="inlineStr">
        <is>
          <t>C0589</t>
        </is>
      </c>
      <c r="B590" t="inlineStr">
        <is>
          <t>Germany</t>
        </is>
      </c>
      <c r="C590" t="inlineStr">
        <is>
          <t>E-commerce</t>
        </is>
      </c>
      <c r="D590" t="inlineStr">
        <is>
          <t>Large</t>
        </is>
      </c>
    </row>
    <row r="591">
      <c r="A591" t="inlineStr">
        <is>
          <t>C0590</t>
        </is>
      </c>
      <c r="B591" t="inlineStr">
        <is>
          <t>Germany</t>
        </is>
      </c>
      <c r="C591" t="inlineStr">
        <is>
          <t>E-commerce</t>
        </is>
      </c>
      <c r="D591" t="inlineStr">
        <is>
          <t>Medium</t>
        </is>
      </c>
    </row>
    <row r="592">
      <c r="A592" t="inlineStr">
        <is>
          <t>C0591</t>
        </is>
      </c>
      <c r="B592" t="inlineStr">
        <is>
          <t>Germany</t>
        </is>
      </c>
      <c r="C592" t="inlineStr">
        <is>
          <t>Retail</t>
        </is>
      </c>
      <c r="D592" t="inlineStr">
        <is>
          <t>Large</t>
        </is>
      </c>
    </row>
    <row r="593">
      <c r="A593" t="inlineStr">
        <is>
          <t>C0592</t>
        </is>
      </c>
      <c r="B593" t="inlineStr">
        <is>
          <t>Germany</t>
        </is>
      </c>
      <c r="C593" t="inlineStr">
        <is>
          <t>E-commerce</t>
        </is>
      </c>
      <c r="D593" t="inlineStr">
        <is>
          <t>Small</t>
        </is>
      </c>
    </row>
    <row r="594">
      <c r="A594" t="inlineStr">
        <is>
          <t>C0593</t>
        </is>
      </c>
      <c r="B594" t="inlineStr">
        <is>
          <t>Netherlands</t>
        </is>
      </c>
      <c r="C594" t="inlineStr">
        <is>
          <t>Retail</t>
        </is>
      </c>
      <c r="D594" t="inlineStr">
        <is>
          <t>Medium</t>
        </is>
      </c>
    </row>
    <row r="595">
      <c r="A595" t="inlineStr">
        <is>
          <t>C0594</t>
        </is>
      </c>
      <c r="B595" t="inlineStr">
        <is>
          <t>Spain</t>
        </is>
      </c>
      <c r="C595" t="inlineStr">
        <is>
          <t>Education</t>
        </is>
      </c>
      <c r="D595" t="inlineStr">
        <is>
          <t>Small</t>
        </is>
      </c>
    </row>
    <row r="596">
      <c r="A596" t="inlineStr">
        <is>
          <t>C0595</t>
        </is>
      </c>
      <c r="B596" t="inlineStr">
        <is>
          <t>Sweden</t>
        </is>
      </c>
      <c r="C596" t="inlineStr">
        <is>
          <t>Retail</t>
        </is>
      </c>
      <c r="D596" t="inlineStr">
        <is>
          <t>Medium</t>
        </is>
      </c>
    </row>
    <row r="597">
      <c r="A597" t="inlineStr">
        <is>
          <t>C0596</t>
        </is>
      </c>
      <c r="B597" t="inlineStr">
        <is>
          <t>Germany</t>
        </is>
      </c>
      <c r="C597" t="inlineStr">
        <is>
          <t>Finance</t>
        </is>
      </c>
      <c r="D597" t="inlineStr">
        <is>
          <t>Enterprise</t>
        </is>
      </c>
    </row>
    <row r="598">
      <c r="A598" t="inlineStr">
        <is>
          <t>C0597</t>
        </is>
      </c>
      <c r="B598" t="inlineStr">
        <is>
          <t>Sweden</t>
        </is>
      </c>
      <c r="C598" t="inlineStr">
        <is>
          <t>Education</t>
        </is>
      </c>
      <c r="D598" t="inlineStr">
        <is>
          <t>Medium</t>
        </is>
      </c>
    </row>
    <row r="599">
      <c r="A599" t="inlineStr">
        <is>
          <t>C0598</t>
        </is>
      </c>
      <c r="B599" t="inlineStr">
        <is>
          <t>Spain</t>
        </is>
      </c>
      <c r="C599" t="inlineStr">
        <is>
          <t>Finance</t>
        </is>
      </c>
      <c r="D599" t="inlineStr">
        <is>
          <t>Large</t>
        </is>
      </c>
    </row>
    <row r="600">
      <c r="A600" t="inlineStr">
        <is>
          <t>C0599</t>
        </is>
      </c>
      <c r="B600" t="inlineStr">
        <is>
          <t>Netherlands</t>
        </is>
      </c>
      <c r="C600" t="inlineStr">
        <is>
          <t>Education</t>
        </is>
      </c>
      <c r="D600" t="inlineStr">
        <is>
          <t>Medium</t>
        </is>
      </c>
    </row>
    <row r="601">
      <c r="A601" t="inlineStr">
        <is>
          <t>C0600</t>
        </is>
      </c>
      <c r="B601" t="inlineStr">
        <is>
          <t>France</t>
        </is>
      </c>
      <c r="C601" t="inlineStr">
        <is>
          <t>Retail</t>
        </is>
      </c>
      <c r="D601" t="inlineStr">
        <is>
          <t>Medium</t>
        </is>
      </c>
    </row>
    <row r="602">
      <c r="A602" t="inlineStr">
        <is>
          <t>C0601</t>
        </is>
      </c>
      <c r="B602" t="inlineStr">
        <is>
          <t>Netherlands</t>
        </is>
      </c>
      <c r="C602" t="inlineStr">
        <is>
          <t>Tech</t>
        </is>
      </c>
      <c r="D602" t="inlineStr">
        <is>
          <t>Small</t>
        </is>
      </c>
    </row>
    <row r="603">
      <c r="A603" t="inlineStr">
        <is>
          <t>C0602</t>
        </is>
      </c>
      <c r="B603" t="inlineStr">
        <is>
          <t>Sweden</t>
        </is>
      </c>
      <c r="C603" t="inlineStr">
        <is>
          <t>Finance</t>
        </is>
      </c>
      <c r="D603" t="inlineStr">
        <is>
          <t>Large</t>
        </is>
      </c>
    </row>
    <row r="604">
      <c r="A604" t="inlineStr">
        <is>
          <t>C0603</t>
        </is>
      </c>
      <c r="B604" t="inlineStr">
        <is>
          <t>Italy</t>
        </is>
      </c>
      <c r="C604" t="inlineStr">
        <is>
          <t>Healthcare</t>
        </is>
      </c>
      <c r="D604" t="inlineStr">
        <is>
          <t>Medium</t>
        </is>
      </c>
    </row>
    <row r="605">
      <c r="A605" t="inlineStr">
        <is>
          <t>C0604</t>
        </is>
      </c>
      <c r="B605" t="inlineStr">
        <is>
          <t>Germany</t>
        </is>
      </c>
      <c r="C605" t="inlineStr">
        <is>
          <t>Education</t>
        </is>
      </c>
      <c r="D605" t="inlineStr">
        <is>
          <t>Small</t>
        </is>
      </c>
    </row>
    <row r="606">
      <c r="A606" t="inlineStr">
        <is>
          <t>C0605</t>
        </is>
      </c>
      <c r="B606" t="inlineStr">
        <is>
          <t>Netherlands</t>
        </is>
      </c>
      <c r="C606" t="inlineStr">
        <is>
          <t>Tech</t>
        </is>
      </c>
      <c r="D606" t="inlineStr">
        <is>
          <t>Medium</t>
        </is>
      </c>
    </row>
    <row r="607">
      <c r="A607" t="inlineStr">
        <is>
          <t>C0606</t>
        </is>
      </c>
      <c r="B607" t="inlineStr">
        <is>
          <t>Italy</t>
        </is>
      </c>
      <c r="C607" t="inlineStr">
        <is>
          <t>Healthcare</t>
        </is>
      </c>
      <c r="D607" t="inlineStr">
        <is>
          <t>Enterprise</t>
        </is>
      </c>
    </row>
    <row r="608">
      <c r="A608" t="inlineStr">
        <is>
          <t>C0607</t>
        </is>
      </c>
      <c r="B608" t="inlineStr">
        <is>
          <t>Germany</t>
        </is>
      </c>
      <c r="C608" t="inlineStr">
        <is>
          <t>Retail</t>
        </is>
      </c>
      <c r="D608" t="inlineStr">
        <is>
          <t>Small</t>
        </is>
      </c>
    </row>
    <row r="609">
      <c r="A609" t="inlineStr">
        <is>
          <t>C0608</t>
        </is>
      </c>
      <c r="B609" t="inlineStr">
        <is>
          <t>Italy</t>
        </is>
      </c>
      <c r="C609" t="inlineStr">
        <is>
          <t>E-commerce</t>
        </is>
      </c>
      <c r="D609" t="inlineStr">
        <is>
          <t>Large</t>
        </is>
      </c>
    </row>
    <row r="610">
      <c r="A610" t="inlineStr">
        <is>
          <t>C0609</t>
        </is>
      </c>
      <c r="B610" t="inlineStr">
        <is>
          <t>Sweden</t>
        </is>
      </c>
      <c r="C610" t="inlineStr">
        <is>
          <t>Finance</t>
        </is>
      </c>
      <c r="D610" t="inlineStr">
        <is>
          <t>Medium</t>
        </is>
      </c>
    </row>
    <row r="611">
      <c r="A611" t="inlineStr">
        <is>
          <t>C0610</t>
        </is>
      </c>
      <c r="B611" t="inlineStr">
        <is>
          <t>Italy</t>
        </is>
      </c>
      <c r="C611" t="inlineStr">
        <is>
          <t>Education</t>
        </is>
      </c>
      <c r="D611" t="inlineStr">
        <is>
          <t>Large</t>
        </is>
      </c>
    </row>
    <row r="612">
      <c r="A612" t="inlineStr">
        <is>
          <t>C0611</t>
        </is>
      </c>
      <c r="B612" t="inlineStr">
        <is>
          <t>Spain</t>
        </is>
      </c>
      <c r="C612" t="inlineStr">
        <is>
          <t>Healthcare</t>
        </is>
      </c>
      <c r="D612" t="inlineStr">
        <is>
          <t>Enterprise</t>
        </is>
      </c>
    </row>
    <row r="613">
      <c r="A613" t="inlineStr">
        <is>
          <t>C0612</t>
        </is>
      </c>
      <c r="B613" t="inlineStr">
        <is>
          <t>Italy</t>
        </is>
      </c>
      <c r="C613" t="inlineStr">
        <is>
          <t>Retail</t>
        </is>
      </c>
      <c r="D613" t="inlineStr">
        <is>
          <t>Large</t>
        </is>
      </c>
    </row>
    <row r="614">
      <c r="A614" t="inlineStr">
        <is>
          <t>C0613</t>
        </is>
      </c>
      <c r="B614" t="inlineStr">
        <is>
          <t>Spain</t>
        </is>
      </c>
      <c r="C614" t="inlineStr">
        <is>
          <t>E-commerce</t>
        </is>
      </c>
      <c r="D614" t="inlineStr">
        <is>
          <t>Large</t>
        </is>
      </c>
    </row>
    <row r="615">
      <c r="A615" t="inlineStr">
        <is>
          <t>C0614</t>
        </is>
      </c>
      <c r="B615" t="inlineStr">
        <is>
          <t>Spain</t>
        </is>
      </c>
      <c r="C615" t="inlineStr">
        <is>
          <t>Finance</t>
        </is>
      </c>
      <c r="D615" t="inlineStr">
        <is>
          <t>Medium</t>
        </is>
      </c>
    </row>
    <row r="616">
      <c r="A616" t="inlineStr">
        <is>
          <t>C0615</t>
        </is>
      </c>
      <c r="B616" t="inlineStr">
        <is>
          <t>Sweden</t>
        </is>
      </c>
      <c r="C616" t="inlineStr">
        <is>
          <t>E-commerce</t>
        </is>
      </c>
      <c r="D616" t="inlineStr">
        <is>
          <t>Medium</t>
        </is>
      </c>
    </row>
    <row r="617">
      <c r="A617" t="inlineStr">
        <is>
          <t>C0616</t>
        </is>
      </c>
      <c r="B617" t="inlineStr">
        <is>
          <t>Sweden</t>
        </is>
      </c>
      <c r="C617" t="inlineStr">
        <is>
          <t>Education</t>
        </is>
      </c>
      <c r="D617" t="inlineStr">
        <is>
          <t>Small</t>
        </is>
      </c>
    </row>
    <row r="618">
      <c r="A618" t="inlineStr">
        <is>
          <t>C0617</t>
        </is>
      </c>
      <c r="B618" t="inlineStr">
        <is>
          <t>Spain</t>
        </is>
      </c>
      <c r="C618" t="inlineStr">
        <is>
          <t>Healthcare</t>
        </is>
      </c>
      <c r="D618" t="inlineStr">
        <is>
          <t>Enterprise</t>
        </is>
      </c>
    </row>
    <row r="619">
      <c r="A619" t="inlineStr">
        <is>
          <t>C0618</t>
        </is>
      </c>
      <c r="B619" t="inlineStr">
        <is>
          <t>France</t>
        </is>
      </c>
      <c r="C619" t="inlineStr">
        <is>
          <t>Retail</t>
        </is>
      </c>
      <c r="D619" t="inlineStr">
        <is>
          <t>Large</t>
        </is>
      </c>
    </row>
    <row r="620">
      <c r="A620" t="inlineStr">
        <is>
          <t>C0619</t>
        </is>
      </c>
      <c r="B620" t="inlineStr">
        <is>
          <t>France</t>
        </is>
      </c>
      <c r="C620" t="inlineStr">
        <is>
          <t>E-commerce</t>
        </is>
      </c>
      <c r="D620" t="inlineStr">
        <is>
          <t>Enterprise</t>
        </is>
      </c>
    </row>
    <row r="621">
      <c r="A621" t="inlineStr">
        <is>
          <t>C0620</t>
        </is>
      </c>
      <c r="B621" t="inlineStr">
        <is>
          <t>France</t>
        </is>
      </c>
      <c r="C621" t="inlineStr">
        <is>
          <t>Finance</t>
        </is>
      </c>
      <c r="D621" t="inlineStr">
        <is>
          <t>Medium</t>
        </is>
      </c>
    </row>
    <row r="622">
      <c r="A622" t="inlineStr">
        <is>
          <t>C0621</t>
        </is>
      </c>
      <c r="B622" t="inlineStr">
        <is>
          <t>Italy</t>
        </is>
      </c>
      <c r="C622" t="inlineStr">
        <is>
          <t>E-commerce</t>
        </is>
      </c>
      <c r="D622" t="inlineStr">
        <is>
          <t>Medium</t>
        </is>
      </c>
    </row>
    <row r="623">
      <c r="A623" t="inlineStr">
        <is>
          <t>C0622</t>
        </is>
      </c>
      <c r="B623" t="inlineStr">
        <is>
          <t>Spain</t>
        </is>
      </c>
      <c r="C623" t="inlineStr">
        <is>
          <t>Retail</t>
        </is>
      </c>
      <c r="D623" t="inlineStr">
        <is>
          <t>Large</t>
        </is>
      </c>
    </row>
    <row r="624">
      <c r="A624" t="inlineStr">
        <is>
          <t>C0623</t>
        </is>
      </c>
      <c r="B624" t="inlineStr">
        <is>
          <t>Sweden</t>
        </is>
      </c>
      <c r="C624" t="inlineStr">
        <is>
          <t>Finance</t>
        </is>
      </c>
      <c r="D624" t="inlineStr">
        <is>
          <t>Small</t>
        </is>
      </c>
    </row>
    <row r="625">
      <c r="A625" t="inlineStr">
        <is>
          <t>C0624</t>
        </is>
      </c>
      <c r="B625" t="inlineStr">
        <is>
          <t>France</t>
        </is>
      </c>
      <c r="C625" t="inlineStr">
        <is>
          <t>Healthcare</t>
        </is>
      </c>
      <c r="D625" t="inlineStr">
        <is>
          <t>Small</t>
        </is>
      </c>
    </row>
    <row r="626">
      <c r="A626" t="inlineStr">
        <is>
          <t>C0625</t>
        </is>
      </c>
      <c r="B626" t="inlineStr">
        <is>
          <t>Italy</t>
        </is>
      </c>
      <c r="C626" t="inlineStr">
        <is>
          <t>Tech</t>
        </is>
      </c>
      <c r="D626" t="inlineStr">
        <is>
          <t>Large</t>
        </is>
      </c>
    </row>
    <row r="627">
      <c r="A627" t="inlineStr">
        <is>
          <t>C0626</t>
        </is>
      </c>
      <c r="B627" t="inlineStr">
        <is>
          <t>Netherlands</t>
        </is>
      </c>
      <c r="C627" t="inlineStr">
        <is>
          <t>Retail</t>
        </is>
      </c>
      <c r="D627" t="inlineStr">
        <is>
          <t>Medium</t>
        </is>
      </c>
    </row>
    <row r="628">
      <c r="A628" t="inlineStr">
        <is>
          <t>C0627</t>
        </is>
      </c>
      <c r="B628" t="inlineStr">
        <is>
          <t>Spain</t>
        </is>
      </c>
      <c r="C628" t="inlineStr">
        <is>
          <t>Retail</t>
        </is>
      </c>
      <c r="D628" t="inlineStr">
        <is>
          <t>Large</t>
        </is>
      </c>
    </row>
    <row r="629">
      <c r="A629" t="inlineStr">
        <is>
          <t>C0628</t>
        </is>
      </c>
      <c r="B629" t="inlineStr">
        <is>
          <t>Spain</t>
        </is>
      </c>
      <c r="C629" t="inlineStr">
        <is>
          <t>E-commerce</t>
        </is>
      </c>
      <c r="D629" t="inlineStr">
        <is>
          <t>Small</t>
        </is>
      </c>
    </row>
    <row r="630">
      <c r="A630" t="inlineStr">
        <is>
          <t>C0629</t>
        </is>
      </c>
      <c r="B630" t="inlineStr">
        <is>
          <t>France</t>
        </is>
      </c>
      <c r="C630" t="inlineStr">
        <is>
          <t>E-commerce</t>
        </is>
      </c>
      <c r="D630" t="inlineStr">
        <is>
          <t>Small</t>
        </is>
      </c>
    </row>
    <row r="631">
      <c r="A631" t="inlineStr">
        <is>
          <t>C0630</t>
        </is>
      </c>
      <c r="B631" t="inlineStr">
        <is>
          <t>Netherlands</t>
        </is>
      </c>
      <c r="C631" t="inlineStr">
        <is>
          <t>Retail</t>
        </is>
      </c>
      <c r="D631" t="inlineStr">
        <is>
          <t>Enterprise</t>
        </is>
      </c>
    </row>
    <row r="632">
      <c r="A632" t="inlineStr">
        <is>
          <t>C0631</t>
        </is>
      </c>
      <c r="B632" t="inlineStr">
        <is>
          <t>Spain</t>
        </is>
      </c>
      <c r="C632" t="inlineStr">
        <is>
          <t>E-commerce</t>
        </is>
      </c>
      <c r="D632" t="inlineStr">
        <is>
          <t>Enterprise</t>
        </is>
      </c>
    </row>
    <row r="633">
      <c r="A633" t="inlineStr">
        <is>
          <t>C0632</t>
        </is>
      </c>
      <c r="B633" t="inlineStr">
        <is>
          <t>Netherlands</t>
        </is>
      </c>
      <c r="C633" t="inlineStr">
        <is>
          <t>Education</t>
        </is>
      </c>
      <c r="D633" t="inlineStr">
        <is>
          <t>Medium</t>
        </is>
      </c>
    </row>
    <row r="634">
      <c r="A634" t="inlineStr">
        <is>
          <t>C0633</t>
        </is>
      </c>
      <c r="B634" t="inlineStr">
        <is>
          <t>Italy</t>
        </is>
      </c>
      <c r="C634" t="inlineStr">
        <is>
          <t>Healthcare</t>
        </is>
      </c>
      <c r="D634" t="inlineStr">
        <is>
          <t>Large</t>
        </is>
      </c>
    </row>
    <row r="635">
      <c r="A635" t="inlineStr">
        <is>
          <t>C0634</t>
        </is>
      </c>
      <c r="B635" t="inlineStr">
        <is>
          <t>Sweden</t>
        </is>
      </c>
      <c r="C635" t="inlineStr">
        <is>
          <t>Finance</t>
        </is>
      </c>
      <c r="D635" t="inlineStr">
        <is>
          <t>Large</t>
        </is>
      </c>
    </row>
    <row r="636">
      <c r="A636" t="inlineStr">
        <is>
          <t>C0635</t>
        </is>
      </c>
      <c r="B636" t="inlineStr">
        <is>
          <t>Sweden</t>
        </is>
      </c>
      <c r="C636" t="inlineStr">
        <is>
          <t>Education</t>
        </is>
      </c>
      <c r="D636" t="inlineStr">
        <is>
          <t>Large</t>
        </is>
      </c>
    </row>
    <row r="637">
      <c r="A637" t="inlineStr">
        <is>
          <t>C0636</t>
        </is>
      </c>
      <c r="B637" t="inlineStr">
        <is>
          <t>France</t>
        </is>
      </c>
      <c r="C637" t="inlineStr">
        <is>
          <t>Education</t>
        </is>
      </c>
      <c r="D637" t="inlineStr">
        <is>
          <t>Small</t>
        </is>
      </c>
    </row>
    <row r="638">
      <c r="A638" t="inlineStr">
        <is>
          <t>C0637</t>
        </is>
      </c>
      <c r="B638" t="inlineStr">
        <is>
          <t>Sweden</t>
        </is>
      </c>
      <c r="C638" t="inlineStr">
        <is>
          <t>Healthcare</t>
        </is>
      </c>
      <c r="D638" t="inlineStr">
        <is>
          <t>Large</t>
        </is>
      </c>
    </row>
    <row r="639">
      <c r="A639" t="inlineStr">
        <is>
          <t>C0638</t>
        </is>
      </c>
      <c r="B639" t="inlineStr">
        <is>
          <t>Germany</t>
        </is>
      </c>
      <c r="C639" t="inlineStr">
        <is>
          <t>E-commerce</t>
        </is>
      </c>
      <c r="D639" t="inlineStr">
        <is>
          <t>Enterprise</t>
        </is>
      </c>
    </row>
    <row r="640">
      <c r="A640" t="inlineStr">
        <is>
          <t>C0639</t>
        </is>
      </c>
      <c r="B640" t="inlineStr">
        <is>
          <t>France</t>
        </is>
      </c>
      <c r="C640" t="inlineStr">
        <is>
          <t>Retail</t>
        </is>
      </c>
      <c r="D640" t="inlineStr">
        <is>
          <t>Small</t>
        </is>
      </c>
    </row>
    <row r="641">
      <c r="A641" t="inlineStr">
        <is>
          <t>C0640</t>
        </is>
      </c>
      <c r="B641" t="inlineStr">
        <is>
          <t>Sweden</t>
        </is>
      </c>
      <c r="C641" t="inlineStr">
        <is>
          <t>E-commerce</t>
        </is>
      </c>
      <c r="D641" t="inlineStr">
        <is>
          <t>Large</t>
        </is>
      </c>
    </row>
    <row r="642">
      <c r="A642" t="inlineStr">
        <is>
          <t>C0641</t>
        </is>
      </c>
      <c r="B642" t="inlineStr">
        <is>
          <t>Netherlands</t>
        </is>
      </c>
      <c r="C642" t="inlineStr">
        <is>
          <t>Tech</t>
        </is>
      </c>
      <c r="D642" t="inlineStr">
        <is>
          <t>Medium</t>
        </is>
      </c>
    </row>
    <row r="643">
      <c r="A643" t="inlineStr">
        <is>
          <t>C0642</t>
        </is>
      </c>
      <c r="B643" t="inlineStr">
        <is>
          <t>Germany</t>
        </is>
      </c>
      <c r="C643" t="inlineStr">
        <is>
          <t>Tech</t>
        </is>
      </c>
      <c r="D643" t="inlineStr">
        <is>
          <t>Medium</t>
        </is>
      </c>
    </row>
    <row r="644">
      <c r="A644" t="inlineStr">
        <is>
          <t>C0643</t>
        </is>
      </c>
      <c r="B644" t="inlineStr">
        <is>
          <t>Netherlands</t>
        </is>
      </c>
      <c r="C644" t="inlineStr">
        <is>
          <t>E-commerce</t>
        </is>
      </c>
      <c r="D644" t="inlineStr">
        <is>
          <t>Enterprise</t>
        </is>
      </c>
    </row>
    <row r="645">
      <c r="A645" t="inlineStr">
        <is>
          <t>C0644</t>
        </is>
      </c>
      <c r="B645" t="inlineStr">
        <is>
          <t>Germany</t>
        </is>
      </c>
      <c r="C645" t="inlineStr">
        <is>
          <t>Tech</t>
        </is>
      </c>
      <c r="D645" t="inlineStr">
        <is>
          <t>Small</t>
        </is>
      </c>
    </row>
    <row r="646">
      <c r="A646" t="inlineStr">
        <is>
          <t>C0645</t>
        </is>
      </c>
      <c r="B646" t="inlineStr">
        <is>
          <t>Germany</t>
        </is>
      </c>
      <c r="C646" t="inlineStr">
        <is>
          <t>Tech</t>
        </is>
      </c>
      <c r="D646" t="inlineStr">
        <is>
          <t>Large</t>
        </is>
      </c>
    </row>
    <row r="647">
      <c r="A647" t="inlineStr">
        <is>
          <t>C0646</t>
        </is>
      </c>
      <c r="B647" t="inlineStr">
        <is>
          <t>Sweden</t>
        </is>
      </c>
      <c r="C647" t="inlineStr">
        <is>
          <t>Tech</t>
        </is>
      </c>
      <c r="D647" t="inlineStr">
        <is>
          <t>Large</t>
        </is>
      </c>
    </row>
    <row r="648">
      <c r="A648" t="inlineStr">
        <is>
          <t>C0647</t>
        </is>
      </c>
      <c r="B648" t="inlineStr">
        <is>
          <t>Germany</t>
        </is>
      </c>
      <c r="C648" t="inlineStr">
        <is>
          <t>Education</t>
        </is>
      </c>
      <c r="D648" t="inlineStr">
        <is>
          <t>Large</t>
        </is>
      </c>
    </row>
    <row r="649">
      <c r="A649" t="inlineStr">
        <is>
          <t>C0648</t>
        </is>
      </c>
      <c r="B649" t="inlineStr">
        <is>
          <t>Netherlands</t>
        </is>
      </c>
      <c r="C649" t="inlineStr">
        <is>
          <t>Healthcare</t>
        </is>
      </c>
      <c r="D649" t="inlineStr">
        <is>
          <t>Small</t>
        </is>
      </c>
    </row>
    <row r="650">
      <c r="A650" t="inlineStr">
        <is>
          <t>C0649</t>
        </is>
      </c>
      <c r="B650" t="inlineStr">
        <is>
          <t>Germany</t>
        </is>
      </c>
      <c r="C650" t="inlineStr">
        <is>
          <t>Healthcare</t>
        </is>
      </c>
      <c r="D650" t="inlineStr">
        <is>
          <t>Small</t>
        </is>
      </c>
    </row>
    <row r="651">
      <c r="A651" t="inlineStr">
        <is>
          <t>C0650</t>
        </is>
      </c>
      <c r="B651" t="inlineStr">
        <is>
          <t>Sweden</t>
        </is>
      </c>
      <c r="C651" t="inlineStr">
        <is>
          <t>E-commerce</t>
        </is>
      </c>
      <c r="D651" t="inlineStr">
        <is>
          <t>Small</t>
        </is>
      </c>
    </row>
    <row r="652">
      <c r="A652" t="inlineStr">
        <is>
          <t>C0651</t>
        </is>
      </c>
      <c r="B652" t="inlineStr">
        <is>
          <t>Italy</t>
        </is>
      </c>
      <c r="C652" t="inlineStr">
        <is>
          <t>Tech</t>
        </is>
      </c>
      <c r="D652" t="inlineStr">
        <is>
          <t>Enterprise</t>
        </is>
      </c>
    </row>
    <row r="653">
      <c r="A653" t="inlineStr">
        <is>
          <t>C0652</t>
        </is>
      </c>
      <c r="B653" t="inlineStr">
        <is>
          <t>Sweden</t>
        </is>
      </c>
      <c r="C653" t="inlineStr">
        <is>
          <t>Healthcare</t>
        </is>
      </c>
      <c r="D653" t="inlineStr">
        <is>
          <t>Medium</t>
        </is>
      </c>
    </row>
    <row r="654">
      <c r="A654" t="inlineStr">
        <is>
          <t>C0653</t>
        </is>
      </c>
      <c r="B654" t="inlineStr">
        <is>
          <t>Germany</t>
        </is>
      </c>
      <c r="C654" t="inlineStr">
        <is>
          <t>Retail</t>
        </is>
      </c>
      <c r="D654" t="inlineStr">
        <is>
          <t>Medium</t>
        </is>
      </c>
    </row>
    <row r="655">
      <c r="A655" t="inlineStr">
        <is>
          <t>C0654</t>
        </is>
      </c>
      <c r="B655" t="inlineStr">
        <is>
          <t>Sweden</t>
        </is>
      </c>
      <c r="C655" t="inlineStr">
        <is>
          <t>E-commerce</t>
        </is>
      </c>
      <c r="D655" t="inlineStr">
        <is>
          <t>Large</t>
        </is>
      </c>
    </row>
    <row r="656">
      <c r="A656" t="inlineStr">
        <is>
          <t>C0655</t>
        </is>
      </c>
      <c r="B656" t="inlineStr">
        <is>
          <t>Italy</t>
        </is>
      </c>
      <c r="C656" t="inlineStr">
        <is>
          <t>Healthcare</t>
        </is>
      </c>
      <c r="D656" t="inlineStr">
        <is>
          <t>Medium</t>
        </is>
      </c>
    </row>
    <row r="657">
      <c r="A657" t="inlineStr">
        <is>
          <t>C0656</t>
        </is>
      </c>
      <c r="B657" t="inlineStr">
        <is>
          <t>Sweden</t>
        </is>
      </c>
      <c r="C657" t="inlineStr">
        <is>
          <t>Healthcare</t>
        </is>
      </c>
      <c r="D657" t="inlineStr">
        <is>
          <t>Small</t>
        </is>
      </c>
    </row>
    <row r="658">
      <c r="A658" t="inlineStr">
        <is>
          <t>C0657</t>
        </is>
      </c>
      <c r="B658" t="inlineStr">
        <is>
          <t>Italy</t>
        </is>
      </c>
      <c r="C658" t="inlineStr">
        <is>
          <t>Finance</t>
        </is>
      </c>
      <c r="D658" t="inlineStr">
        <is>
          <t>Medium</t>
        </is>
      </c>
    </row>
    <row r="659">
      <c r="A659" t="inlineStr">
        <is>
          <t>C0658</t>
        </is>
      </c>
      <c r="B659" t="inlineStr">
        <is>
          <t>France</t>
        </is>
      </c>
      <c r="C659" t="inlineStr">
        <is>
          <t>Education</t>
        </is>
      </c>
      <c r="D659" t="inlineStr">
        <is>
          <t>Medium</t>
        </is>
      </c>
    </row>
    <row r="660">
      <c r="A660" t="inlineStr">
        <is>
          <t>C0659</t>
        </is>
      </c>
      <c r="B660" t="inlineStr">
        <is>
          <t>Netherlands</t>
        </is>
      </c>
      <c r="C660" t="inlineStr">
        <is>
          <t>Retail</t>
        </is>
      </c>
      <c r="D660" t="inlineStr">
        <is>
          <t>Enterprise</t>
        </is>
      </c>
    </row>
    <row r="661">
      <c r="A661" t="inlineStr">
        <is>
          <t>C0660</t>
        </is>
      </c>
      <c r="B661" t="inlineStr">
        <is>
          <t>Netherlands</t>
        </is>
      </c>
      <c r="C661" t="inlineStr">
        <is>
          <t>Tech</t>
        </is>
      </c>
      <c r="D661" t="inlineStr">
        <is>
          <t>Enterprise</t>
        </is>
      </c>
    </row>
    <row r="662">
      <c r="A662" t="inlineStr">
        <is>
          <t>C0661</t>
        </is>
      </c>
      <c r="B662" t="inlineStr">
        <is>
          <t>Germany</t>
        </is>
      </c>
      <c r="C662" t="inlineStr">
        <is>
          <t>E-commerce</t>
        </is>
      </c>
      <c r="D662" t="inlineStr">
        <is>
          <t>Medium</t>
        </is>
      </c>
    </row>
    <row r="663">
      <c r="A663" t="inlineStr">
        <is>
          <t>C0662</t>
        </is>
      </c>
      <c r="B663" t="inlineStr">
        <is>
          <t>France</t>
        </is>
      </c>
      <c r="C663" t="inlineStr">
        <is>
          <t>Healthcare</t>
        </is>
      </c>
      <c r="D663" t="inlineStr">
        <is>
          <t>Large</t>
        </is>
      </c>
    </row>
    <row r="664">
      <c r="A664" t="inlineStr">
        <is>
          <t>C0663</t>
        </is>
      </c>
      <c r="B664" t="inlineStr">
        <is>
          <t>Sweden</t>
        </is>
      </c>
      <c r="C664" t="inlineStr">
        <is>
          <t>Retail</t>
        </is>
      </c>
      <c r="D664" t="inlineStr">
        <is>
          <t>Medium</t>
        </is>
      </c>
    </row>
    <row r="665">
      <c r="A665" t="inlineStr">
        <is>
          <t>C0664</t>
        </is>
      </c>
      <c r="B665" t="inlineStr">
        <is>
          <t>Italy</t>
        </is>
      </c>
      <c r="C665" t="inlineStr">
        <is>
          <t>Tech</t>
        </is>
      </c>
      <c r="D665" t="inlineStr">
        <is>
          <t>Enterprise</t>
        </is>
      </c>
    </row>
    <row r="666">
      <c r="A666" t="inlineStr">
        <is>
          <t>C0665</t>
        </is>
      </c>
      <c r="B666" t="inlineStr">
        <is>
          <t>France</t>
        </is>
      </c>
      <c r="C666" t="inlineStr">
        <is>
          <t>E-commerce</t>
        </is>
      </c>
      <c r="D666" t="inlineStr">
        <is>
          <t>Medium</t>
        </is>
      </c>
    </row>
    <row r="667">
      <c r="A667" t="inlineStr">
        <is>
          <t>C0666</t>
        </is>
      </c>
      <c r="B667" t="inlineStr">
        <is>
          <t>Italy</t>
        </is>
      </c>
      <c r="C667" t="inlineStr">
        <is>
          <t>Retail</t>
        </is>
      </c>
      <c r="D667" t="inlineStr">
        <is>
          <t>Enterprise</t>
        </is>
      </c>
    </row>
    <row r="668">
      <c r="A668" t="inlineStr">
        <is>
          <t>C0667</t>
        </is>
      </c>
      <c r="B668" t="inlineStr">
        <is>
          <t>Netherlands</t>
        </is>
      </c>
      <c r="C668" t="inlineStr">
        <is>
          <t>E-commerce</t>
        </is>
      </c>
      <c r="D668" t="inlineStr">
        <is>
          <t>Small</t>
        </is>
      </c>
    </row>
    <row r="669">
      <c r="A669" t="inlineStr">
        <is>
          <t>C0668</t>
        </is>
      </c>
      <c r="B669" t="inlineStr">
        <is>
          <t>France</t>
        </is>
      </c>
      <c r="C669" t="inlineStr">
        <is>
          <t>Healthcare</t>
        </is>
      </c>
      <c r="D669" t="inlineStr">
        <is>
          <t>Enterprise</t>
        </is>
      </c>
    </row>
    <row r="670">
      <c r="A670" t="inlineStr">
        <is>
          <t>C0669</t>
        </is>
      </c>
      <c r="B670" t="inlineStr">
        <is>
          <t>Italy</t>
        </is>
      </c>
      <c r="C670" t="inlineStr">
        <is>
          <t>Retail</t>
        </is>
      </c>
      <c r="D670" t="inlineStr">
        <is>
          <t>Medium</t>
        </is>
      </c>
    </row>
    <row r="671">
      <c r="A671" t="inlineStr">
        <is>
          <t>C0670</t>
        </is>
      </c>
      <c r="B671" t="inlineStr">
        <is>
          <t>Netherlands</t>
        </is>
      </c>
      <c r="C671" t="inlineStr">
        <is>
          <t>Healthcare</t>
        </is>
      </c>
      <c r="D671" t="inlineStr">
        <is>
          <t>Large</t>
        </is>
      </c>
    </row>
    <row r="672">
      <c r="A672" t="inlineStr">
        <is>
          <t>C0671</t>
        </is>
      </c>
      <c r="B672" t="inlineStr">
        <is>
          <t>Sweden</t>
        </is>
      </c>
      <c r="C672" t="inlineStr">
        <is>
          <t>Education</t>
        </is>
      </c>
      <c r="D672" t="inlineStr">
        <is>
          <t>Medium</t>
        </is>
      </c>
    </row>
    <row r="673">
      <c r="A673" t="inlineStr">
        <is>
          <t>C0672</t>
        </is>
      </c>
      <c r="B673" t="inlineStr">
        <is>
          <t>Germany</t>
        </is>
      </c>
      <c r="C673" t="inlineStr">
        <is>
          <t>Tech</t>
        </is>
      </c>
      <c r="D673" t="inlineStr">
        <is>
          <t>Medium</t>
        </is>
      </c>
    </row>
    <row r="674">
      <c r="A674" t="inlineStr">
        <is>
          <t>C0673</t>
        </is>
      </c>
      <c r="B674" t="inlineStr">
        <is>
          <t>Netherlands</t>
        </is>
      </c>
      <c r="C674" t="inlineStr">
        <is>
          <t>E-commerce</t>
        </is>
      </c>
      <c r="D674" t="inlineStr">
        <is>
          <t>Large</t>
        </is>
      </c>
    </row>
    <row r="675">
      <c r="A675" t="inlineStr">
        <is>
          <t>C0674</t>
        </is>
      </c>
      <c r="B675" t="inlineStr">
        <is>
          <t>France</t>
        </is>
      </c>
      <c r="C675" t="inlineStr">
        <is>
          <t>Healthcare</t>
        </is>
      </c>
      <c r="D675" t="inlineStr">
        <is>
          <t>Large</t>
        </is>
      </c>
    </row>
    <row r="676">
      <c r="A676" t="inlineStr">
        <is>
          <t>C0675</t>
        </is>
      </c>
      <c r="B676" t="inlineStr">
        <is>
          <t>Netherlands</t>
        </is>
      </c>
      <c r="C676" t="inlineStr">
        <is>
          <t>Finance</t>
        </is>
      </c>
      <c r="D676" t="inlineStr">
        <is>
          <t>Medium</t>
        </is>
      </c>
    </row>
    <row r="677">
      <c r="A677" t="inlineStr">
        <is>
          <t>C0676</t>
        </is>
      </c>
      <c r="B677" t="inlineStr">
        <is>
          <t>Netherlands</t>
        </is>
      </c>
      <c r="C677" t="inlineStr">
        <is>
          <t>Finance</t>
        </is>
      </c>
      <c r="D677" t="inlineStr">
        <is>
          <t>Enterprise</t>
        </is>
      </c>
    </row>
    <row r="678">
      <c r="A678" t="inlineStr">
        <is>
          <t>C0677</t>
        </is>
      </c>
      <c r="B678" t="inlineStr">
        <is>
          <t>Germany</t>
        </is>
      </c>
      <c r="C678" t="inlineStr">
        <is>
          <t>Tech</t>
        </is>
      </c>
      <c r="D678" t="inlineStr">
        <is>
          <t>Small</t>
        </is>
      </c>
    </row>
    <row r="679">
      <c r="A679" t="inlineStr">
        <is>
          <t>C0678</t>
        </is>
      </c>
      <c r="B679" t="inlineStr">
        <is>
          <t>Netherlands</t>
        </is>
      </c>
      <c r="C679" t="inlineStr">
        <is>
          <t>Education</t>
        </is>
      </c>
      <c r="D679" t="inlineStr">
        <is>
          <t>Small</t>
        </is>
      </c>
    </row>
    <row r="680">
      <c r="A680" t="inlineStr">
        <is>
          <t>C0679</t>
        </is>
      </c>
      <c r="B680" t="inlineStr">
        <is>
          <t>Sweden</t>
        </is>
      </c>
      <c r="C680" t="inlineStr">
        <is>
          <t>Finance</t>
        </is>
      </c>
      <c r="D680" t="inlineStr">
        <is>
          <t>Enterprise</t>
        </is>
      </c>
    </row>
    <row r="681">
      <c r="A681" t="inlineStr">
        <is>
          <t>C0680</t>
        </is>
      </c>
      <c r="B681" t="inlineStr">
        <is>
          <t>Sweden</t>
        </is>
      </c>
      <c r="C681" t="inlineStr">
        <is>
          <t>Finance</t>
        </is>
      </c>
      <c r="D681" t="inlineStr">
        <is>
          <t>Enterprise</t>
        </is>
      </c>
    </row>
    <row r="682">
      <c r="A682" t="inlineStr">
        <is>
          <t>C0681</t>
        </is>
      </c>
      <c r="B682" t="inlineStr">
        <is>
          <t>Germany</t>
        </is>
      </c>
      <c r="C682" t="inlineStr">
        <is>
          <t>Healthcare</t>
        </is>
      </c>
      <c r="D682" t="inlineStr">
        <is>
          <t>Medium</t>
        </is>
      </c>
    </row>
    <row r="683">
      <c r="A683" t="inlineStr">
        <is>
          <t>C0682</t>
        </is>
      </c>
      <c r="B683" t="inlineStr">
        <is>
          <t>Spain</t>
        </is>
      </c>
      <c r="C683" t="inlineStr">
        <is>
          <t>Healthcare</t>
        </is>
      </c>
      <c r="D683" t="inlineStr">
        <is>
          <t>Small</t>
        </is>
      </c>
    </row>
    <row r="684">
      <c r="A684" t="inlineStr">
        <is>
          <t>C0683</t>
        </is>
      </c>
      <c r="B684" t="inlineStr">
        <is>
          <t>Sweden</t>
        </is>
      </c>
      <c r="C684" t="inlineStr">
        <is>
          <t>Education</t>
        </is>
      </c>
      <c r="D684" t="inlineStr">
        <is>
          <t>Enterprise</t>
        </is>
      </c>
    </row>
    <row r="685">
      <c r="A685" t="inlineStr">
        <is>
          <t>C0684</t>
        </is>
      </c>
      <c r="B685" t="inlineStr">
        <is>
          <t>Germany</t>
        </is>
      </c>
      <c r="C685" t="inlineStr">
        <is>
          <t>Tech</t>
        </is>
      </c>
      <c r="D685" t="inlineStr">
        <is>
          <t>Medium</t>
        </is>
      </c>
    </row>
    <row r="686">
      <c r="A686" t="inlineStr">
        <is>
          <t>C0685</t>
        </is>
      </c>
      <c r="B686" t="inlineStr">
        <is>
          <t>Sweden</t>
        </is>
      </c>
      <c r="C686" t="inlineStr">
        <is>
          <t>Finance</t>
        </is>
      </c>
      <c r="D686" t="inlineStr">
        <is>
          <t>Medium</t>
        </is>
      </c>
    </row>
    <row r="687">
      <c r="A687" t="inlineStr">
        <is>
          <t>C0686</t>
        </is>
      </c>
      <c r="B687" t="inlineStr">
        <is>
          <t>Netherlands</t>
        </is>
      </c>
      <c r="C687" t="inlineStr">
        <is>
          <t>Tech</t>
        </is>
      </c>
      <c r="D687" t="inlineStr">
        <is>
          <t>Enterprise</t>
        </is>
      </c>
    </row>
    <row r="688">
      <c r="A688" t="inlineStr">
        <is>
          <t>C0687</t>
        </is>
      </c>
      <c r="B688" t="inlineStr">
        <is>
          <t>Germany</t>
        </is>
      </c>
      <c r="C688" t="inlineStr">
        <is>
          <t>Tech</t>
        </is>
      </c>
      <c r="D688" t="inlineStr">
        <is>
          <t>Medium</t>
        </is>
      </c>
    </row>
    <row r="689">
      <c r="A689" t="inlineStr">
        <is>
          <t>C0688</t>
        </is>
      </c>
      <c r="B689" t="inlineStr">
        <is>
          <t>Netherlands</t>
        </is>
      </c>
      <c r="C689" t="inlineStr">
        <is>
          <t>Retail</t>
        </is>
      </c>
      <c r="D689" t="inlineStr">
        <is>
          <t>Enterprise</t>
        </is>
      </c>
    </row>
    <row r="690">
      <c r="A690" t="inlineStr">
        <is>
          <t>C0689</t>
        </is>
      </c>
      <c r="B690" t="inlineStr">
        <is>
          <t>Netherlands</t>
        </is>
      </c>
      <c r="C690" t="inlineStr">
        <is>
          <t>E-commerce</t>
        </is>
      </c>
      <c r="D690" t="inlineStr">
        <is>
          <t>Medium</t>
        </is>
      </c>
    </row>
    <row r="691">
      <c r="A691" t="inlineStr">
        <is>
          <t>C0690</t>
        </is>
      </c>
      <c r="B691" t="inlineStr">
        <is>
          <t>Italy</t>
        </is>
      </c>
      <c r="C691" t="inlineStr">
        <is>
          <t>E-commerce</t>
        </is>
      </c>
      <c r="D691" t="inlineStr">
        <is>
          <t>Enterprise</t>
        </is>
      </c>
    </row>
    <row r="692">
      <c r="A692" t="inlineStr">
        <is>
          <t>C0691</t>
        </is>
      </c>
      <c r="B692" t="inlineStr">
        <is>
          <t>France</t>
        </is>
      </c>
      <c r="C692" t="inlineStr">
        <is>
          <t>Retail</t>
        </is>
      </c>
      <c r="D692" t="inlineStr">
        <is>
          <t>Large</t>
        </is>
      </c>
    </row>
    <row r="693">
      <c r="A693" t="inlineStr">
        <is>
          <t>C0692</t>
        </is>
      </c>
      <c r="B693" t="inlineStr">
        <is>
          <t>Germany</t>
        </is>
      </c>
      <c r="C693" t="inlineStr">
        <is>
          <t>Retail</t>
        </is>
      </c>
      <c r="D693" t="inlineStr">
        <is>
          <t>Enterprise</t>
        </is>
      </c>
    </row>
    <row r="694">
      <c r="A694" t="inlineStr">
        <is>
          <t>C0693</t>
        </is>
      </c>
      <c r="B694" t="inlineStr">
        <is>
          <t>Germany</t>
        </is>
      </c>
      <c r="C694" t="inlineStr">
        <is>
          <t>Education</t>
        </is>
      </c>
      <c r="D694" t="inlineStr">
        <is>
          <t>Medium</t>
        </is>
      </c>
    </row>
    <row r="695">
      <c r="A695" t="inlineStr">
        <is>
          <t>C0694</t>
        </is>
      </c>
      <c r="B695" t="inlineStr">
        <is>
          <t>France</t>
        </is>
      </c>
      <c r="C695" t="inlineStr">
        <is>
          <t>E-commerce</t>
        </is>
      </c>
      <c r="D695" t="inlineStr">
        <is>
          <t>Large</t>
        </is>
      </c>
    </row>
    <row r="696">
      <c r="A696" t="inlineStr">
        <is>
          <t>C0695</t>
        </is>
      </c>
      <c r="B696" t="inlineStr">
        <is>
          <t>Germany</t>
        </is>
      </c>
      <c r="C696" t="inlineStr">
        <is>
          <t>Retail</t>
        </is>
      </c>
      <c r="D696" t="inlineStr">
        <is>
          <t>Small</t>
        </is>
      </c>
    </row>
    <row r="697">
      <c r="A697" t="inlineStr">
        <is>
          <t>C0696</t>
        </is>
      </c>
      <c r="B697" t="inlineStr">
        <is>
          <t>Germany</t>
        </is>
      </c>
      <c r="C697" t="inlineStr">
        <is>
          <t>Education</t>
        </is>
      </c>
      <c r="D697" t="inlineStr">
        <is>
          <t>Small</t>
        </is>
      </c>
    </row>
    <row r="698">
      <c r="A698" t="inlineStr">
        <is>
          <t>C0697</t>
        </is>
      </c>
      <c r="B698" t="inlineStr">
        <is>
          <t>France</t>
        </is>
      </c>
      <c r="C698" t="inlineStr">
        <is>
          <t>Healthcare</t>
        </is>
      </c>
      <c r="D698" t="inlineStr">
        <is>
          <t>Small</t>
        </is>
      </c>
    </row>
    <row r="699">
      <c r="A699" t="inlineStr">
        <is>
          <t>C0698</t>
        </is>
      </c>
      <c r="B699" t="inlineStr">
        <is>
          <t>France</t>
        </is>
      </c>
      <c r="C699" t="inlineStr">
        <is>
          <t>Healthcare</t>
        </is>
      </c>
      <c r="D699" t="inlineStr">
        <is>
          <t>Small</t>
        </is>
      </c>
    </row>
    <row r="700">
      <c r="A700" t="inlineStr">
        <is>
          <t>C0699</t>
        </is>
      </c>
      <c r="B700" t="inlineStr">
        <is>
          <t>Germany</t>
        </is>
      </c>
      <c r="C700" t="inlineStr">
        <is>
          <t>E-commerce</t>
        </is>
      </c>
      <c r="D700" t="inlineStr">
        <is>
          <t>Medium</t>
        </is>
      </c>
    </row>
    <row r="701">
      <c r="A701" t="inlineStr">
        <is>
          <t>C0700</t>
        </is>
      </c>
      <c r="B701" t="inlineStr">
        <is>
          <t>Netherlands</t>
        </is>
      </c>
      <c r="C701" t="inlineStr">
        <is>
          <t>Finance</t>
        </is>
      </c>
      <c r="D701" t="inlineStr">
        <is>
          <t>Large</t>
        </is>
      </c>
    </row>
    <row r="702">
      <c r="A702" t="inlineStr">
        <is>
          <t>C0701</t>
        </is>
      </c>
      <c r="B702" t="inlineStr">
        <is>
          <t>France</t>
        </is>
      </c>
      <c r="C702" t="inlineStr">
        <is>
          <t>Finance</t>
        </is>
      </c>
      <c r="D702" t="inlineStr">
        <is>
          <t>Enterprise</t>
        </is>
      </c>
    </row>
    <row r="703">
      <c r="A703" t="inlineStr">
        <is>
          <t>C0702</t>
        </is>
      </c>
      <c r="B703" t="inlineStr">
        <is>
          <t>Netherlands</t>
        </is>
      </c>
      <c r="C703" t="inlineStr">
        <is>
          <t>E-commerce</t>
        </is>
      </c>
      <c r="D703" t="inlineStr">
        <is>
          <t>Small</t>
        </is>
      </c>
    </row>
    <row r="704">
      <c r="A704" t="inlineStr">
        <is>
          <t>C0703</t>
        </is>
      </c>
      <c r="B704" t="inlineStr">
        <is>
          <t>Germany</t>
        </is>
      </c>
      <c r="C704" t="inlineStr">
        <is>
          <t>Tech</t>
        </is>
      </c>
      <c r="D704" t="inlineStr">
        <is>
          <t>Small</t>
        </is>
      </c>
    </row>
    <row r="705">
      <c r="A705" t="inlineStr">
        <is>
          <t>C0704</t>
        </is>
      </c>
      <c r="B705" t="inlineStr">
        <is>
          <t>Spain</t>
        </is>
      </c>
      <c r="C705" t="inlineStr">
        <is>
          <t>Finance</t>
        </is>
      </c>
      <c r="D705" t="inlineStr">
        <is>
          <t>Small</t>
        </is>
      </c>
    </row>
    <row r="706">
      <c r="A706" t="inlineStr">
        <is>
          <t>C0705</t>
        </is>
      </c>
      <c r="B706" t="inlineStr">
        <is>
          <t>France</t>
        </is>
      </c>
      <c r="C706" t="inlineStr">
        <is>
          <t>Healthcare</t>
        </is>
      </c>
      <c r="D706" t="inlineStr">
        <is>
          <t>Enterprise</t>
        </is>
      </c>
    </row>
    <row r="707">
      <c r="A707" t="inlineStr">
        <is>
          <t>C0706</t>
        </is>
      </c>
      <c r="B707" t="inlineStr">
        <is>
          <t>Italy</t>
        </is>
      </c>
      <c r="C707" t="inlineStr">
        <is>
          <t>Education</t>
        </is>
      </c>
      <c r="D707" t="inlineStr">
        <is>
          <t>Enterprise</t>
        </is>
      </c>
    </row>
    <row r="708">
      <c r="A708" t="inlineStr">
        <is>
          <t>C0707</t>
        </is>
      </c>
      <c r="B708" t="inlineStr">
        <is>
          <t>Sweden</t>
        </is>
      </c>
      <c r="C708" t="inlineStr">
        <is>
          <t>Healthcare</t>
        </is>
      </c>
      <c r="D708" t="inlineStr">
        <is>
          <t>Medium</t>
        </is>
      </c>
    </row>
    <row r="709">
      <c r="A709" t="inlineStr">
        <is>
          <t>C0708</t>
        </is>
      </c>
      <c r="B709" t="inlineStr">
        <is>
          <t>Germany</t>
        </is>
      </c>
      <c r="C709" t="inlineStr">
        <is>
          <t>Tech</t>
        </is>
      </c>
      <c r="D709" t="inlineStr">
        <is>
          <t>Small</t>
        </is>
      </c>
    </row>
    <row r="710">
      <c r="A710" t="inlineStr">
        <is>
          <t>C0709</t>
        </is>
      </c>
      <c r="B710" t="inlineStr">
        <is>
          <t>Germany</t>
        </is>
      </c>
      <c r="C710" t="inlineStr">
        <is>
          <t>Finance</t>
        </is>
      </c>
      <c r="D710" t="inlineStr">
        <is>
          <t>Enterprise</t>
        </is>
      </c>
    </row>
    <row r="711">
      <c r="A711" t="inlineStr">
        <is>
          <t>C0710</t>
        </is>
      </c>
      <c r="B711" t="inlineStr">
        <is>
          <t>France</t>
        </is>
      </c>
      <c r="C711" t="inlineStr">
        <is>
          <t>E-commerce</t>
        </is>
      </c>
      <c r="D711" t="inlineStr">
        <is>
          <t>Enterprise</t>
        </is>
      </c>
    </row>
    <row r="712">
      <c r="A712" t="inlineStr">
        <is>
          <t>C0711</t>
        </is>
      </c>
      <c r="B712" t="inlineStr">
        <is>
          <t>France</t>
        </is>
      </c>
      <c r="C712" t="inlineStr">
        <is>
          <t>E-commerce</t>
        </is>
      </c>
      <c r="D712" t="inlineStr">
        <is>
          <t>Medium</t>
        </is>
      </c>
    </row>
    <row r="713">
      <c r="A713" t="inlineStr">
        <is>
          <t>C0712</t>
        </is>
      </c>
      <c r="B713" t="inlineStr">
        <is>
          <t>Italy</t>
        </is>
      </c>
      <c r="C713" t="inlineStr">
        <is>
          <t>E-commerce</t>
        </is>
      </c>
      <c r="D713" t="inlineStr">
        <is>
          <t>Enterprise</t>
        </is>
      </c>
    </row>
    <row r="714">
      <c r="A714" t="inlineStr">
        <is>
          <t>C0713</t>
        </is>
      </c>
      <c r="B714" t="inlineStr">
        <is>
          <t>Spain</t>
        </is>
      </c>
      <c r="C714" t="inlineStr">
        <is>
          <t>E-commerce</t>
        </is>
      </c>
      <c r="D714" t="inlineStr">
        <is>
          <t>Small</t>
        </is>
      </c>
    </row>
    <row r="715">
      <c r="A715" t="inlineStr">
        <is>
          <t>C0714</t>
        </is>
      </c>
      <c r="B715" t="inlineStr">
        <is>
          <t>Germany</t>
        </is>
      </c>
      <c r="C715" t="inlineStr">
        <is>
          <t>Retail</t>
        </is>
      </c>
      <c r="D715" t="inlineStr">
        <is>
          <t>Enterprise</t>
        </is>
      </c>
    </row>
    <row r="716">
      <c r="A716" t="inlineStr">
        <is>
          <t>C0715</t>
        </is>
      </c>
      <c r="B716" t="inlineStr">
        <is>
          <t>France</t>
        </is>
      </c>
      <c r="C716" t="inlineStr">
        <is>
          <t>Healthcare</t>
        </is>
      </c>
      <c r="D716" t="inlineStr">
        <is>
          <t>Large</t>
        </is>
      </c>
    </row>
    <row r="717">
      <c r="A717" t="inlineStr">
        <is>
          <t>C0716</t>
        </is>
      </c>
      <c r="B717" t="inlineStr">
        <is>
          <t>Germany</t>
        </is>
      </c>
      <c r="C717" t="inlineStr">
        <is>
          <t>Healthcare</t>
        </is>
      </c>
      <c r="D717" t="inlineStr">
        <is>
          <t>Large</t>
        </is>
      </c>
    </row>
    <row r="718">
      <c r="A718" t="inlineStr">
        <is>
          <t>C0717</t>
        </is>
      </c>
      <c r="B718" t="inlineStr">
        <is>
          <t>Germany</t>
        </is>
      </c>
      <c r="C718" t="inlineStr">
        <is>
          <t>Education</t>
        </is>
      </c>
      <c r="D718" t="inlineStr">
        <is>
          <t>Small</t>
        </is>
      </c>
    </row>
    <row r="719">
      <c r="A719" t="inlineStr">
        <is>
          <t>C0718</t>
        </is>
      </c>
      <c r="B719" t="inlineStr">
        <is>
          <t>Spain</t>
        </is>
      </c>
      <c r="C719" t="inlineStr">
        <is>
          <t>E-commerce</t>
        </is>
      </c>
      <c r="D719" t="inlineStr">
        <is>
          <t>Large</t>
        </is>
      </c>
    </row>
    <row r="720">
      <c r="A720" t="inlineStr">
        <is>
          <t>C0719</t>
        </is>
      </c>
      <c r="B720" t="inlineStr">
        <is>
          <t>Germany</t>
        </is>
      </c>
      <c r="C720" t="inlineStr">
        <is>
          <t>Retail</t>
        </is>
      </c>
      <c r="D720" t="inlineStr">
        <is>
          <t>Small</t>
        </is>
      </c>
    </row>
    <row r="721">
      <c r="A721" t="inlineStr">
        <is>
          <t>C0720</t>
        </is>
      </c>
      <c r="B721" t="inlineStr">
        <is>
          <t>Spain</t>
        </is>
      </c>
      <c r="C721" t="inlineStr">
        <is>
          <t>Finance</t>
        </is>
      </c>
      <c r="D721" t="inlineStr">
        <is>
          <t>Medium</t>
        </is>
      </c>
    </row>
    <row r="722">
      <c r="A722" t="inlineStr">
        <is>
          <t>C0721</t>
        </is>
      </c>
      <c r="B722" t="inlineStr">
        <is>
          <t>Italy</t>
        </is>
      </c>
      <c r="C722" t="inlineStr">
        <is>
          <t>Finance</t>
        </is>
      </c>
      <c r="D722" t="inlineStr">
        <is>
          <t>Small</t>
        </is>
      </c>
    </row>
    <row r="723">
      <c r="A723" t="inlineStr">
        <is>
          <t>C0722</t>
        </is>
      </c>
      <c r="B723" t="inlineStr">
        <is>
          <t>Sweden</t>
        </is>
      </c>
      <c r="C723" t="inlineStr">
        <is>
          <t>Education</t>
        </is>
      </c>
      <c r="D723" t="inlineStr">
        <is>
          <t>Small</t>
        </is>
      </c>
    </row>
    <row r="724">
      <c r="A724" t="inlineStr">
        <is>
          <t>C0723</t>
        </is>
      </c>
      <c r="B724" t="inlineStr">
        <is>
          <t>Germany</t>
        </is>
      </c>
      <c r="C724" t="inlineStr">
        <is>
          <t>E-commerce</t>
        </is>
      </c>
      <c r="D724" t="inlineStr">
        <is>
          <t>Small</t>
        </is>
      </c>
    </row>
    <row r="725">
      <c r="A725" t="inlineStr">
        <is>
          <t>C0724</t>
        </is>
      </c>
      <c r="B725" t="inlineStr">
        <is>
          <t>Spain</t>
        </is>
      </c>
      <c r="C725" t="inlineStr">
        <is>
          <t>Healthcare</t>
        </is>
      </c>
      <c r="D725" t="inlineStr">
        <is>
          <t>Medium</t>
        </is>
      </c>
    </row>
    <row r="726">
      <c r="A726" t="inlineStr">
        <is>
          <t>C0725</t>
        </is>
      </c>
      <c r="B726" t="inlineStr">
        <is>
          <t>Spain</t>
        </is>
      </c>
      <c r="C726" t="inlineStr">
        <is>
          <t>Healthcare</t>
        </is>
      </c>
      <c r="D726" t="inlineStr">
        <is>
          <t>Small</t>
        </is>
      </c>
    </row>
    <row r="727">
      <c r="A727" t="inlineStr">
        <is>
          <t>C0726</t>
        </is>
      </c>
      <c r="B727" t="inlineStr">
        <is>
          <t>Spain</t>
        </is>
      </c>
      <c r="C727" t="inlineStr">
        <is>
          <t>Education</t>
        </is>
      </c>
      <c r="D727" t="inlineStr">
        <is>
          <t>Medium</t>
        </is>
      </c>
    </row>
    <row r="728">
      <c r="A728" t="inlineStr">
        <is>
          <t>C0727</t>
        </is>
      </c>
      <c r="B728" t="inlineStr">
        <is>
          <t>Italy</t>
        </is>
      </c>
      <c r="C728" t="inlineStr">
        <is>
          <t>E-commerce</t>
        </is>
      </c>
      <c r="D728" t="inlineStr">
        <is>
          <t>Large</t>
        </is>
      </c>
    </row>
    <row r="729">
      <c r="A729" t="inlineStr">
        <is>
          <t>C0728</t>
        </is>
      </c>
      <c r="B729" t="inlineStr">
        <is>
          <t>Netherlands</t>
        </is>
      </c>
      <c r="C729" t="inlineStr">
        <is>
          <t>Retail</t>
        </is>
      </c>
      <c r="D729" t="inlineStr">
        <is>
          <t>Large</t>
        </is>
      </c>
    </row>
    <row r="730">
      <c r="A730" t="inlineStr">
        <is>
          <t>C0729</t>
        </is>
      </c>
      <c r="B730" t="inlineStr">
        <is>
          <t>Germany</t>
        </is>
      </c>
      <c r="C730" t="inlineStr">
        <is>
          <t>Finance</t>
        </is>
      </c>
      <c r="D730" t="inlineStr">
        <is>
          <t>Large</t>
        </is>
      </c>
    </row>
    <row r="731">
      <c r="A731" t="inlineStr">
        <is>
          <t>C0730</t>
        </is>
      </c>
      <c r="B731" t="inlineStr">
        <is>
          <t>Spain</t>
        </is>
      </c>
      <c r="C731" t="inlineStr">
        <is>
          <t>Tech</t>
        </is>
      </c>
      <c r="D731" t="inlineStr">
        <is>
          <t>Enterprise</t>
        </is>
      </c>
    </row>
    <row r="732">
      <c r="A732" t="inlineStr">
        <is>
          <t>C0731</t>
        </is>
      </c>
      <c r="B732" t="inlineStr">
        <is>
          <t>Italy</t>
        </is>
      </c>
      <c r="C732" t="inlineStr">
        <is>
          <t>Tech</t>
        </is>
      </c>
      <c r="D732" t="inlineStr">
        <is>
          <t>Small</t>
        </is>
      </c>
    </row>
    <row r="733">
      <c r="A733" t="inlineStr">
        <is>
          <t>C0732</t>
        </is>
      </c>
      <c r="B733" t="inlineStr">
        <is>
          <t>France</t>
        </is>
      </c>
      <c r="C733" t="inlineStr">
        <is>
          <t>Retail</t>
        </is>
      </c>
      <c r="D733" t="inlineStr">
        <is>
          <t>Enterprise</t>
        </is>
      </c>
    </row>
    <row r="734">
      <c r="A734" t="inlineStr">
        <is>
          <t>C0733</t>
        </is>
      </c>
      <c r="B734" t="inlineStr">
        <is>
          <t>Sweden</t>
        </is>
      </c>
      <c r="C734" t="inlineStr">
        <is>
          <t>Retail</t>
        </is>
      </c>
      <c r="D734" t="inlineStr">
        <is>
          <t>Small</t>
        </is>
      </c>
    </row>
    <row r="735">
      <c r="A735" t="inlineStr">
        <is>
          <t>C0734</t>
        </is>
      </c>
      <c r="B735" t="inlineStr">
        <is>
          <t>Germany</t>
        </is>
      </c>
      <c r="C735" t="inlineStr">
        <is>
          <t>Healthcare</t>
        </is>
      </c>
      <c r="D735" t="inlineStr">
        <is>
          <t>Medium</t>
        </is>
      </c>
    </row>
    <row r="736">
      <c r="A736" t="inlineStr">
        <is>
          <t>C0735</t>
        </is>
      </c>
      <c r="B736" t="inlineStr">
        <is>
          <t>Netherlands</t>
        </is>
      </c>
      <c r="C736" t="inlineStr">
        <is>
          <t>Education</t>
        </is>
      </c>
      <c r="D736" t="inlineStr">
        <is>
          <t>Medium</t>
        </is>
      </c>
    </row>
    <row r="737">
      <c r="A737" t="inlineStr">
        <is>
          <t>C0736</t>
        </is>
      </c>
      <c r="B737" t="inlineStr">
        <is>
          <t>Sweden</t>
        </is>
      </c>
      <c r="C737" t="inlineStr">
        <is>
          <t>Finance</t>
        </is>
      </c>
      <c r="D737" t="inlineStr">
        <is>
          <t>Small</t>
        </is>
      </c>
    </row>
    <row r="738">
      <c r="A738" t="inlineStr">
        <is>
          <t>C0737</t>
        </is>
      </c>
      <c r="B738" t="inlineStr">
        <is>
          <t>Netherlands</t>
        </is>
      </c>
      <c r="C738" t="inlineStr">
        <is>
          <t>Healthcare</t>
        </is>
      </c>
      <c r="D738" t="inlineStr">
        <is>
          <t>Small</t>
        </is>
      </c>
    </row>
    <row r="739">
      <c r="A739" t="inlineStr">
        <is>
          <t>C0738</t>
        </is>
      </c>
      <c r="B739" t="inlineStr">
        <is>
          <t>Spain</t>
        </is>
      </c>
      <c r="C739" t="inlineStr">
        <is>
          <t>Healthcare</t>
        </is>
      </c>
      <c r="D739" t="inlineStr">
        <is>
          <t>Medium</t>
        </is>
      </c>
    </row>
    <row r="740">
      <c r="A740" t="inlineStr">
        <is>
          <t>C0739</t>
        </is>
      </c>
      <c r="B740" t="inlineStr">
        <is>
          <t>Netherlands</t>
        </is>
      </c>
      <c r="C740" t="inlineStr">
        <is>
          <t>Education</t>
        </is>
      </c>
      <c r="D740" t="inlineStr">
        <is>
          <t>Enterprise</t>
        </is>
      </c>
    </row>
    <row r="741">
      <c r="A741" t="inlineStr">
        <is>
          <t>C0740</t>
        </is>
      </c>
      <c r="B741" t="inlineStr">
        <is>
          <t>France</t>
        </is>
      </c>
      <c r="C741" t="inlineStr">
        <is>
          <t>Education</t>
        </is>
      </c>
      <c r="D741" t="inlineStr">
        <is>
          <t>Medium</t>
        </is>
      </c>
    </row>
    <row r="742">
      <c r="A742" t="inlineStr">
        <is>
          <t>C0741</t>
        </is>
      </c>
      <c r="B742" t="inlineStr">
        <is>
          <t>Germany</t>
        </is>
      </c>
      <c r="C742" t="inlineStr">
        <is>
          <t>Healthcare</t>
        </is>
      </c>
      <c r="D742" t="inlineStr">
        <is>
          <t>Medium</t>
        </is>
      </c>
    </row>
    <row r="743">
      <c r="A743" t="inlineStr">
        <is>
          <t>C0742</t>
        </is>
      </c>
      <c r="B743" t="inlineStr">
        <is>
          <t>Germany</t>
        </is>
      </c>
      <c r="C743" t="inlineStr">
        <is>
          <t>Finance</t>
        </is>
      </c>
      <c r="D743" t="inlineStr">
        <is>
          <t>Medium</t>
        </is>
      </c>
    </row>
    <row r="744">
      <c r="A744" t="inlineStr">
        <is>
          <t>C0743</t>
        </is>
      </c>
      <c r="B744" t="inlineStr">
        <is>
          <t>France</t>
        </is>
      </c>
      <c r="C744" t="inlineStr">
        <is>
          <t>Finance</t>
        </is>
      </c>
      <c r="D744" t="inlineStr">
        <is>
          <t>Enterprise</t>
        </is>
      </c>
    </row>
    <row r="745">
      <c r="A745" t="inlineStr">
        <is>
          <t>C0744</t>
        </is>
      </c>
      <c r="B745" t="inlineStr">
        <is>
          <t>Spain</t>
        </is>
      </c>
      <c r="C745" t="inlineStr">
        <is>
          <t>Finance</t>
        </is>
      </c>
      <c r="D745" t="inlineStr">
        <is>
          <t>Medium</t>
        </is>
      </c>
    </row>
    <row r="746">
      <c r="A746" t="inlineStr">
        <is>
          <t>C0745</t>
        </is>
      </c>
      <c r="B746" t="inlineStr">
        <is>
          <t>Germany</t>
        </is>
      </c>
      <c r="C746" t="inlineStr">
        <is>
          <t>Healthcare</t>
        </is>
      </c>
      <c r="D746" t="inlineStr">
        <is>
          <t>Medium</t>
        </is>
      </c>
    </row>
    <row r="747">
      <c r="A747" t="inlineStr">
        <is>
          <t>C0746</t>
        </is>
      </c>
      <c r="B747" t="inlineStr">
        <is>
          <t>Spain</t>
        </is>
      </c>
      <c r="C747" t="inlineStr">
        <is>
          <t>Education</t>
        </is>
      </c>
      <c r="D747" t="inlineStr">
        <is>
          <t>Enterprise</t>
        </is>
      </c>
    </row>
    <row r="748">
      <c r="A748" t="inlineStr">
        <is>
          <t>C0747</t>
        </is>
      </c>
      <c r="B748" t="inlineStr">
        <is>
          <t>Netherlands</t>
        </is>
      </c>
      <c r="C748" t="inlineStr">
        <is>
          <t>Retail</t>
        </is>
      </c>
      <c r="D748" t="inlineStr">
        <is>
          <t>Small</t>
        </is>
      </c>
    </row>
    <row r="749">
      <c r="A749" t="inlineStr">
        <is>
          <t>C0748</t>
        </is>
      </c>
      <c r="B749" t="inlineStr">
        <is>
          <t>Italy</t>
        </is>
      </c>
      <c r="C749" t="inlineStr">
        <is>
          <t>Education</t>
        </is>
      </c>
      <c r="D749" t="inlineStr">
        <is>
          <t>Large</t>
        </is>
      </c>
    </row>
    <row r="750">
      <c r="A750" t="inlineStr">
        <is>
          <t>C0749</t>
        </is>
      </c>
      <c r="B750" t="inlineStr">
        <is>
          <t>Germany</t>
        </is>
      </c>
      <c r="C750" t="inlineStr">
        <is>
          <t>Retail</t>
        </is>
      </c>
      <c r="D750" t="inlineStr">
        <is>
          <t>Large</t>
        </is>
      </c>
    </row>
    <row r="751">
      <c r="A751" t="inlineStr">
        <is>
          <t>C0750</t>
        </is>
      </c>
      <c r="B751" t="inlineStr">
        <is>
          <t>Sweden</t>
        </is>
      </c>
      <c r="C751" t="inlineStr">
        <is>
          <t>Healthcare</t>
        </is>
      </c>
      <c r="D751" t="inlineStr">
        <is>
          <t>Small</t>
        </is>
      </c>
    </row>
    <row r="752">
      <c r="A752" t="inlineStr">
        <is>
          <t>C0751</t>
        </is>
      </c>
      <c r="B752" t="inlineStr">
        <is>
          <t>France</t>
        </is>
      </c>
      <c r="C752" t="inlineStr">
        <is>
          <t>Retail</t>
        </is>
      </c>
      <c r="D752" t="inlineStr">
        <is>
          <t>Medium</t>
        </is>
      </c>
    </row>
    <row r="753">
      <c r="A753" t="inlineStr">
        <is>
          <t>C0752</t>
        </is>
      </c>
      <c r="B753" t="inlineStr">
        <is>
          <t>Germany</t>
        </is>
      </c>
      <c r="C753" t="inlineStr">
        <is>
          <t>E-commerce</t>
        </is>
      </c>
      <c r="D753" t="inlineStr">
        <is>
          <t>Large</t>
        </is>
      </c>
    </row>
    <row r="754">
      <c r="A754" t="inlineStr">
        <is>
          <t>C0753</t>
        </is>
      </c>
      <c r="B754" t="inlineStr">
        <is>
          <t>Germany</t>
        </is>
      </c>
      <c r="C754" t="inlineStr">
        <is>
          <t>Education</t>
        </is>
      </c>
      <c r="D754" t="inlineStr">
        <is>
          <t>Medium</t>
        </is>
      </c>
    </row>
    <row r="755">
      <c r="A755" t="inlineStr">
        <is>
          <t>C0754</t>
        </is>
      </c>
      <c r="B755" t="inlineStr">
        <is>
          <t>France</t>
        </is>
      </c>
      <c r="C755" t="inlineStr">
        <is>
          <t>E-commerce</t>
        </is>
      </c>
      <c r="D755" t="inlineStr">
        <is>
          <t>Small</t>
        </is>
      </c>
    </row>
    <row r="756">
      <c r="A756" t="inlineStr">
        <is>
          <t>C0755</t>
        </is>
      </c>
      <c r="B756" t="inlineStr">
        <is>
          <t>Italy</t>
        </is>
      </c>
      <c r="C756" t="inlineStr">
        <is>
          <t>Education</t>
        </is>
      </c>
      <c r="D756" t="inlineStr">
        <is>
          <t>Medium</t>
        </is>
      </c>
    </row>
    <row r="757">
      <c r="A757" t="inlineStr">
        <is>
          <t>C0756</t>
        </is>
      </c>
      <c r="B757" t="inlineStr">
        <is>
          <t>Sweden</t>
        </is>
      </c>
      <c r="C757" t="inlineStr">
        <is>
          <t>Education</t>
        </is>
      </c>
      <c r="D757" t="inlineStr">
        <is>
          <t>Small</t>
        </is>
      </c>
    </row>
    <row r="758">
      <c r="A758" t="inlineStr">
        <is>
          <t>C0757</t>
        </is>
      </c>
      <c r="B758" t="inlineStr">
        <is>
          <t>Netherlands</t>
        </is>
      </c>
      <c r="C758" t="inlineStr">
        <is>
          <t>Finance</t>
        </is>
      </c>
      <c r="D758" t="inlineStr">
        <is>
          <t>Enterprise</t>
        </is>
      </c>
    </row>
    <row r="759">
      <c r="A759" t="inlineStr">
        <is>
          <t>C0758</t>
        </is>
      </c>
      <c r="B759" t="inlineStr">
        <is>
          <t>France</t>
        </is>
      </c>
      <c r="C759" t="inlineStr">
        <is>
          <t>Finance</t>
        </is>
      </c>
      <c r="D759" t="inlineStr">
        <is>
          <t>Large</t>
        </is>
      </c>
    </row>
    <row r="760">
      <c r="A760" t="inlineStr">
        <is>
          <t>C0759</t>
        </is>
      </c>
      <c r="B760" t="inlineStr">
        <is>
          <t>Germany</t>
        </is>
      </c>
      <c r="C760" t="inlineStr">
        <is>
          <t>Healthcare</t>
        </is>
      </c>
      <c r="D760" t="inlineStr">
        <is>
          <t>Medium</t>
        </is>
      </c>
    </row>
    <row r="761">
      <c r="A761" t="inlineStr">
        <is>
          <t>C0760</t>
        </is>
      </c>
      <c r="B761" t="inlineStr">
        <is>
          <t>France</t>
        </is>
      </c>
      <c r="C761" t="inlineStr">
        <is>
          <t>Education</t>
        </is>
      </c>
      <c r="D761" t="inlineStr">
        <is>
          <t>Medium</t>
        </is>
      </c>
    </row>
    <row r="762">
      <c r="A762" t="inlineStr">
        <is>
          <t>C0761</t>
        </is>
      </c>
      <c r="B762" t="inlineStr">
        <is>
          <t>France</t>
        </is>
      </c>
      <c r="C762" t="inlineStr">
        <is>
          <t>Retail</t>
        </is>
      </c>
      <c r="D762" t="inlineStr">
        <is>
          <t>Enterprise</t>
        </is>
      </c>
    </row>
    <row r="763">
      <c r="A763" t="inlineStr">
        <is>
          <t>C0762</t>
        </is>
      </c>
      <c r="B763" t="inlineStr">
        <is>
          <t>Spain</t>
        </is>
      </c>
      <c r="C763" t="inlineStr">
        <is>
          <t>Retail</t>
        </is>
      </c>
      <c r="D763" t="inlineStr">
        <is>
          <t>Enterprise</t>
        </is>
      </c>
    </row>
    <row r="764">
      <c r="A764" t="inlineStr">
        <is>
          <t>C0763</t>
        </is>
      </c>
      <c r="B764" t="inlineStr">
        <is>
          <t>France</t>
        </is>
      </c>
      <c r="C764" t="inlineStr">
        <is>
          <t>Education</t>
        </is>
      </c>
      <c r="D764" t="inlineStr">
        <is>
          <t>Small</t>
        </is>
      </c>
    </row>
    <row r="765">
      <c r="A765" t="inlineStr">
        <is>
          <t>C0764</t>
        </is>
      </c>
      <c r="B765" t="inlineStr">
        <is>
          <t>Germany</t>
        </is>
      </c>
      <c r="C765" t="inlineStr">
        <is>
          <t>Tech</t>
        </is>
      </c>
      <c r="D765" t="inlineStr">
        <is>
          <t>Large</t>
        </is>
      </c>
    </row>
    <row r="766">
      <c r="A766" t="inlineStr">
        <is>
          <t>C0765</t>
        </is>
      </c>
      <c r="B766" t="inlineStr">
        <is>
          <t>Italy</t>
        </is>
      </c>
      <c r="C766" t="inlineStr">
        <is>
          <t>Retail</t>
        </is>
      </c>
      <c r="D766" t="inlineStr">
        <is>
          <t>Medium</t>
        </is>
      </c>
    </row>
    <row r="767">
      <c r="A767" t="inlineStr">
        <is>
          <t>C0766</t>
        </is>
      </c>
      <c r="B767" t="inlineStr">
        <is>
          <t>Germany</t>
        </is>
      </c>
      <c r="C767" t="inlineStr">
        <is>
          <t>Retail</t>
        </is>
      </c>
      <c r="D767" t="inlineStr">
        <is>
          <t>Large</t>
        </is>
      </c>
    </row>
    <row r="768">
      <c r="A768" t="inlineStr">
        <is>
          <t>C0767</t>
        </is>
      </c>
      <c r="B768" t="inlineStr">
        <is>
          <t>Germany</t>
        </is>
      </c>
      <c r="C768" t="inlineStr">
        <is>
          <t>Education</t>
        </is>
      </c>
      <c r="D768" t="inlineStr">
        <is>
          <t>Small</t>
        </is>
      </c>
    </row>
    <row r="769">
      <c r="A769" t="inlineStr">
        <is>
          <t>C0768</t>
        </is>
      </c>
      <c r="B769" t="inlineStr">
        <is>
          <t>Italy</t>
        </is>
      </c>
      <c r="C769" t="inlineStr">
        <is>
          <t>Education</t>
        </is>
      </c>
      <c r="D769" t="inlineStr">
        <is>
          <t>Small</t>
        </is>
      </c>
    </row>
    <row r="770">
      <c r="A770" t="inlineStr">
        <is>
          <t>C0769</t>
        </is>
      </c>
      <c r="B770" t="inlineStr">
        <is>
          <t>Netherlands</t>
        </is>
      </c>
      <c r="C770" t="inlineStr">
        <is>
          <t>Finance</t>
        </is>
      </c>
      <c r="D770" t="inlineStr">
        <is>
          <t>Small</t>
        </is>
      </c>
    </row>
    <row r="771">
      <c r="A771" t="inlineStr">
        <is>
          <t>C0770</t>
        </is>
      </c>
      <c r="B771" t="inlineStr">
        <is>
          <t>Germany</t>
        </is>
      </c>
      <c r="C771" t="inlineStr">
        <is>
          <t>Finance</t>
        </is>
      </c>
      <c r="D771" t="inlineStr">
        <is>
          <t>Small</t>
        </is>
      </c>
    </row>
    <row r="772">
      <c r="A772" t="inlineStr">
        <is>
          <t>C0771</t>
        </is>
      </c>
      <c r="B772" t="inlineStr">
        <is>
          <t>Spain</t>
        </is>
      </c>
      <c r="C772" t="inlineStr">
        <is>
          <t>E-commerce</t>
        </is>
      </c>
      <c r="D772" t="inlineStr">
        <is>
          <t>Small</t>
        </is>
      </c>
    </row>
    <row r="773">
      <c r="A773" t="inlineStr">
        <is>
          <t>C0772</t>
        </is>
      </c>
      <c r="B773" t="inlineStr">
        <is>
          <t>Spain</t>
        </is>
      </c>
      <c r="C773" t="inlineStr">
        <is>
          <t>Education</t>
        </is>
      </c>
      <c r="D773" t="inlineStr">
        <is>
          <t>Enterprise</t>
        </is>
      </c>
    </row>
    <row r="774">
      <c r="A774" t="inlineStr">
        <is>
          <t>C0773</t>
        </is>
      </c>
      <c r="B774" t="inlineStr">
        <is>
          <t>Netherlands</t>
        </is>
      </c>
      <c r="C774" t="inlineStr">
        <is>
          <t>Finance</t>
        </is>
      </c>
      <c r="D774" t="inlineStr">
        <is>
          <t>Large</t>
        </is>
      </c>
    </row>
    <row r="775">
      <c r="A775" t="inlineStr">
        <is>
          <t>C0774</t>
        </is>
      </c>
      <c r="B775" t="inlineStr">
        <is>
          <t>Germany</t>
        </is>
      </c>
      <c r="C775" t="inlineStr">
        <is>
          <t>Education</t>
        </is>
      </c>
      <c r="D775" t="inlineStr">
        <is>
          <t>Large</t>
        </is>
      </c>
    </row>
    <row r="776">
      <c r="A776" t="inlineStr">
        <is>
          <t>C0775</t>
        </is>
      </c>
      <c r="B776" t="inlineStr">
        <is>
          <t>Germany</t>
        </is>
      </c>
      <c r="C776" t="inlineStr">
        <is>
          <t>Retail</t>
        </is>
      </c>
      <c r="D776" t="inlineStr">
        <is>
          <t>Medium</t>
        </is>
      </c>
    </row>
    <row r="777">
      <c r="A777" t="inlineStr">
        <is>
          <t>C0776</t>
        </is>
      </c>
      <c r="B777" t="inlineStr">
        <is>
          <t>France</t>
        </is>
      </c>
      <c r="C777" t="inlineStr">
        <is>
          <t>Tech</t>
        </is>
      </c>
      <c r="D777" t="inlineStr">
        <is>
          <t>Small</t>
        </is>
      </c>
    </row>
    <row r="778">
      <c r="A778" t="inlineStr">
        <is>
          <t>C0777</t>
        </is>
      </c>
      <c r="B778" t="inlineStr">
        <is>
          <t>Germany</t>
        </is>
      </c>
      <c r="C778" t="inlineStr">
        <is>
          <t>Healthcare</t>
        </is>
      </c>
      <c r="D778" t="inlineStr">
        <is>
          <t>Small</t>
        </is>
      </c>
    </row>
    <row r="779">
      <c r="A779" t="inlineStr">
        <is>
          <t>C0778</t>
        </is>
      </c>
      <c r="B779" t="inlineStr">
        <is>
          <t>Netherlands</t>
        </is>
      </c>
      <c r="C779" t="inlineStr">
        <is>
          <t>Education</t>
        </is>
      </c>
      <c r="D779" t="inlineStr">
        <is>
          <t>Small</t>
        </is>
      </c>
    </row>
    <row r="780">
      <c r="A780" t="inlineStr">
        <is>
          <t>C0779</t>
        </is>
      </c>
      <c r="B780" t="inlineStr">
        <is>
          <t>France</t>
        </is>
      </c>
      <c r="C780" t="inlineStr">
        <is>
          <t>Tech</t>
        </is>
      </c>
      <c r="D780" t="inlineStr">
        <is>
          <t>Large</t>
        </is>
      </c>
    </row>
    <row r="781">
      <c r="A781" t="inlineStr">
        <is>
          <t>C0780</t>
        </is>
      </c>
      <c r="B781" t="inlineStr">
        <is>
          <t>Spain</t>
        </is>
      </c>
      <c r="C781" t="inlineStr">
        <is>
          <t>E-commerce</t>
        </is>
      </c>
      <c r="D781" t="inlineStr">
        <is>
          <t>Large</t>
        </is>
      </c>
    </row>
    <row r="782">
      <c r="A782" t="inlineStr">
        <is>
          <t>C0781</t>
        </is>
      </c>
      <c r="B782" t="inlineStr">
        <is>
          <t>France</t>
        </is>
      </c>
      <c r="C782" t="inlineStr">
        <is>
          <t>Retail</t>
        </is>
      </c>
      <c r="D782" t="inlineStr">
        <is>
          <t>Medium</t>
        </is>
      </c>
    </row>
    <row r="783">
      <c r="A783" t="inlineStr">
        <is>
          <t>C0782</t>
        </is>
      </c>
      <c r="B783" t="inlineStr">
        <is>
          <t>Netherlands</t>
        </is>
      </c>
      <c r="C783" t="inlineStr">
        <is>
          <t>Finance</t>
        </is>
      </c>
      <c r="D783" t="inlineStr">
        <is>
          <t>Medium</t>
        </is>
      </c>
    </row>
    <row r="784">
      <c r="A784" t="inlineStr">
        <is>
          <t>C0783</t>
        </is>
      </c>
      <c r="B784" t="inlineStr">
        <is>
          <t>Spain</t>
        </is>
      </c>
      <c r="C784" t="inlineStr">
        <is>
          <t>Tech</t>
        </is>
      </c>
      <c r="D784" t="inlineStr">
        <is>
          <t>Small</t>
        </is>
      </c>
    </row>
    <row r="785">
      <c r="A785" t="inlineStr">
        <is>
          <t>C0784</t>
        </is>
      </c>
      <c r="B785" t="inlineStr">
        <is>
          <t>Netherlands</t>
        </is>
      </c>
      <c r="C785" t="inlineStr">
        <is>
          <t>Finance</t>
        </is>
      </c>
      <c r="D785" t="inlineStr">
        <is>
          <t>Enterprise</t>
        </is>
      </c>
    </row>
    <row r="786">
      <c r="A786" t="inlineStr">
        <is>
          <t>C0785</t>
        </is>
      </c>
      <c r="B786" t="inlineStr">
        <is>
          <t>Sweden</t>
        </is>
      </c>
      <c r="C786" t="inlineStr">
        <is>
          <t>Tech</t>
        </is>
      </c>
      <c r="D786" t="inlineStr">
        <is>
          <t>Small</t>
        </is>
      </c>
    </row>
    <row r="787">
      <c r="A787" t="inlineStr">
        <is>
          <t>C0786</t>
        </is>
      </c>
      <c r="B787" t="inlineStr">
        <is>
          <t>France</t>
        </is>
      </c>
      <c r="C787" t="inlineStr">
        <is>
          <t>Finance</t>
        </is>
      </c>
      <c r="D787" t="inlineStr">
        <is>
          <t>Small</t>
        </is>
      </c>
    </row>
    <row r="788">
      <c r="A788" t="inlineStr">
        <is>
          <t>C0787</t>
        </is>
      </c>
      <c r="B788" t="inlineStr">
        <is>
          <t>Spain</t>
        </is>
      </c>
      <c r="C788" t="inlineStr">
        <is>
          <t>Retail</t>
        </is>
      </c>
      <c r="D788" t="inlineStr">
        <is>
          <t>Enterprise</t>
        </is>
      </c>
    </row>
    <row r="789">
      <c r="A789" t="inlineStr">
        <is>
          <t>C0788</t>
        </is>
      </c>
      <c r="B789" t="inlineStr">
        <is>
          <t>Spain</t>
        </is>
      </c>
      <c r="C789" t="inlineStr">
        <is>
          <t>Education</t>
        </is>
      </c>
      <c r="D789" t="inlineStr">
        <is>
          <t>Small</t>
        </is>
      </c>
    </row>
    <row r="790">
      <c r="A790" t="inlineStr">
        <is>
          <t>C0789</t>
        </is>
      </c>
      <c r="B790" t="inlineStr">
        <is>
          <t>Spain</t>
        </is>
      </c>
      <c r="C790" t="inlineStr">
        <is>
          <t>Education</t>
        </is>
      </c>
      <c r="D790" t="inlineStr">
        <is>
          <t>Enterprise</t>
        </is>
      </c>
    </row>
    <row r="791">
      <c r="A791" t="inlineStr">
        <is>
          <t>C0790</t>
        </is>
      </c>
      <c r="B791" t="inlineStr">
        <is>
          <t>Sweden</t>
        </is>
      </c>
      <c r="C791" t="inlineStr">
        <is>
          <t>Retail</t>
        </is>
      </c>
      <c r="D791" t="inlineStr">
        <is>
          <t>Enterprise</t>
        </is>
      </c>
    </row>
    <row r="792">
      <c r="A792" t="inlineStr">
        <is>
          <t>C0791</t>
        </is>
      </c>
      <c r="B792" t="inlineStr">
        <is>
          <t>Germany</t>
        </is>
      </c>
      <c r="C792" t="inlineStr">
        <is>
          <t>Finance</t>
        </is>
      </c>
      <c r="D792" t="inlineStr">
        <is>
          <t>Medium</t>
        </is>
      </c>
    </row>
    <row r="793">
      <c r="A793" t="inlineStr">
        <is>
          <t>C0792</t>
        </is>
      </c>
      <c r="B793" t="inlineStr">
        <is>
          <t>Italy</t>
        </is>
      </c>
      <c r="C793" t="inlineStr">
        <is>
          <t>Tech</t>
        </is>
      </c>
      <c r="D793" t="inlineStr">
        <is>
          <t>Medium</t>
        </is>
      </c>
    </row>
    <row r="794">
      <c r="A794" t="inlineStr">
        <is>
          <t>C0793</t>
        </is>
      </c>
      <c r="B794" t="inlineStr">
        <is>
          <t>France</t>
        </is>
      </c>
      <c r="C794" t="inlineStr">
        <is>
          <t>Tech</t>
        </is>
      </c>
      <c r="D794" t="inlineStr">
        <is>
          <t>Medium</t>
        </is>
      </c>
    </row>
    <row r="795">
      <c r="A795" t="inlineStr">
        <is>
          <t>C0794</t>
        </is>
      </c>
      <c r="B795" t="inlineStr">
        <is>
          <t>Netherlands</t>
        </is>
      </c>
      <c r="C795" t="inlineStr">
        <is>
          <t>Retail</t>
        </is>
      </c>
      <c r="D795" t="inlineStr">
        <is>
          <t>Large</t>
        </is>
      </c>
    </row>
    <row r="796">
      <c r="A796" t="inlineStr">
        <is>
          <t>C0795</t>
        </is>
      </c>
      <c r="B796" t="inlineStr">
        <is>
          <t>Germany</t>
        </is>
      </c>
      <c r="C796" t="inlineStr">
        <is>
          <t>E-commerce</t>
        </is>
      </c>
      <c r="D796" t="inlineStr">
        <is>
          <t>Small</t>
        </is>
      </c>
    </row>
    <row r="797">
      <c r="A797" t="inlineStr">
        <is>
          <t>C0796</t>
        </is>
      </c>
      <c r="B797" t="inlineStr">
        <is>
          <t>France</t>
        </is>
      </c>
      <c r="C797" t="inlineStr">
        <is>
          <t>Healthcare</t>
        </is>
      </c>
      <c r="D797" t="inlineStr">
        <is>
          <t>Small</t>
        </is>
      </c>
    </row>
    <row r="798">
      <c r="A798" t="inlineStr">
        <is>
          <t>C0797</t>
        </is>
      </c>
      <c r="B798" t="inlineStr">
        <is>
          <t>Sweden</t>
        </is>
      </c>
      <c r="C798" t="inlineStr">
        <is>
          <t>Tech</t>
        </is>
      </c>
      <c r="D798" t="inlineStr">
        <is>
          <t>Medium</t>
        </is>
      </c>
    </row>
    <row r="799">
      <c r="A799" t="inlineStr">
        <is>
          <t>C0798</t>
        </is>
      </c>
      <c r="B799" t="inlineStr">
        <is>
          <t>Italy</t>
        </is>
      </c>
      <c r="C799" t="inlineStr">
        <is>
          <t>Education</t>
        </is>
      </c>
      <c r="D799" t="inlineStr">
        <is>
          <t>Large</t>
        </is>
      </c>
    </row>
    <row r="800">
      <c r="A800" t="inlineStr">
        <is>
          <t>C0799</t>
        </is>
      </c>
      <c r="B800" t="inlineStr">
        <is>
          <t>Sweden</t>
        </is>
      </c>
      <c r="C800" t="inlineStr">
        <is>
          <t>Retail</t>
        </is>
      </c>
      <c r="D800" t="inlineStr">
        <is>
          <t>Small</t>
        </is>
      </c>
    </row>
    <row r="801">
      <c r="A801" t="inlineStr">
        <is>
          <t>C0800</t>
        </is>
      </c>
      <c r="B801" t="inlineStr">
        <is>
          <t>Netherlands</t>
        </is>
      </c>
      <c r="C801" t="inlineStr">
        <is>
          <t>Finance</t>
        </is>
      </c>
      <c r="D801" t="inlineStr">
        <is>
          <t>Large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"/>
  <sheetViews>
    <sheetView topLeftCell="A3" workbookViewId="0">
      <selection activeCell="H3" sqref="H3"/>
    </sheetView>
  </sheetViews>
  <sheetFormatPr baseColWidth="8" defaultRowHeight="15"/>
  <cols>
    <col width="26" bestFit="1" customWidth="1" min="1" max="1"/>
    <col width="12" bestFit="1" customWidth="1" min="2" max="2"/>
    <col width="19.5703125" bestFit="1" customWidth="1" min="3" max="3"/>
    <col width="13.140625" bestFit="1" customWidth="1" min="4" max="4"/>
    <col width="20.7109375" bestFit="1" customWidth="1" min="5" max="5"/>
    <col width="13.140625" bestFit="1" customWidth="1" min="6" max="6"/>
    <col width="20.7109375" bestFit="1" customWidth="1" min="7" max="7"/>
    <col width="16.28515625" bestFit="1" customWidth="1" min="8" max="8"/>
    <col width="8.5703125" bestFit="1" customWidth="1" min="9" max="9"/>
    <col width="11.140625" bestFit="1" customWidth="1" min="10" max="10"/>
  </cols>
  <sheetData>
    <row r="1" ht="21" customHeight="1">
      <c r="A1" s="5" t="inlineStr">
        <is>
          <t>Total Customers</t>
        </is>
      </c>
      <c r="B1">
        <f>COUNTA(Subscription_Transactions!A2:A801)</f>
        <v/>
      </c>
      <c r="F1" s="15" t="inlineStr">
        <is>
          <t>Row Labels</t>
        </is>
      </c>
      <c r="G1" s="15" t="inlineStr">
        <is>
          <t>Total Revenue</t>
        </is>
      </c>
      <c r="H1" s="38" t="inlineStr">
        <is>
          <t>Sum of Monthly_Fee</t>
        </is>
      </c>
    </row>
    <row r="2" ht="21" customHeight="1">
      <c r="A2" s="5" t="inlineStr">
        <is>
          <t>Active Customers</t>
        </is>
      </c>
      <c r="B2">
        <f>COUNTIF(tbl_subscription[Status],"Active")</f>
        <v/>
      </c>
      <c r="F2" s="16" t="n">
        <v>2020</v>
      </c>
      <c r="G2" s="40" t="n">
        <v>4860</v>
      </c>
      <c r="H2" s="32" t="n"/>
    </row>
    <row r="3" ht="21" customHeight="1">
      <c r="A3" s="5" t="inlineStr">
        <is>
          <t>Churned Customers</t>
        </is>
      </c>
      <c r="B3">
        <f>COUNTIF(tbl_subscription[Status],"churned")</f>
        <v/>
      </c>
      <c r="F3" s="17" t="n">
        <v>2021</v>
      </c>
      <c r="G3" s="41" t="n">
        <v>5485</v>
      </c>
      <c r="H3" s="33" t="n">
        <v>0.1286008230452675</v>
      </c>
    </row>
    <row r="4" ht="21" customHeight="1">
      <c r="A4" s="5" t="inlineStr">
        <is>
          <t>Churn Rate</t>
        </is>
      </c>
      <c r="B4" s="6">
        <f>B3/B1</f>
        <v/>
      </c>
      <c r="F4" s="17" t="n">
        <v>2022</v>
      </c>
      <c r="G4" s="41" t="n">
        <v>4390</v>
      </c>
      <c r="H4" s="33" t="n">
        <v>-0.09670781893004116</v>
      </c>
    </row>
    <row r="5" ht="21" customHeight="1">
      <c r="A5" s="5" t="inlineStr">
        <is>
          <t>Active MRR</t>
        </is>
      </c>
      <c r="B5">
        <f>SUMIFS(Subscription_Transactions!E2:E801,Subscription_Transactions!F2:F801,"Active")</f>
        <v/>
      </c>
      <c r="F5" s="17" t="n">
        <v>2023</v>
      </c>
      <c r="G5" s="41" t="n">
        <v>4110</v>
      </c>
      <c r="H5" s="33" t="n">
        <v>-0.154320987654321</v>
      </c>
    </row>
    <row r="6" ht="21" customHeight="1">
      <c r="A6" s="5" t="inlineStr">
        <is>
          <t>ARPU</t>
        </is>
      </c>
      <c r="B6">
        <f>B5/B2</f>
        <v/>
      </c>
      <c r="F6" s="17" t="n">
        <v>2024</v>
      </c>
      <c r="G6" s="41" t="n">
        <v>2595</v>
      </c>
      <c r="H6" s="33" t="n">
        <v>-0.4660493827160494</v>
      </c>
    </row>
    <row r="7" ht="21" customHeight="1">
      <c r="A7" s="5" t="inlineStr">
        <is>
          <t>Total revenue</t>
        </is>
      </c>
      <c r="B7">
        <f>SUM(tbl_subscription[Monthly_Fee])</f>
        <v/>
      </c>
      <c r="F7" s="19" t="inlineStr">
        <is>
          <t>Grand Total</t>
        </is>
      </c>
      <c r="G7" s="42" t="n">
        <v>21440</v>
      </c>
      <c r="H7" s="34" t="n"/>
    </row>
    <row r="8" ht="21" customHeight="1">
      <c r="A8" s="5" t="inlineStr">
        <is>
          <t>Avg YoY Growth</t>
        </is>
      </c>
      <c r="B8" s="44">
        <f>AVERAGE(E13:E16)</f>
        <v/>
      </c>
    </row>
    <row r="9">
      <c r="A9" t="inlineStr">
        <is>
          <t>Latest YoY (Selected Year)</t>
        </is>
      </c>
      <c r="B9">
        <f>E16</f>
        <v/>
      </c>
    </row>
    <row r="10">
      <c r="G10" s="15" t="inlineStr">
        <is>
          <t>Count of Customer_ID</t>
        </is>
      </c>
      <c r="H10" s="15" t="inlineStr">
        <is>
          <t>Column Labels</t>
        </is>
      </c>
      <c r="I10" s="11" t="n"/>
      <c r="J10" s="12" t="n"/>
    </row>
    <row r="11" ht="30" customHeight="1">
      <c r="A11" s="7" t="inlineStr">
        <is>
          <t>Year</t>
        </is>
      </c>
      <c r="B11" s="7" t="inlineStr">
        <is>
          <t>Total Revenue</t>
        </is>
      </c>
      <c r="C11" s="7" t="inlineStr">
        <is>
          <t>Active Customers</t>
        </is>
      </c>
      <c r="D11" s="7" t="inlineStr">
        <is>
          <t>Churn Rate</t>
        </is>
      </c>
      <c r="E11" s="7" t="inlineStr">
        <is>
          <t>yoy growth</t>
        </is>
      </c>
      <c r="G11" s="15" t="inlineStr">
        <is>
          <t>Row Labels</t>
        </is>
      </c>
      <c r="H11" s="40" t="inlineStr">
        <is>
          <t>Active</t>
        </is>
      </c>
      <c r="I11" s="20" t="inlineStr">
        <is>
          <t>Churned</t>
        </is>
      </c>
      <c r="J11" s="35" t="inlineStr">
        <is>
          <t>Grand Total</t>
        </is>
      </c>
    </row>
    <row r="12">
      <c r="A12" s="8" t="n">
        <v>2020</v>
      </c>
      <c r="B12" s="8">
        <f>SUMIFS(Subscription_Transactions!$E$2:$E$801,Subscription_Transactions!$M$2:$M$801,Revenue_Engine!A12)</f>
        <v/>
      </c>
      <c r="C12" s="8">
        <f>COUNTIFS(Subscription_Transactions!$M$2:$M$801,Revenue_Engine!$A12,Subscription_Transactions!$F$2:$F$801,"Active")</f>
        <v/>
      </c>
      <c r="D12" s="9">
        <f>COUNTIFS(Subscription_Transactions!$M:$M,Revenue_Engine!$A12,Subscription_Transactions!$F:$F,"Churned")/COUNTIF(Subscription_Transactions!$M:$M,$A12)</f>
        <v/>
      </c>
      <c r="E12" s="6" t="n"/>
      <c r="G12" s="16" t="n">
        <v>2020</v>
      </c>
      <c r="H12" s="22" t="n">
        <v>0.7039106145251397</v>
      </c>
      <c r="I12" s="23" t="n">
        <v>0.2960893854748604</v>
      </c>
      <c r="J12" s="24" t="n">
        <v>1</v>
      </c>
    </row>
    <row r="13">
      <c r="A13" s="8" t="n">
        <v>2021</v>
      </c>
      <c r="B13" s="8">
        <f>SUMIFS(Subscription_Transactions!$E$2:$E$801,Subscription_Transactions!$M$2:$M$801,Revenue_Engine!A13)</f>
        <v/>
      </c>
      <c r="C13" s="8">
        <f>COUNTIFS(Subscription_Transactions!$M$2:$M$801,Revenue_Engine!$A13,Subscription_Transactions!$F$2:$F$801,"Active")</f>
        <v/>
      </c>
      <c r="D13" s="9">
        <f>COUNTIFS(Subscription_Transactions!$M:$M,Revenue_Engine!$A13,Subscription_Transactions!$F:$F,"Churned")/COUNTIF(Subscription_Transactions!$M:$M,$A13)</f>
        <v/>
      </c>
      <c r="E13" s="6">
        <f>(B13-B12)/B12</f>
        <v/>
      </c>
      <c r="G13" s="17" t="n">
        <v>2021</v>
      </c>
      <c r="H13" s="25" t="n">
        <v>0.6479591836734694</v>
      </c>
      <c r="I13" s="26" t="n">
        <v>0.3520408163265306</v>
      </c>
      <c r="J13" s="27" t="n">
        <v>1</v>
      </c>
    </row>
    <row r="14">
      <c r="A14" s="8" t="n">
        <v>2022</v>
      </c>
      <c r="B14" s="8">
        <f>SUMIFS(Subscription_Transactions!$E$2:$E$801,Subscription_Transactions!$M$2:$M$801,Revenue_Engine!A14)</f>
        <v/>
      </c>
      <c r="C14" s="8">
        <f>COUNTIFS(Subscription_Transactions!$M$2:$M$801,Revenue_Engine!$A14,Subscription_Transactions!$F$2:$F$801,"Active")</f>
        <v/>
      </c>
      <c r="D14" s="9">
        <f>COUNTIFS(Subscription_Transactions!$M:$M,Revenue_Engine!$A14,Subscription_Transactions!$F:$F,"Churned")/COUNTIF(Subscription_Transactions!$M:$M,$A14)</f>
        <v/>
      </c>
      <c r="E14" s="6">
        <f>(B14-B13)/B13</f>
        <v/>
      </c>
      <c r="G14" s="17" t="n">
        <v>2022</v>
      </c>
      <c r="H14" s="25" t="n">
        <v>0.7052023121387283</v>
      </c>
      <c r="I14" s="26" t="n">
        <v>0.2947976878612717</v>
      </c>
      <c r="J14" s="27" t="n">
        <v>1</v>
      </c>
    </row>
    <row r="15">
      <c r="A15" s="8" t="n">
        <v>2023</v>
      </c>
      <c r="B15" s="8">
        <f>SUMIFS(Subscription_Transactions!$E$2:$E$801,Subscription_Transactions!$M$2:$M$801,Revenue_Engine!A15)</f>
        <v/>
      </c>
      <c r="C15" s="8">
        <f>COUNTIFS(Subscription_Transactions!$M$2:$M$801,Revenue_Engine!$A15,Subscription_Transactions!$F$2:$F$801,"Active")</f>
        <v/>
      </c>
      <c r="D15" s="9">
        <f>COUNTIFS(Subscription_Transactions!$M:$M,Revenue_Engine!$A15,Subscription_Transactions!$F:$F,"Churned")/COUNTIF(Subscription_Transactions!$M:$M,$A15)</f>
        <v/>
      </c>
      <c r="E15" s="6">
        <f>(B15-B14)/B14</f>
        <v/>
      </c>
      <c r="G15" s="17" t="n">
        <v>2023</v>
      </c>
      <c r="H15" s="25" t="n">
        <v>0.6556291390728477</v>
      </c>
      <c r="I15" s="26" t="n">
        <v>0.3443708609271523</v>
      </c>
      <c r="J15" s="27" t="n">
        <v>1</v>
      </c>
    </row>
    <row r="16">
      <c r="A16" s="8" t="n">
        <v>2024</v>
      </c>
      <c r="B16" s="8">
        <f>SUMIFS(Subscription_Transactions!$E$2:$E$801,Subscription_Transactions!$M$2:$M$801,Revenue_Engine!A16)</f>
        <v/>
      </c>
      <c r="C16" s="8">
        <f>COUNTIFS(Subscription_Transactions!$M$2:$M$801,Revenue_Engine!$A16,Subscription_Transactions!$F$2:$F$801,"Active")</f>
        <v/>
      </c>
      <c r="D16" s="9">
        <f>COUNTIFS(Subscription_Transactions!$M:$M,Revenue_Engine!$A16,Subscription_Transactions!$F:$F,"Churned")/COUNTIF(Subscription_Transactions!$M:$M,$A16)</f>
        <v/>
      </c>
      <c r="E16" s="6">
        <f>(B16-B15)/B15</f>
        <v/>
      </c>
      <c r="G16" s="17" t="n">
        <v>2024</v>
      </c>
      <c r="H16" s="25" t="n">
        <v>0.693069306930693</v>
      </c>
      <c r="I16" s="26" t="n">
        <v>0.3069306930693069</v>
      </c>
      <c r="J16" s="27" t="n">
        <v>1</v>
      </c>
    </row>
    <row r="17">
      <c r="G17" s="19" t="inlineStr">
        <is>
          <t>Grand Total</t>
        </is>
      </c>
      <c r="H17" s="28" t="n">
        <v>0.68</v>
      </c>
      <c r="I17" s="29" t="n">
        <v>0.32</v>
      </c>
      <c r="J17" s="30" t="n">
        <v>1</v>
      </c>
    </row>
    <row r="20">
      <c r="F20" s="15" t="inlineStr">
        <is>
          <t>Row Labels</t>
        </is>
      </c>
      <c r="G20" s="40" t="inlineStr">
        <is>
          <t>Sum of Monthly_Fee</t>
        </is>
      </c>
      <c r="H20" s="38" t="inlineStr">
        <is>
          <t>Count of Customer_ID</t>
        </is>
      </c>
    </row>
    <row r="21">
      <c r="F21" s="16" t="inlineStr">
        <is>
          <t>Basic</t>
        </is>
      </c>
      <c r="G21" s="22" t="n">
        <v>0.1826026119402985</v>
      </c>
      <c r="H21" s="38" t="n">
        <v>261</v>
      </c>
    </row>
    <row r="22">
      <c r="F22" s="17" t="inlineStr">
        <is>
          <t>Premium</t>
        </is>
      </c>
      <c r="G22" s="25" t="n">
        <v>0.503731343283582</v>
      </c>
      <c r="H22" s="43" t="n">
        <v>270</v>
      </c>
    </row>
    <row r="23">
      <c r="F23" s="17" t="inlineStr">
        <is>
          <t>Standard</t>
        </is>
      </c>
      <c r="G23" s="25" t="n">
        <v>0.3136660447761194</v>
      </c>
      <c r="H23" s="43" t="n">
        <v>269</v>
      </c>
    </row>
    <row r="24">
      <c r="F24" s="19" t="inlineStr">
        <is>
          <t>Grand Total</t>
        </is>
      </c>
      <c r="G24" s="28" t="n">
        <v>1</v>
      </c>
      <c r="H24" s="39" t="n">
        <v>800</v>
      </c>
    </row>
    <row r="26">
      <c r="F26" s="15" t="inlineStr">
        <is>
          <t>Row Labels</t>
        </is>
      </c>
      <c r="G26" s="35" t="inlineStr">
        <is>
          <t>Count of Customer_ID</t>
        </is>
      </c>
    </row>
    <row r="27">
      <c r="F27" s="16" t="inlineStr">
        <is>
          <t>France</t>
        </is>
      </c>
      <c r="G27" s="35" t="n">
        <v>121</v>
      </c>
    </row>
    <row r="28">
      <c r="F28" s="17" t="inlineStr">
        <is>
          <t>Germany</t>
        </is>
      </c>
      <c r="G28" s="37" t="n">
        <v>132</v>
      </c>
    </row>
    <row r="29">
      <c r="F29" s="17" t="inlineStr">
        <is>
          <t>Italy</t>
        </is>
      </c>
      <c r="G29" s="37" t="n">
        <v>151</v>
      </c>
    </row>
    <row r="30">
      <c r="F30" s="17" t="inlineStr">
        <is>
          <t>Netherlands</t>
        </is>
      </c>
      <c r="G30" s="37" t="n">
        <v>143</v>
      </c>
    </row>
    <row r="31">
      <c r="F31" s="17" t="inlineStr">
        <is>
          <t>Spain</t>
        </is>
      </c>
      <c r="G31" s="37" t="n">
        <v>129</v>
      </c>
    </row>
    <row r="32">
      <c r="F32" s="17" t="inlineStr">
        <is>
          <t>Sweden</t>
        </is>
      </c>
      <c r="G32" s="37" t="n">
        <v>124</v>
      </c>
    </row>
    <row r="33">
      <c r="F33" s="19" t="inlineStr">
        <is>
          <t>Grand Total</t>
        </is>
      </c>
      <c r="G33" s="36" t="n">
        <v>800</v>
      </c>
    </row>
    <row r="35">
      <c r="F35" s="15" t="inlineStr">
        <is>
          <t>Row Labels</t>
        </is>
      </c>
      <c r="G35" s="35" t="inlineStr">
        <is>
          <t>Sum of Monthly_Fee</t>
        </is>
      </c>
    </row>
    <row r="36">
      <c r="F36" s="16" t="inlineStr">
        <is>
          <t>France</t>
        </is>
      </c>
      <c r="G36" s="24" t="n">
        <v>0.1571828358208955</v>
      </c>
    </row>
    <row r="37">
      <c r="F37" s="17" t="inlineStr">
        <is>
          <t>Germany</t>
        </is>
      </c>
      <c r="G37" s="27" t="n">
        <v>0.1595149253731343</v>
      </c>
    </row>
    <row r="38">
      <c r="F38" s="17" t="inlineStr">
        <is>
          <t>Italy</t>
        </is>
      </c>
      <c r="G38" s="27" t="n">
        <v>0.1809701492537313</v>
      </c>
    </row>
    <row r="39">
      <c r="F39" s="17" t="inlineStr">
        <is>
          <t>Netherlands</t>
        </is>
      </c>
      <c r="G39" s="27" t="n">
        <v>0.1877332089552239</v>
      </c>
    </row>
    <row r="40">
      <c r="F40" s="17" t="inlineStr">
        <is>
          <t>Spain</t>
        </is>
      </c>
      <c r="G40" s="27" t="n">
        <v>0.1606809701492537</v>
      </c>
    </row>
    <row r="41">
      <c r="F41" s="17" t="inlineStr">
        <is>
          <t>Sweden</t>
        </is>
      </c>
      <c r="G41" s="27" t="n">
        <v>0.1539179104477612</v>
      </c>
    </row>
    <row r="42">
      <c r="F42" s="19" t="inlineStr">
        <is>
          <t>Grand Total</t>
        </is>
      </c>
      <c r="G42" s="30" t="n">
        <v>1</v>
      </c>
    </row>
    <row r="44">
      <c r="F44" s="15" t="inlineStr">
        <is>
          <t>Row Labels</t>
        </is>
      </c>
      <c r="G44" s="35" t="inlineStr">
        <is>
          <t>Count of Customer_ID</t>
        </is>
      </c>
    </row>
    <row r="45">
      <c r="F45" s="16" t="inlineStr">
        <is>
          <t>Basic</t>
        </is>
      </c>
      <c r="G45" s="35" t="n">
        <v>261</v>
      </c>
    </row>
    <row r="46">
      <c r="F46" s="17" t="inlineStr">
        <is>
          <t>Premium</t>
        </is>
      </c>
      <c r="G46" s="37" t="n">
        <v>270</v>
      </c>
    </row>
    <row r="47">
      <c r="F47" s="17" t="inlineStr">
        <is>
          <t>Standard</t>
        </is>
      </c>
      <c r="G47" s="37" t="n">
        <v>269</v>
      </c>
    </row>
    <row r="48">
      <c r="F48" s="19" t="inlineStr">
        <is>
          <t>Grand Total</t>
        </is>
      </c>
      <c r="G48" s="36" t="n">
        <v>800</v>
      </c>
    </row>
    <row r="51">
      <c r="F51" s="15" t="inlineStr">
        <is>
          <t>Row Labels</t>
        </is>
      </c>
      <c r="G51" s="35" t="inlineStr">
        <is>
          <t>Count of Customer_ID</t>
        </is>
      </c>
    </row>
    <row r="52">
      <c r="F52" s="16" t="inlineStr">
        <is>
          <t>E-commerce</t>
        </is>
      </c>
      <c r="G52" s="35" t="n">
        <v>129</v>
      </c>
    </row>
    <row r="53">
      <c r="F53" s="17" t="inlineStr">
        <is>
          <t>Education</t>
        </is>
      </c>
      <c r="G53" s="37" t="n">
        <v>131</v>
      </c>
    </row>
    <row r="54">
      <c r="F54" s="17" t="inlineStr">
        <is>
          <t>Finance</t>
        </is>
      </c>
      <c r="G54" s="37" t="n">
        <v>130</v>
      </c>
    </row>
    <row r="55">
      <c r="F55" s="17" t="inlineStr">
        <is>
          <t>Healthcare</t>
        </is>
      </c>
      <c r="G55" s="37" t="n">
        <v>131</v>
      </c>
    </row>
    <row r="56">
      <c r="F56" s="17" t="inlineStr">
        <is>
          <t>Retail</t>
        </is>
      </c>
      <c r="G56" s="37" t="n">
        <v>142</v>
      </c>
    </row>
    <row r="57">
      <c r="F57" s="17" t="inlineStr">
        <is>
          <t>Tech</t>
        </is>
      </c>
      <c r="G57" s="37" t="n">
        <v>137</v>
      </c>
    </row>
    <row r="58">
      <c r="F58" s="19" t="inlineStr">
        <is>
          <t>Grand Total</t>
        </is>
      </c>
      <c r="G58" s="36" t="n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abSelected="1" zoomScale="60" zoomScaleNormal="60" workbookViewId="0">
      <selection activeCell="D72" sqref="D72"/>
    </sheetView>
  </sheetViews>
  <sheetFormatPr baseColWidth="8" defaultRowHeight="15"/>
  <cols>
    <col width="15" customWidth="1" style="31" min="1" max="18"/>
    <col width="9.140625" customWidth="1" style="31" min="19" max="16384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Tayyba Sadiq</dc:creator>
  <dcterms:created xmlns:dcterms="http://purl.org/dc/terms/" xmlns:xsi="http://www.w3.org/2001/XMLSchema-instance" xsi:type="dcterms:W3CDTF">2026-02-28T00:06:54Z</dcterms:created>
  <dcterms:modified xmlns:dcterms="http://purl.org/dc/terms/" xmlns:xsi="http://www.w3.org/2001/XMLSchema-instance" xsi:type="dcterms:W3CDTF">2026-03-02T03:01:56Z</dcterms:modified>
  <cp:lastModifiedBy>Tayyba Sadiq</cp:lastModifiedBy>
</cp:coreProperties>
</file>